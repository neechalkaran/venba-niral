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924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m.boobathi\Downloads\"/>
    </mc:Choice>
  </mc:AlternateContent>
  <xr:revisionPtr revIDLastSave="0" documentId="13_ncr:1_{75C2ED76-8EF6-4BDE-AE41-3599D41362AE}" xr6:coauthVersionLast="47" xr6:coauthVersionMax="47" xr10:uidLastSave="{00000000-0000-0000-0000-000000000000}"/>
  <bookViews>
    <workbookView xWindow="28680" yWindow="-120" windowWidth="29040" windowHeight="15840" tabRatio="769" activeTab="2" xr2:uid="{00000000-000D-0000-FFFF-FFFF00000000}"/>
  </bookViews>
  <sheets>
    <sheet name="விரிவாக" sheetId="16" r:id="rId1"/>
    <sheet name="BASE" sheetId="5" r:id="rId2"/>
    <sheet name="குறள்" sheetId="6" r:id="rId3"/>
    <sheet name="இன்னிசைச் சிந்தியல்" sheetId="9" r:id="rId4"/>
    <sheet name="நேரிசைச் சிந்தியல்" sheetId="10" r:id="rId5"/>
    <sheet name="இன்னிசை அளவியல்" sheetId="11" r:id="rId6"/>
    <sheet name="நேரிசை அளவியல்" sheetId="12" r:id="rId7"/>
  </sheets>
  <externalReferences>
    <externalReference r:id="rId8"/>
  </externalReferences>
  <definedNames>
    <definedName name="_IND1" localSheetId="0">#REF!</definedName>
    <definedName name="_IND1">#REF!</definedName>
    <definedName name="BOLTS">[1]TEMPLATE!$CN$8:$CN$30</definedName>
    <definedName name="boltsize">[1]TEMPLATE!$CV$10:$CV$16</definedName>
    <definedName name="class">[1]TEMPLATE!$CQ$45:$CQ$46</definedName>
    <definedName name="connectiontype">[1]TEMPLATE!$CV$6:$CV$7</definedName>
    <definedName name="f" localSheetId="5">#REF!</definedName>
    <definedName name="f" localSheetId="3">#REF!</definedName>
    <definedName name="f" localSheetId="6">#REF!</definedName>
    <definedName name="f" localSheetId="4">#REF!</definedName>
    <definedName name="f" localSheetId="0">#REF!</definedName>
    <definedName name="f">#REF!</definedName>
    <definedName name="GRADE572">[1]TEMPLATE!$CO$36:$CO$40</definedName>
    <definedName name="holetype">[1]TEMPLATE!$CQ$36:$CQ$39</definedName>
    <definedName name="MAHESH" localSheetId="5">#REF!</definedName>
    <definedName name="MAHESH" localSheetId="3">#REF!</definedName>
    <definedName name="MAHESH" localSheetId="2">#REF!</definedName>
    <definedName name="MAHESH" localSheetId="6">#REF!</definedName>
    <definedName name="MAHESH" localSheetId="4">#REF!</definedName>
    <definedName name="MAHESH" localSheetId="0">#REF!</definedName>
    <definedName name="MAHESH">#REF!</definedName>
    <definedName name="_xlnm.Print_Area" localSheetId="3">'இன்னிசைச் சிந்தியல்'!$A$1:$CV$28</definedName>
    <definedName name="_xlnm.Print_Area" localSheetId="6">'நேரிசை அளவியல்'!$A$1:$CU$39</definedName>
    <definedName name="_xlnm.Print_Area" localSheetId="4">'நேரிசைச் சிந்தியல்'!$A$1:$CV$35</definedName>
    <definedName name="props">'[1]Section Properties'!$B$6:$B$439</definedName>
    <definedName name="Shape" localSheetId="0">#REF!</definedName>
    <definedName name="Shape">#REF!</definedName>
    <definedName name="ws" localSheetId="5">#REF!</definedName>
    <definedName name="ws" localSheetId="3">#REF!</definedName>
    <definedName name="ws" localSheetId="2">#REF!</definedName>
    <definedName name="ws" localSheetId="6">#REF!</definedName>
    <definedName name="ws" localSheetId="4">#REF!</definedName>
    <definedName name="ws" localSheetId="0">#REF!</definedName>
    <definedName name="w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I31" i="16" l="1"/>
  <c r="BT31" i="16" s="1"/>
  <c r="AO31" i="16"/>
  <c r="AE31" i="16"/>
  <c r="BI30" i="16"/>
  <c r="BT30" i="16" s="1"/>
  <c r="AE30" i="16"/>
  <c r="BI29" i="16"/>
  <c r="AY29" i="16" s="1"/>
  <c r="AX29" i="16" s="1"/>
  <c r="AW29" i="16" s="1"/>
  <c r="AV29" i="16" s="1"/>
  <c r="AU29" i="16" s="1"/>
  <c r="AT29" i="16" s="1"/>
  <c r="AS29" i="16" s="1"/>
  <c r="AR29" i="16" s="1"/>
  <c r="AQ29" i="16" s="1"/>
  <c r="AP29" i="16" s="1"/>
  <c r="AO29" i="16"/>
  <c r="AE29" i="16"/>
  <c r="BI28" i="16"/>
  <c r="AY28" i="16" s="1"/>
  <c r="AX28" i="16" s="1"/>
  <c r="AW28" i="16" s="1"/>
  <c r="AV28" i="16" s="1"/>
  <c r="AU28" i="16" s="1"/>
  <c r="AT28" i="16" s="1"/>
  <c r="AS28" i="16" s="1"/>
  <c r="AR28" i="16" s="1"/>
  <c r="AQ28" i="16" s="1"/>
  <c r="AP28" i="16" s="1"/>
  <c r="BI27" i="16"/>
  <c r="AE27" i="16" s="1"/>
  <c r="AY27" i="16"/>
  <c r="AX27" i="16" s="1"/>
  <c r="AW27" i="16" s="1"/>
  <c r="AV27" i="16" s="1"/>
  <c r="AU27" i="16" s="1"/>
  <c r="AT27" i="16" s="1"/>
  <c r="AS27" i="16" s="1"/>
  <c r="AR27" i="16" s="1"/>
  <c r="AQ27" i="16" s="1"/>
  <c r="AP27" i="16" s="1"/>
  <c r="AO27" i="16"/>
  <c r="BI26" i="16"/>
  <c r="AO26" i="16" s="1"/>
  <c r="AY26" i="16"/>
  <c r="AX26" i="16" s="1"/>
  <c r="AW26" i="16" s="1"/>
  <c r="AV26" i="16" s="1"/>
  <c r="AU26" i="16" s="1"/>
  <c r="AT26" i="16" s="1"/>
  <c r="AS26" i="16" s="1"/>
  <c r="AR26" i="16" s="1"/>
  <c r="AQ26" i="16" s="1"/>
  <c r="AP26" i="16" s="1"/>
  <c r="BI25" i="16"/>
  <c r="AY25" i="16" s="1"/>
  <c r="AX25" i="16" s="1"/>
  <c r="AW25" i="16" s="1"/>
  <c r="AV25" i="16" s="1"/>
  <c r="AU25" i="16" s="1"/>
  <c r="AT25" i="16" s="1"/>
  <c r="AS25" i="16" s="1"/>
  <c r="AR25" i="16" s="1"/>
  <c r="AQ25" i="16" s="1"/>
  <c r="AP25" i="16" s="1"/>
  <c r="AO25" i="16"/>
  <c r="BI24" i="16"/>
  <c r="AY24" i="16" s="1"/>
  <c r="AX24" i="16" s="1"/>
  <c r="AW24" i="16" s="1"/>
  <c r="AV24" i="16" s="1"/>
  <c r="AU24" i="16" s="1"/>
  <c r="AT24" i="16" s="1"/>
  <c r="AS24" i="16" s="1"/>
  <c r="AR24" i="16" s="1"/>
  <c r="AQ24" i="16" s="1"/>
  <c r="AP24" i="16" s="1"/>
  <c r="AO24" i="16"/>
  <c r="AE24" i="16"/>
  <c r="BI23" i="16"/>
  <c r="AY23" i="16" s="1"/>
  <c r="AX23" i="16" s="1"/>
  <c r="AW23" i="16" s="1"/>
  <c r="AV23" i="16" s="1"/>
  <c r="AU23" i="16" s="1"/>
  <c r="AT23" i="16" s="1"/>
  <c r="AS23" i="16" s="1"/>
  <c r="AR23" i="16" s="1"/>
  <c r="AQ23" i="16" s="1"/>
  <c r="AP23" i="16" s="1"/>
  <c r="BI22" i="16"/>
  <c r="AE22" i="16" s="1"/>
  <c r="AY22" i="16"/>
  <c r="AX22" i="16" s="1"/>
  <c r="AW22" i="16" s="1"/>
  <c r="AV22" i="16" s="1"/>
  <c r="AU22" i="16" s="1"/>
  <c r="AT22" i="16" s="1"/>
  <c r="AS22" i="16" s="1"/>
  <c r="AR22" i="16" s="1"/>
  <c r="AQ22" i="16" s="1"/>
  <c r="AP22" i="16" s="1"/>
  <c r="AO22" i="16"/>
  <c r="BI21" i="16"/>
  <c r="AY21" i="16" s="1"/>
  <c r="AX21" i="16" s="1"/>
  <c r="AW21" i="16" s="1"/>
  <c r="AV21" i="16" s="1"/>
  <c r="AU21" i="16" s="1"/>
  <c r="AT21" i="16" s="1"/>
  <c r="AS21" i="16" s="1"/>
  <c r="AR21" i="16" s="1"/>
  <c r="AQ21" i="16" s="1"/>
  <c r="AP21" i="16" s="1"/>
  <c r="AO21" i="16"/>
  <c r="BI20" i="16"/>
  <c r="AY20" i="16" s="1"/>
  <c r="AX20" i="16" s="1"/>
  <c r="AW20" i="16" s="1"/>
  <c r="AV20" i="16" s="1"/>
  <c r="AU20" i="16" s="1"/>
  <c r="AT20" i="16" s="1"/>
  <c r="AS20" i="16" s="1"/>
  <c r="AR20" i="16" s="1"/>
  <c r="AQ20" i="16" s="1"/>
  <c r="AP20" i="16" s="1"/>
  <c r="AE20" i="16"/>
  <c r="BI19" i="16"/>
  <c r="AO19" i="16" s="1"/>
  <c r="BI18" i="16"/>
  <c r="AO18" i="16" s="1"/>
  <c r="AY18" i="16"/>
  <c r="AX18" i="16" s="1"/>
  <c r="AW18" i="16" s="1"/>
  <c r="AV18" i="16" s="1"/>
  <c r="AU18" i="16" s="1"/>
  <c r="AT18" i="16" s="1"/>
  <c r="AS18" i="16" s="1"/>
  <c r="AR18" i="16" s="1"/>
  <c r="AQ18" i="16" s="1"/>
  <c r="AP18" i="16" s="1"/>
  <c r="BI17" i="16"/>
  <c r="BT17" i="16" s="1"/>
  <c r="AY17" i="16"/>
  <c r="AX17" i="16" s="1"/>
  <c r="AW17" i="16" s="1"/>
  <c r="AV17" i="16" s="1"/>
  <c r="AU17" i="16" s="1"/>
  <c r="AT17" i="16" s="1"/>
  <c r="AS17" i="16" s="1"/>
  <c r="AR17" i="16" s="1"/>
  <c r="AQ17" i="16" s="1"/>
  <c r="AP17" i="16" s="1"/>
  <c r="AO17" i="16"/>
  <c r="BI30" i="12"/>
  <c r="BT30" i="12" s="1"/>
  <c r="BI29" i="12"/>
  <c r="AO29" i="12" s="1"/>
  <c r="BI28" i="12"/>
  <c r="AO28" i="12" s="1"/>
  <c r="BI27" i="12"/>
  <c r="AO27" i="12" s="1"/>
  <c r="BI26" i="12"/>
  <c r="AY26" i="12" s="1"/>
  <c r="AX26" i="12" s="1"/>
  <c r="AW26" i="12" s="1"/>
  <c r="AV26" i="12" s="1"/>
  <c r="AU26" i="12" s="1"/>
  <c r="AT26" i="12" s="1"/>
  <c r="AS26" i="12" s="1"/>
  <c r="AR26" i="12" s="1"/>
  <c r="AQ26" i="12" s="1"/>
  <c r="AP26" i="12" s="1"/>
  <c r="BI25" i="12"/>
  <c r="BT25" i="12" s="1"/>
  <c r="BI24" i="12"/>
  <c r="BT24" i="12" s="1"/>
  <c r="BI23" i="12"/>
  <c r="BJ23" i="12" s="1"/>
  <c r="BI22" i="12"/>
  <c r="BJ22" i="12" s="1"/>
  <c r="BI21" i="12"/>
  <c r="BT21" i="12" s="1"/>
  <c r="BI20" i="12"/>
  <c r="AY20" i="12" s="1"/>
  <c r="AX20" i="12" s="1"/>
  <c r="AW20" i="12" s="1"/>
  <c r="AV20" i="12" s="1"/>
  <c r="AU20" i="12" s="1"/>
  <c r="AT20" i="12" s="1"/>
  <c r="AS20" i="12" s="1"/>
  <c r="AR20" i="12" s="1"/>
  <c r="AQ20" i="12" s="1"/>
  <c r="AP20" i="12" s="1"/>
  <c r="BI19" i="12"/>
  <c r="BJ19" i="12" s="1"/>
  <c r="BI18" i="12"/>
  <c r="AY18" i="12" s="1"/>
  <c r="AX18" i="12" s="1"/>
  <c r="AW18" i="12" s="1"/>
  <c r="AV18" i="12" s="1"/>
  <c r="AU18" i="12" s="1"/>
  <c r="AT18" i="12" s="1"/>
  <c r="AS18" i="12" s="1"/>
  <c r="AR18" i="12" s="1"/>
  <c r="AQ18" i="12" s="1"/>
  <c r="AP18" i="12" s="1"/>
  <c r="BI17" i="12"/>
  <c r="AY17" i="12" s="1"/>
  <c r="AX17" i="12" s="1"/>
  <c r="AW17" i="12" s="1"/>
  <c r="AV17" i="12" s="1"/>
  <c r="AU17" i="12" s="1"/>
  <c r="AT17" i="12" s="1"/>
  <c r="AS17" i="12" s="1"/>
  <c r="AR17" i="12" s="1"/>
  <c r="AQ17" i="12" s="1"/>
  <c r="AP17" i="12" s="1"/>
  <c r="BI16" i="12"/>
  <c r="BT16" i="12" s="1"/>
  <c r="AY27" i="12"/>
  <c r="AX27" i="12" s="1"/>
  <c r="AW27" i="12" s="1"/>
  <c r="AV27" i="12" s="1"/>
  <c r="AU27" i="12" s="1"/>
  <c r="AT27" i="12" s="1"/>
  <c r="AS27" i="12" s="1"/>
  <c r="AR27" i="12" s="1"/>
  <c r="AQ27" i="12" s="1"/>
  <c r="AP27" i="12" s="1"/>
  <c r="AO26" i="12"/>
  <c r="BT23" i="12"/>
  <c r="AY23" i="12"/>
  <c r="AX23" i="12" s="1"/>
  <c r="AW23" i="12" s="1"/>
  <c r="AV23" i="12" s="1"/>
  <c r="AU23" i="12" s="1"/>
  <c r="AT23" i="12" s="1"/>
  <c r="AS23" i="12" s="1"/>
  <c r="AR23" i="12" s="1"/>
  <c r="AQ23" i="12" s="1"/>
  <c r="AP23" i="12" s="1"/>
  <c r="AO23" i="12"/>
  <c r="AE23" i="12"/>
  <c r="BH23" i="12" s="1"/>
  <c r="BT22" i="12"/>
  <c r="BT20" i="12"/>
  <c r="BJ20" i="12"/>
  <c r="AO20" i="12"/>
  <c r="AE20" i="12"/>
  <c r="AO19" i="12"/>
  <c r="BT18" i="12"/>
  <c r="AO18" i="12"/>
  <c r="AE18" i="12"/>
  <c r="AE16" i="12"/>
  <c r="BI31" i="11"/>
  <c r="BT31" i="11" s="1"/>
  <c r="AY31" i="11"/>
  <c r="AX31" i="11" s="1"/>
  <c r="AW31" i="11" s="1"/>
  <c r="AV31" i="11" s="1"/>
  <c r="AU31" i="11" s="1"/>
  <c r="AT31" i="11" s="1"/>
  <c r="AS31" i="11" s="1"/>
  <c r="AR31" i="11" s="1"/>
  <c r="AQ31" i="11" s="1"/>
  <c r="AP31" i="11" s="1"/>
  <c r="BI30" i="11"/>
  <c r="BT30" i="11" s="1"/>
  <c r="BI29" i="11"/>
  <c r="BI28" i="11"/>
  <c r="BT28" i="11" s="1"/>
  <c r="BI27" i="11"/>
  <c r="BT27" i="11" s="1"/>
  <c r="BJ30" i="11"/>
  <c r="AY30" i="11"/>
  <c r="AX30" i="11" s="1"/>
  <c r="AW30" i="11" s="1"/>
  <c r="AV30" i="11" s="1"/>
  <c r="AU30" i="11" s="1"/>
  <c r="AT30" i="11" s="1"/>
  <c r="AS30" i="11" s="1"/>
  <c r="AR30" i="11" s="1"/>
  <c r="AQ30" i="11" s="1"/>
  <c r="AP30" i="11" s="1"/>
  <c r="AO30" i="11"/>
  <c r="AE30" i="11"/>
  <c r="BT29" i="11"/>
  <c r="BJ29" i="11"/>
  <c r="AY29" i="11"/>
  <c r="AX29" i="11" s="1"/>
  <c r="AW29" i="11" s="1"/>
  <c r="AV29" i="11" s="1"/>
  <c r="AU29" i="11" s="1"/>
  <c r="AT29" i="11" s="1"/>
  <c r="AS29" i="11" s="1"/>
  <c r="AR29" i="11" s="1"/>
  <c r="AQ29" i="11" s="1"/>
  <c r="AP29" i="11" s="1"/>
  <c r="AO29" i="11"/>
  <c r="AE29" i="11"/>
  <c r="BH29" i="11" s="1"/>
  <c r="AO28" i="11"/>
  <c r="AE28" i="11"/>
  <c r="AY27" i="11"/>
  <c r="AX27" i="11" s="1"/>
  <c r="AW27" i="11" s="1"/>
  <c r="AV27" i="11" s="1"/>
  <c r="AU27" i="11" s="1"/>
  <c r="AT27" i="11" s="1"/>
  <c r="AS27" i="11" s="1"/>
  <c r="AR27" i="11" s="1"/>
  <c r="AQ27" i="11" s="1"/>
  <c r="AP27" i="11" s="1"/>
  <c r="AO27" i="11"/>
  <c r="BI26" i="11"/>
  <c r="AY26" i="11" s="1"/>
  <c r="AX26" i="11" s="1"/>
  <c r="AW26" i="11" s="1"/>
  <c r="AV26" i="11" s="1"/>
  <c r="AU26" i="11" s="1"/>
  <c r="AT26" i="11" s="1"/>
  <c r="AS26" i="11" s="1"/>
  <c r="AR26" i="11" s="1"/>
  <c r="AQ26" i="11" s="1"/>
  <c r="AP26" i="11" s="1"/>
  <c r="BI25" i="11"/>
  <c r="BT25" i="11" s="1"/>
  <c r="BI24" i="11"/>
  <c r="AY24" i="11" s="1"/>
  <c r="AX24" i="11" s="1"/>
  <c r="AW24" i="11" s="1"/>
  <c r="AV24" i="11" s="1"/>
  <c r="AU24" i="11" s="1"/>
  <c r="AT24" i="11" s="1"/>
  <c r="AS24" i="11" s="1"/>
  <c r="AR24" i="11" s="1"/>
  <c r="AQ24" i="11" s="1"/>
  <c r="AP24" i="11" s="1"/>
  <c r="BI23" i="11"/>
  <c r="AE23" i="11" s="1"/>
  <c r="BI22" i="11"/>
  <c r="BI21" i="11"/>
  <c r="AY21" i="11" s="1"/>
  <c r="AX21" i="11" s="1"/>
  <c r="AW21" i="11" s="1"/>
  <c r="AV21" i="11" s="1"/>
  <c r="AU21" i="11" s="1"/>
  <c r="AT21" i="11" s="1"/>
  <c r="AS21" i="11" s="1"/>
  <c r="AR21" i="11" s="1"/>
  <c r="AQ21" i="11" s="1"/>
  <c r="AP21" i="11" s="1"/>
  <c r="BI20" i="11"/>
  <c r="AE20" i="11" s="1"/>
  <c r="BI19" i="11"/>
  <c r="BT19" i="11" s="1"/>
  <c r="BI18" i="11"/>
  <c r="BI17" i="11"/>
  <c r="AY17" i="11" s="1"/>
  <c r="AX17" i="11" s="1"/>
  <c r="AW17" i="11" s="1"/>
  <c r="AV17" i="11" s="1"/>
  <c r="AU17" i="11" s="1"/>
  <c r="AT17" i="11" s="1"/>
  <c r="AS17" i="11" s="1"/>
  <c r="AR17" i="11" s="1"/>
  <c r="AQ17" i="11" s="1"/>
  <c r="AP17" i="11" s="1"/>
  <c r="BT26" i="11"/>
  <c r="BJ26" i="11"/>
  <c r="AO26" i="11"/>
  <c r="AE26" i="11"/>
  <c r="AY25" i="11"/>
  <c r="AX25" i="11"/>
  <c r="AW25" i="11" s="1"/>
  <c r="AV25" i="11" s="1"/>
  <c r="AU25" i="11" s="1"/>
  <c r="AT25" i="11" s="1"/>
  <c r="AS25" i="11" s="1"/>
  <c r="AR25" i="11" s="1"/>
  <c r="AQ25" i="11" s="1"/>
  <c r="AP25" i="11" s="1"/>
  <c r="AO25" i="11"/>
  <c r="BT24" i="11"/>
  <c r="BJ24" i="11"/>
  <c r="BT23" i="11"/>
  <c r="BJ23" i="11"/>
  <c r="AO23" i="11"/>
  <c r="BT22" i="11"/>
  <c r="BJ22" i="11"/>
  <c r="AY22" i="11"/>
  <c r="AX22" i="11" s="1"/>
  <c r="AW22" i="11" s="1"/>
  <c r="AV22" i="11" s="1"/>
  <c r="AU22" i="11" s="1"/>
  <c r="AT22" i="11" s="1"/>
  <c r="AS22" i="11" s="1"/>
  <c r="AR22" i="11" s="1"/>
  <c r="AQ22" i="11" s="1"/>
  <c r="AP22" i="11" s="1"/>
  <c r="AO22" i="11"/>
  <c r="AE22" i="11"/>
  <c r="BT21" i="11"/>
  <c r="BJ21" i="11"/>
  <c r="AO20" i="11"/>
  <c r="BJ19" i="11"/>
  <c r="AY19" i="11"/>
  <c r="AX19" i="11" s="1"/>
  <c r="AW19" i="11" s="1"/>
  <c r="AV19" i="11" s="1"/>
  <c r="AU19" i="11" s="1"/>
  <c r="AT19" i="11" s="1"/>
  <c r="AS19" i="11" s="1"/>
  <c r="AR19" i="11" s="1"/>
  <c r="AQ19" i="11" s="1"/>
  <c r="AP19" i="11" s="1"/>
  <c r="AO19" i="11"/>
  <c r="BT18" i="11"/>
  <c r="BJ18" i="11"/>
  <c r="AY18" i="11"/>
  <c r="AX18" i="11" s="1"/>
  <c r="AW18" i="11" s="1"/>
  <c r="AV18" i="11" s="1"/>
  <c r="AU18" i="11" s="1"/>
  <c r="AT18" i="11" s="1"/>
  <c r="AS18" i="11" s="1"/>
  <c r="AR18" i="11" s="1"/>
  <c r="AQ18" i="11" s="1"/>
  <c r="AP18" i="11" s="1"/>
  <c r="AO18" i="11"/>
  <c r="AE18" i="11"/>
  <c r="BH18" i="11" s="1"/>
  <c r="BT17" i="11"/>
  <c r="BJ17" i="11"/>
  <c r="AO17" i="11"/>
  <c r="AE17" i="11"/>
  <c r="BI25" i="10"/>
  <c r="AO25" i="10" s="1"/>
  <c r="BI24" i="10"/>
  <c r="AO24" i="10" s="1"/>
  <c r="BI23" i="10"/>
  <c r="BI22" i="10"/>
  <c r="AE22" i="10" s="1"/>
  <c r="BI21" i="10"/>
  <c r="BI20" i="10"/>
  <c r="BI19" i="10"/>
  <c r="AY19" i="10" s="1"/>
  <c r="AX19" i="10" s="1"/>
  <c r="AW19" i="10" s="1"/>
  <c r="AV19" i="10" s="1"/>
  <c r="AU19" i="10" s="1"/>
  <c r="AT19" i="10" s="1"/>
  <c r="AS19" i="10" s="1"/>
  <c r="AR19" i="10" s="1"/>
  <c r="AQ19" i="10" s="1"/>
  <c r="AP19" i="10" s="1"/>
  <c r="BI18" i="10"/>
  <c r="AY18" i="10" s="1"/>
  <c r="AX18" i="10" s="1"/>
  <c r="AW18" i="10" s="1"/>
  <c r="AV18" i="10" s="1"/>
  <c r="AU18" i="10" s="1"/>
  <c r="AT18" i="10" s="1"/>
  <c r="AS18" i="10" s="1"/>
  <c r="AR18" i="10" s="1"/>
  <c r="AQ18" i="10" s="1"/>
  <c r="AP18" i="10" s="1"/>
  <c r="BI17" i="10"/>
  <c r="BI16" i="10"/>
  <c r="BJ16" i="10" s="1"/>
  <c r="BI15" i="10"/>
  <c r="BT15" i="10" s="1"/>
  <c r="BT25" i="10"/>
  <c r="AY25" i="10"/>
  <c r="AX25" i="10" s="1"/>
  <c r="AW25" i="10" s="1"/>
  <c r="AV25" i="10" s="1"/>
  <c r="AU25" i="10" s="1"/>
  <c r="AT25" i="10" s="1"/>
  <c r="AS25" i="10" s="1"/>
  <c r="AR25" i="10" s="1"/>
  <c r="AQ25" i="10" s="1"/>
  <c r="AP25" i="10" s="1"/>
  <c r="AE25" i="10"/>
  <c r="AY24" i="10"/>
  <c r="AX24" i="10" s="1"/>
  <c r="AW24" i="10" s="1"/>
  <c r="AV24" i="10" s="1"/>
  <c r="AU24" i="10" s="1"/>
  <c r="AT24" i="10" s="1"/>
  <c r="AS24" i="10" s="1"/>
  <c r="AR24" i="10" s="1"/>
  <c r="AQ24" i="10" s="1"/>
  <c r="AP24" i="10" s="1"/>
  <c r="AE24" i="10"/>
  <c r="AO23" i="10"/>
  <c r="AY22" i="10"/>
  <c r="AX22" i="10" s="1"/>
  <c r="AW22" i="10" s="1"/>
  <c r="AV22" i="10" s="1"/>
  <c r="AU22" i="10" s="1"/>
  <c r="AT22" i="10" s="1"/>
  <c r="AS22" i="10" s="1"/>
  <c r="AR22" i="10" s="1"/>
  <c r="AQ22" i="10" s="1"/>
  <c r="AP22" i="10" s="1"/>
  <c r="AO22" i="10"/>
  <c r="AO21" i="10"/>
  <c r="AY20" i="10"/>
  <c r="AX20" i="10" s="1"/>
  <c r="AW20" i="10" s="1"/>
  <c r="AV20" i="10" s="1"/>
  <c r="AU20" i="10" s="1"/>
  <c r="AT20" i="10" s="1"/>
  <c r="AS20" i="10" s="1"/>
  <c r="AR20" i="10" s="1"/>
  <c r="AQ20" i="10" s="1"/>
  <c r="AP20" i="10" s="1"/>
  <c r="AO20" i="10"/>
  <c r="AE20" i="10"/>
  <c r="BT17" i="10"/>
  <c r="BJ17" i="10"/>
  <c r="AY17" i="10"/>
  <c r="AX17" i="10" s="1"/>
  <c r="AW17" i="10" s="1"/>
  <c r="AV17" i="10" s="1"/>
  <c r="AU17" i="10" s="1"/>
  <c r="AT17" i="10" s="1"/>
  <c r="AS17" i="10" s="1"/>
  <c r="AR17" i="10" s="1"/>
  <c r="AQ17" i="10" s="1"/>
  <c r="AP17" i="10" s="1"/>
  <c r="AO17" i="10"/>
  <c r="AE17" i="10"/>
  <c r="BH17" i="10" s="1"/>
  <c r="BT16" i="10"/>
  <c r="AY16" i="10"/>
  <c r="AX16" i="10" s="1"/>
  <c r="AW16" i="10" s="1"/>
  <c r="AV16" i="10" s="1"/>
  <c r="AU16" i="10" s="1"/>
  <c r="AT16" i="10" s="1"/>
  <c r="AS16" i="10" s="1"/>
  <c r="AR16" i="10" s="1"/>
  <c r="AQ16" i="10" s="1"/>
  <c r="AP16" i="10" s="1"/>
  <c r="AO16" i="10"/>
  <c r="AE16" i="10"/>
  <c r="BJ15" i="10"/>
  <c r="AY15" i="10"/>
  <c r="AX15" i="10"/>
  <c r="AW15" i="10" s="1"/>
  <c r="AV15" i="10" s="1"/>
  <c r="AU15" i="10" s="1"/>
  <c r="AT15" i="10" s="1"/>
  <c r="AS15" i="10" s="1"/>
  <c r="AR15" i="10" s="1"/>
  <c r="AQ15" i="10" s="1"/>
  <c r="AP15" i="10" s="1"/>
  <c r="AE15" i="10"/>
  <c r="BH15" i="10" s="1"/>
  <c r="BI25" i="9"/>
  <c r="BT25" i="9" s="1"/>
  <c r="BI24" i="9"/>
  <c r="AY24" i="9" s="1"/>
  <c r="AX24" i="9" s="1"/>
  <c r="AW24" i="9" s="1"/>
  <c r="AV24" i="9" s="1"/>
  <c r="AU24" i="9" s="1"/>
  <c r="AT24" i="9" s="1"/>
  <c r="AS24" i="9" s="1"/>
  <c r="AR24" i="9" s="1"/>
  <c r="AQ24" i="9" s="1"/>
  <c r="AP24" i="9" s="1"/>
  <c r="BI23" i="9"/>
  <c r="BI22" i="9"/>
  <c r="BT22" i="9" s="1"/>
  <c r="BI21" i="9"/>
  <c r="AY21" i="9" s="1"/>
  <c r="AX21" i="9" s="1"/>
  <c r="AW21" i="9" s="1"/>
  <c r="AV21" i="9" s="1"/>
  <c r="AU21" i="9" s="1"/>
  <c r="AT21" i="9" s="1"/>
  <c r="AS21" i="9" s="1"/>
  <c r="AR21" i="9" s="1"/>
  <c r="AQ21" i="9" s="1"/>
  <c r="AP21" i="9" s="1"/>
  <c r="BI20" i="9"/>
  <c r="AE20" i="9" s="1"/>
  <c r="BH20" i="9" s="1"/>
  <c r="BI19" i="9"/>
  <c r="BI18" i="9"/>
  <c r="AY18" i="9" s="1"/>
  <c r="AX18" i="9" s="1"/>
  <c r="AW18" i="9" s="1"/>
  <c r="AV18" i="9" s="1"/>
  <c r="AU18" i="9" s="1"/>
  <c r="AT18" i="9" s="1"/>
  <c r="AS18" i="9" s="1"/>
  <c r="AR18" i="9" s="1"/>
  <c r="AQ18" i="9" s="1"/>
  <c r="AP18" i="9" s="1"/>
  <c r="BI17" i="9"/>
  <c r="AO17" i="9" s="1"/>
  <c r="BI16" i="9"/>
  <c r="BT16" i="9" s="1"/>
  <c r="BI15" i="9"/>
  <c r="BT24" i="9"/>
  <c r="BJ24" i="9"/>
  <c r="BT23" i="9"/>
  <c r="BJ23" i="9"/>
  <c r="AY23" i="9"/>
  <c r="AX23" i="9"/>
  <c r="AW23" i="9" s="1"/>
  <c r="AV23" i="9" s="1"/>
  <c r="AU23" i="9" s="1"/>
  <c r="AT23" i="9" s="1"/>
  <c r="AS23" i="9" s="1"/>
  <c r="AR23" i="9" s="1"/>
  <c r="AQ23" i="9" s="1"/>
  <c r="AP23" i="9" s="1"/>
  <c r="AO23" i="9"/>
  <c r="AE23" i="9"/>
  <c r="BH23" i="9" s="1"/>
  <c r="BJ21" i="9"/>
  <c r="BT20" i="9"/>
  <c r="AY20" i="9"/>
  <c r="AX20" i="9"/>
  <c r="AW20" i="9" s="1"/>
  <c r="AV20" i="9" s="1"/>
  <c r="AU20" i="9" s="1"/>
  <c r="AT20" i="9" s="1"/>
  <c r="AS20" i="9" s="1"/>
  <c r="AR20" i="9" s="1"/>
  <c r="AQ20" i="9" s="1"/>
  <c r="AP20" i="9" s="1"/>
  <c r="AO20" i="9"/>
  <c r="BT19" i="9"/>
  <c r="BJ19" i="9"/>
  <c r="AY19" i="9"/>
  <c r="AX19" i="9" s="1"/>
  <c r="AW19" i="9" s="1"/>
  <c r="AV19" i="9" s="1"/>
  <c r="AU19" i="9" s="1"/>
  <c r="AT19" i="9" s="1"/>
  <c r="AS19" i="9" s="1"/>
  <c r="AR19" i="9" s="1"/>
  <c r="AQ19" i="9" s="1"/>
  <c r="AP19" i="9" s="1"/>
  <c r="AO19" i="9"/>
  <c r="AE19" i="9"/>
  <c r="BH19" i="9" s="1"/>
  <c r="BT18" i="9"/>
  <c r="AO18" i="9"/>
  <c r="AE18" i="9"/>
  <c r="AY17" i="9"/>
  <c r="AX17" i="9" s="1"/>
  <c r="AW17" i="9" s="1"/>
  <c r="AV17" i="9" s="1"/>
  <c r="AU17" i="9" s="1"/>
  <c r="AT17" i="9" s="1"/>
  <c r="AS17" i="9" s="1"/>
  <c r="AR17" i="9" s="1"/>
  <c r="AQ17" i="9" s="1"/>
  <c r="AP17" i="9" s="1"/>
  <c r="AE17" i="9"/>
  <c r="AO16" i="9"/>
  <c r="BT15" i="9"/>
  <c r="AY15" i="9"/>
  <c r="AX15" i="9" s="1"/>
  <c r="AW15" i="9" s="1"/>
  <c r="AV15" i="9" s="1"/>
  <c r="AU15" i="9" s="1"/>
  <c r="AT15" i="9" s="1"/>
  <c r="AS15" i="9" s="1"/>
  <c r="AR15" i="9" s="1"/>
  <c r="AQ15" i="9" s="1"/>
  <c r="AP15" i="9" s="1"/>
  <c r="AO15" i="9"/>
  <c r="AE15" i="9"/>
  <c r="BI21" i="6"/>
  <c r="AE21" i="6" s="1"/>
  <c r="AY21" i="6"/>
  <c r="AX21" i="6" s="1"/>
  <c r="AW21" i="6" s="1"/>
  <c r="AV21" i="6" s="1"/>
  <c r="AU21" i="6" s="1"/>
  <c r="AT21" i="6" s="1"/>
  <c r="AS21" i="6" s="1"/>
  <c r="AR21" i="6" s="1"/>
  <c r="AQ21" i="6" s="1"/>
  <c r="AP21" i="6" s="1"/>
  <c r="AO21" i="6"/>
  <c r="BI20" i="6"/>
  <c r="BJ20" i="6" s="1"/>
  <c r="BI19" i="6"/>
  <c r="BJ19" i="6" s="1"/>
  <c r="BI18" i="6"/>
  <c r="BJ18" i="6" s="1"/>
  <c r="BI17" i="6"/>
  <c r="BT17" i="6" s="1"/>
  <c r="BI16" i="6"/>
  <c r="BJ16" i="6" s="1"/>
  <c r="BI15" i="6"/>
  <c r="BJ15" i="6" s="1"/>
  <c r="BT19" i="6"/>
  <c r="AY19" i="6"/>
  <c r="AX19" i="6" s="1"/>
  <c r="AW19" i="6" s="1"/>
  <c r="AV19" i="6" s="1"/>
  <c r="AU19" i="6" s="1"/>
  <c r="AT19" i="6" s="1"/>
  <c r="AS19" i="6" s="1"/>
  <c r="AR19" i="6" s="1"/>
  <c r="AQ19" i="6" s="1"/>
  <c r="AP19" i="6" s="1"/>
  <c r="BI36" i="12"/>
  <c r="BI34" i="12"/>
  <c r="BI35" i="12" s="1"/>
  <c r="BI33" i="12"/>
  <c r="BI38" i="12"/>
  <c r="CD38" i="12" s="1"/>
  <c r="CG38" i="12" s="1"/>
  <c r="BI37" i="12"/>
  <c r="CD37" i="12" s="1"/>
  <c r="BH26" i="11" l="1"/>
  <c r="AE18" i="10"/>
  <c r="AY29" i="12"/>
  <c r="AX29" i="12" s="1"/>
  <c r="AW29" i="12" s="1"/>
  <c r="AV29" i="12" s="1"/>
  <c r="AU29" i="12" s="1"/>
  <c r="AT29" i="12" s="1"/>
  <c r="AS29" i="12" s="1"/>
  <c r="AR29" i="12" s="1"/>
  <c r="AQ29" i="12" s="1"/>
  <c r="AP29" i="12" s="1"/>
  <c r="BT21" i="6"/>
  <c r="BJ20" i="9"/>
  <c r="AE22" i="9"/>
  <c r="AO15" i="10"/>
  <c r="AO18" i="10"/>
  <c r="AE19" i="11"/>
  <c r="BH19" i="11" s="1"/>
  <c r="AY20" i="11"/>
  <c r="AX20" i="11" s="1"/>
  <c r="AW20" i="11" s="1"/>
  <c r="AV20" i="11" s="1"/>
  <c r="AU20" i="11" s="1"/>
  <c r="AT20" i="11" s="1"/>
  <c r="AS20" i="11" s="1"/>
  <c r="AR20" i="11" s="1"/>
  <c r="AQ20" i="11" s="1"/>
  <c r="AP20" i="11" s="1"/>
  <c r="BH22" i="11"/>
  <c r="AY23" i="11"/>
  <c r="AX23" i="11" s="1"/>
  <c r="AW23" i="11" s="1"/>
  <c r="AV23" i="11" s="1"/>
  <c r="AU23" i="11" s="1"/>
  <c r="AT23" i="11" s="1"/>
  <c r="AS23" i="11" s="1"/>
  <c r="AR23" i="11" s="1"/>
  <c r="AQ23" i="11" s="1"/>
  <c r="AP23" i="11" s="1"/>
  <c r="AE25" i="11"/>
  <c r="BH25" i="11" s="1"/>
  <c r="BJ27" i="11"/>
  <c r="AE30" i="12"/>
  <c r="AE17" i="16"/>
  <c r="BH17" i="11"/>
  <c r="AO22" i="9"/>
  <c r="BJ20" i="11"/>
  <c r="AY31" i="16"/>
  <c r="AX31" i="16" s="1"/>
  <c r="AW31" i="16" s="1"/>
  <c r="AV31" i="16" s="1"/>
  <c r="AU31" i="16" s="1"/>
  <c r="AT31" i="16" s="1"/>
  <c r="AS31" i="16" s="1"/>
  <c r="AR31" i="16" s="1"/>
  <c r="AQ31" i="16" s="1"/>
  <c r="AP31" i="16" s="1"/>
  <c r="AE25" i="9"/>
  <c r="BH20" i="12"/>
  <c r="BT21" i="9"/>
  <c r="AO19" i="10"/>
  <c r="BT20" i="11"/>
  <c r="BT15" i="6"/>
  <c r="AE21" i="11"/>
  <c r="BH21" i="11" s="1"/>
  <c r="AE24" i="11"/>
  <c r="BH24" i="11" s="1"/>
  <c r="AY28" i="11"/>
  <c r="AX28" i="11" s="1"/>
  <c r="AW28" i="11" s="1"/>
  <c r="AV28" i="11" s="1"/>
  <c r="AU28" i="11" s="1"/>
  <c r="AT28" i="11" s="1"/>
  <c r="AS28" i="11" s="1"/>
  <c r="AR28" i="11" s="1"/>
  <c r="AQ28" i="11" s="1"/>
  <c r="AP28" i="11" s="1"/>
  <c r="BJ21" i="12"/>
  <c r="AO25" i="12"/>
  <c r="AO20" i="16"/>
  <c r="AO30" i="16"/>
  <c r="BJ31" i="16"/>
  <c r="AE21" i="9"/>
  <c r="BH21" i="9" s="1"/>
  <c r="AY22" i="9"/>
  <c r="AX22" i="9" s="1"/>
  <c r="AW22" i="9" s="1"/>
  <c r="AV22" i="9" s="1"/>
  <c r="AU22" i="9" s="1"/>
  <c r="AT22" i="9" s="1"/>
  <c r="AS22" i="9" s="1"/>
  <c r="AR22" i="9" s="1"/>
  <c r="AQ22" i="9" s="1"/>
  <c r="AP22" i="9" s="1"/>
  <c r="AO21" i="9"/>
  <c r="BJ22" i="9"/>
  <c r="AE24" i="9"/>
  <c r="BH24" i="9" s="1"/>
  <c r="AO25" i="9"/>
  <c r="AE19" i="6"/>
  <c r="BH19" i="6" s="1"/>
  <c r="AO24" i="9"/>
  <c r="AY25" i="9"/>
  <c r="AX25" i="9" s="1"/>
  <c r="AW25" i="9" s="1"/>
  <c r="AV25" i="9" s="1"/>
  <c r="AU25" i="9" s="1"/>
  <c r="AT25" i="9" s="1"/>
  <c r="AS25" i="9" s="1"/>
  <c r="AR25" i="9" s="1"/>
  <c r="AQ25" i="9" s="1"/>
  <c r="AP25" i="9" s="1"/>
  <c r="AO21" i="11"/>
  <c r="AO24" i="11"/>
  <c r="BJ25" i="11"/>
  <c r="BJ28" i="11"/>
  <c r="BH30" i="11"/>
  <c r="AE22" i="12"/>
  <c r="BJ25" i="12"/>
  <c r="AE18" i="16"/>
  <c r="BH18" i="16" s="1"/>
  <c r="AO23" i="16"/>
  <c r="AE26" i="16"/>
  <c r="AO28" i="16"/>
  <c r="AY30" i="16"/>
  <c r="AX30" i="16" s="1"/>
  <c r="AW30" i="16" s="1"/>
  <c r="AV30" i="16" s="1"/>
  <c r="AU30" i="16" s="1"/>
  <c r="AT30" i="16" s="1"/>
  <c r="AS30" i="16" s="1"/>
  <c r="AR30" i="16" s="1"/>
  <c r="AQ30" i="16" s="1"/>
  <c r="AP30" i="16" s="1"/>
  <c r="BH16" i="10"/>
  <c r="AE27" i="11"/>
  <c r="AE31" i="11"/>
  <c r="AY22" i="12"/>
  <c r="AX22" i="12" s="1"/>
  <c r="AW22" i="12" s="1"/>
  <c r="AV22" i="12" s="1"/>
  <c r="AU22" i="12" s="1"/>
  <c r="AT22" i="12" s="1"/>
  <c r="AS22" i="12" s="1"/>
  <c r="AR22" i="12" s="1"/>
  <c r="AQ22" i="12" s="1"/>
  <c r="AP22" i="12" s="1"/>
  <c r="AE24" i="12"/>
  <c r="BJ24" i="12"/>
  <c r="AE28" i="12"/>
  <c r="AY28" i="12"/>
  <c r="AX28" i="12" s="1"/>
  <c r="AW28" i="12" s="1"/>
  <c r="AV28" i="12" s="1"/>
  <c r="AU28" i="12" s="1"/>
  <c r="AT28" i="12" s="1"/>
  <c r="AS28" i="12" s="1"/>
  <c r="AR28" i="12" s="1"/>
  <c r="AQ28" i="12" s="1"/>
  <c r="AP28" i="12" s="1"/>
  <c r="AO24" i="12"/>
  <c r="AY24" i="12"/>
  <c r="AX24" i="12" s="1"/>
  <c r="AW24" i="12" s="1"/>
  <c r="AV24" i="12" s="1"/>
  <c r="AU24" i="12" s="1"/>
  <c r="AT24" i="12" s="1"/>
  <c r="AS24" i="12" s="1"/>
  <c r="AR24" i="12" s="1"/>
  <c r="AQ24" i="12" s="1"/>
  <c r="AP24" i="12" s="1"/>
  <c r="AY30" i="12"/>
  <c r="AX30" i="12" s="1"/>
  <c r="AW30" i="12" s="1"/>
  <c r="AV30" i="12" s="1"/>
  <c r="AU30" i="12" s="1"/>
  <c r="AT30" i="12" s="1"/>
  <c r="AS30" i="12" s="1"/>
  <c r="AR30" i="12" s="1"/>
  <c r="AQ30" i="12" s="1"/>
  <c r="AP30" i="12" s="1"/>
  <c r="AO22" i="12"/>
  <c r="BT19" i="16"/>
  <c r="BJ19" i="16"/>
  <c r="BT18" i="16"/>
  <c r="BJ18" i="16"/>
  <c r="BT20" i="16"/>
  <c r="BJ20" i="16"/>
  <c r="BH20" i="16"/>
  <c r="BT22" i="16"/>
  <c r="BJ22" i="16"/>
  <c r="BH22" i="16"/>
  <c r="BT24" i="16"/>
  <c r="BJ24" i="16"/>
  <c r="BH24" i="16"/>
  <c r="BT26" i="16"/>
  <c r="BJ26" i="16"/>
  <c r="BH26" i="16"/>
  <c r="BH17" i="16"/>
  <c r="BJ17" i="16"/>
  <c r="AE19" i="16"/>
  <c r="BH19" i="16" s="1"/>
  <c r="AY19" i="16"/>
  <c r="AX19" i="16" s="1"/>
  <c r="AW19" i="16" s="1"/>
  <c r="AV19" i="16" s="1"/>
  <c r="AU19" i="16" s="1"/>
  <c r="AT19" i="16" s="1"/>
  <c r="AS19" i="16" s="1"/>
  <c r="AR19" i="16" s="1"/>
  <c r="AQ19" i="16" s="1"/>
  <c r="AP19" i="16" s="1"/>
  <c r="AE21" i="16"/>
  <c r="BH21" i="16" s="1"/>
  <c r="AE23" i="16"/>
  <c r="BH23" i="16" s="1"/>
  <c r="AE25" i="16"/>
  <c r="BT21" i="16"/>
  <c r="BJ21" i="16"/>
  <c r="BT23" i="16"/>
  <c r="BJ23" i="16"/>
  <c r="BT25" i="16"/>
  <c r="BJ25" i="16"/>
  <c r="BH25" i="16"/>
  <c r="BT27" i="16"/>
  <c r="BJ27" i="16"/>
  <c r="BH27" i="16"/>
  <c r="BT29" i="16"/>
  <c r="BJ29" i="16"/>
  <c r="BH29" i="16"/>
  <c r="AE28" i="16"/>
  <c r="BH28" i="16" s="1"/>
  <c r="BT28" i="16"/>
  <c r="BJ28" i="16"/>
  <c r="BH30" i="16"/>
  <c r="BJ30" i="16"/>
  <c r="AE26" i="12"/>
  <c r="BH26" i="12" s="1"/>
  <c r="AE25" i="12"/>
  <c r="BH25" i="12" s="1"/>
  <c r="AN25" i="12" s="1"/>
  <c r="AY25" i="12"/>
  <c r="AX25" i="12" s="1"/>
  <c r="AW25" i="12" s="1"/>
  <c r="AV25" i="12" s="1"/>
  <c r="AU25" i="12" s="1"/>
  <c r="AT25" i="12" s="1"/>
  <c r="AS25" i="12" s="1"/>
  <c r="AR25" i="12" s="1"/>
  <c r="AQ25" i="12" s="1"/>
  <c r="AP25" i="12" s="1"/>
  <c r="AE21" i="12"/>
  <c r="BT19" i="12"/>
  <c r="AO17" i="12"/>
  <c r="AO21" i="12"/>
  <c r="AY21" i="12"/>
  <c r="AX21" i="12" s="1"/>
  <c r="AW21" i="12" s="1"/>
  <c r="AV21" i="12" s="1"/>
  <c r="AU21" i="12" s="1"/>
  <c r="AT21" i="12" s="1"/>
  <c r="AS21" i="12" s="1"/>
  <c r="AR21" i="12" s="1"/>
  <c r="AQ21" i="12" s="1"/>
  <c r="AP21" i="12" s="1"/>
  <c r="AY19" i="12"/>
  <c r="AX19" i="12" s="1"/>
  <c r="AW19" i="12" s="1"/>
  <c r="AV19" i="12" s="1"/>
  <c r="AU19" i="12" s="1"/>
  <c r="AT19" i="12" s="1"/>
  <c r="AS19" i="12" s="1"/>
  <c r="AR19" i="12" s="1"/>
  <c r="AQ19" i="12" s="1"/>
  <c r="AP19" i="12" s="1"/>
  <c r="AE17" i="12"/>
  <c r="BH17" i="12" s="1"/>
  <c r="BT17" i="12"/>
  <c r="AY16" i="12"/>
  <c r="AX16" i="12" s="1"/>
  <c r="AW16" i="12" s="1"/>
  <c r="AV16" i="12" s="1"/>
  <c r="AU16" i="12" s="1"/>
  <c r="AT16" i="12" s="1"/>
  <c r="AS16" i="12" s="1"/>
  <c r="AR16" i="12" s="1"/>
  <c r="AQ16" i="12" s="1"/>
  <c r="AP16" i="12" s="1"/>
  <c r="AE19" i="12"/>
  <c r="AO16" i="12"/>
  <c r="AO30" i="12"/>
  <c r="BU23" i="12"/>
  <c r="AN23" i="12"/>
  <c r="AD23" i="12"/>
  <c r="BG23" i="12" s="1"/>
  <c r="AN20" i="12"/>
  <c r="AD20" i="12"/>
  <c r="BJ16" i="12"/>
  <c r="BJ17" i="12"/>
  <c r="BH18" i="12"/>
  <c r="BJ18" i="12"/>
  <c r="BU20" i="12"/>
  <c r="BK20" i="12"/>
  <c r="BG20" i="12"/>
  <c r="BT26" i="12"/>
  <c r="BJ26" i="12"/>
  <c r="BT28" i="12"/>
  <c r="BJ28" i="12"/>
  <c r="BK23" i="12"/>
  <c r="AE27" i="12"/>
  <c r="AE29" i="12"/>
  <c r="BH29" i="12" s="1"/>
  <c r="BT27" i="12"/>
  <c r="BJ27" i="12"/>
  <c r="BH27" i="12"/>
  <c r="BT29" i="12"/>
  <c r="BJ29" i="12"/>
  <c r="BJ30" i="12"/>
  <c r="AO31" i="11"/>
  <c r="BH31" i="11"/>
  <c r="BJ31" i="11"/>
  <c r="BU30" i="11"/>
  <c r="AN30" i="11"/>
  <c r="AD30" i="11"/>
  <c r="BG30" i="11" s="1"/>
  <c r="BU29" i="11"/>
  <c r="AN29" i="11"/>
  <c r="AD29" i="11"/>
  <c r="BG29" i="11" s="1"/>
  <c r="BH27" i="11"/>
  <c r="BK27" i="11"/>
  <c r="BK29" i="11"/>
  <c r="BK30" i="11"/>
  <c r="BU26" i="11"/>
  <c r="AN26" i="11"/>
  <c r="AD26" i="11"/>
  <c r="BG26" i="11" s="1"/>
  <c r="BU25" i="11"/>
  <c r="AN25" i="11"/>
  <c r="AD25" i="11"/>
  <c r="BG25" i="11" s="1"/>
  <c r="BU24" i="11"/>
  <c r="AN24" i="11"/>
  <c r="AD24" i="11"/>
  <c r="BG24" i="11" s="1"/>
  <c r="AN22" i="11"/>
  <c r="AD22" i="11"/>
  <c r="BG22" i="11" s="1"/>
  <c r="AN21" i="11"/>
  <c r="AD21" i="11"/>
  <c r="BG21" i="11" s="1"/>
  <c r="BU19" i="11"/>
  <c r="AN19" i="11"/>
  <c r="AD19" i="11"/>
  <c r="BG19" i="11" s="1"/>
  <c r="BU18" i="11"/>
  <c r="AN18" i="11"/>
  <c r="AD18" i="11"/>
  <c r="BG18" i="11" s="1"/>
  <c r="BU17" i="11"/>
  <c r="AN17" i="11"/>
  <c r="AD17" i="11"/>
  <c r="BG17" i="11" s="1"/>
  <c r="BU22" i="11"/>
  <c r="BK22" i="11"/>
  <c r="BK17" i="11"/>
  <c r="BK18" i="11"/>
  <c r="BK19" i="11"/>
  <c r="BU21" i="11"/>
  <c r="BK21" i="11"/>
  <c r="BK24" i="11"/>
  <c r="BK25" i="11"/>
  <c r="BK26" i="11"/>
  <c r="BU17" i="10"/>
  <c r="AN17" i="10"/>
  <c r="AD17" i="10"/>
  <c r="BG17" i="10" s="1"/>
  <c r="BU16" i="10"/>
  <c r="AN16" i="10"/>
  <c r="AD16" i="10"/>
  <c r="BG16" i="10" s="1"/>
  <c r="BU15" i="10"/>
  <c r="AN15" i="10"/>
  <c r="AD15" i="10"/>
  <c r="BG15" i="10" s="1"/>
  <c r="BT18" i="10"/>
  <c r="BJ18" i="10"/>
  <c r="BH18" i="10"/>
  <c r="BT20" i="10"/>
  <c r="BJ20" i="10"/>
  <c r="BH20" i="10"/>
  <c r="BT21" i="10"/>
  <c r="BJ21" i="10"/>
  <c r="AY21" i="10"/>
  <c r="AX21" i="10" s="1"/>
  <c r="AW21" i="10" s="1"/>
  <c r="AV21" i="10" s="1"/>
  <c r="AU21" i="10" s="1"/>
  <c r="AT21" i="10" s="1"/>
  <c r="AS21" i="10" s="1"/>
  <c r="AR21" i="10" s="1"/>
  <c r="AQ21" i="10" s="1"/>
  <c r="AP21" i="10" s="1"/>
  <c r="AE21" i="10"/>
  <c r="BH21" i="10" s="1"/>
  <c r="BK15" i="10"/>
  <c r="BK16" i="10"/>
  <c r="BK17" i="10"/>
  <c r="AE19" i="10"/>
  <c r="BH19" i="10" s="1"/>
  <c r="BT19" i="10"/>
  <c r="BJ19" i="10"/>
  <c r="BT23" i="10"/>
  <c r="BJ23" i="10"/>
  <c r="BT22" i="10"/>
  <c r="BJ22" i="10"/>
  <c r="BH22" i="10"/>
  <c r="BT24" i="10"/>
  <c r="BJ24" i="10"/>
  <c r="BH24" i="10"/>
  <c r="AE23" i="10"/>
  <c r="AY23" i="10"/>
  <c r="AX23" i="10" s="1"/>
  <c r="AW23" i="10" s="1"/>
  <c r="AV23" i="10" s="1"/>
  <c r="AU23" i="10" s="1"/>
  <c r="AT23" i="10" s="1"/>
  <c r="AS23" i="10" s="1"/>
  <c r="AR23" i="10" s="1"/>
  <c r="AQ23" i="10" s="1"/>
  <c r="AP23" i="10" s="1"/>
  <c r="BH25" i="10"/>
  <c r="BJ25" i="10"/>
  <c r="AE16" i="9"/>
  <c r="BH25" i="9"/>
  <c r="BJ25" i="9"/>
  <c r="BU24" i="9"/>
  <c r="AN24" i="9"/>
  <c r="AD24" i="9"/>
  <c r="BG24" i="9" s="1"/>
  <c r="BU23" i="9"/>
  <c r="AN23" i="9"/>
  <c r="AD23" i="9"/>
  <c r="BG23" i="9" s="1"/>
  <c r="AN21" i="9"/>
  <c r="AD21" i="9"/>
  <c r="AN20" i="9"/>
  <c r="AD20" i="9"/>
  <c r="BU19" i="9"/>
  <c r="BK19" i="9"/>
  <c r="AN19" i="9"/>
  <c r="AD19" i="9"/>
  <c r="BG19" i="9" s="1"/>
  <c r="BU21" i="9"/>
  <c r="BK21" i="9"/>
  <c r="BG21" i="9"/>
  <c r="AY16" i="9"/>
  <c r="AX16" i="9" s="1"/>
  <c r="AW16" i="9" s="1"/>
  <c r="AV16" i="9" s="1"/>
  <c r="AU16" i="9" s="1"/>
  <c r="AT16" i="9" s="1"/>
  <c r="AS16" i="9" s="1"/>
  <c r="AR16" i="9" s="1"/>
  <c r="AQ16" i="9" s="1"/>
  <c r="AP16" i="9" s="1"/>
  <c r="BJ16" i="9"/>
  <c r="BH17" i="9"/>
  <c r="BJ17" i="9"/>
  <c r="BT17" i="9"/>
  <c r="BH18" i="9"/>
  <c r="BJ18" i="9"/>
  <c r="BU20" i="9"/>
  <c r="BK20" i="9"/>
  <c r="BG20" i="9"/>
  <c r="BK23" i="9"/>
  <c r="BK24" i="9"/>
  <c r="BH15" i="9"/>
  <c r="BJ15" i="9"/>
  <c r="AE15" i="6"/>
  <c r="AY15" i="6"/>
  <c r="AX15" i="6" s="1"/>
  <c r="AW15" i="6" s="1"/>
  <c r="AV15" i="6" s="1"/>
  <c r="AU15" i="6" s="1"/>
  <c r="AT15" i="6" s="1"/>
  <c r="AS15" i="6" s="1"/>
  <c r="AR15" i="6" s="1"/>
  <c r="AQ15" i="6" s="1"/>
  <c r="AP15" i="6" s="1"/>
  <c r="AE20" i="6"/>
  <c r="BT20" i="6"/>
  <c r="AY18" i="6"/>
  <c r="AX18" i="6" s="1"/>
  <c r="AW18" i="6" s="1"/>
  <c r="AV18" i="6" s="1"/>
  <c r="AU18" i="6" s="1"/>
  <c r="AT18" i="6" s="1"/>
  <c r="AS18" i="6" s="1"/>
  <c r="AR18" i="6" s="1"/>
  <c r="AQ18" i="6" s="1"/>
  <c r="AP18" i="6" s="1"/>
  <c r="AO17" i="6"/>
  <c r="BJ17" i="6"/>
  <c r="AE17" i="6"/>
  <c r="AY17" i="6"/>
  <c r="AX17" i="6" s="1"/>
  <c r="AW17" i="6" s="1"/>
  <c r="AV17" i="6" s="1"/>
  <c r="AU17" i="6" s="1"/>
  <c r="AT17" i="6" s="1"/>
  <c r="AS17" i="6" s="1"/>
  <c r="AR17" i="6" s="1"/>
  <c r="AQ17" i="6" s="1"/>
  <c r="AP17" i="6" s="1"/>
  <c r="AO15" i="6"/>
  <c r="AE16" i="6"/>
  <c r="BT16" i="6"/>
  <c r="AE18" i="6"/>
  <c r="BH18" i="6" s="1"/>
  <c r="BU18" i="6" s="1"/>
  <c r="BT18" i="6"/>
  <c r="AY20" i="6"/>
  <c r="AX20" i="6" s="1"/>
  <c r="AW20" i="6" s="1"/>
  <c r="AV20" i="6" s="1"/>
  <c r="AU20" i="6" s="1"/>
  <c r="AT20" i="6" s="1"/>
  <c r="AS20" i="6" s="1"/>
  <c r="AR20" i="6" s="1"/>
  <c r="AQ20" i="6" s="1"/>
  <c r="AP20" i="6" s="1"/>
  <c r="AO19" i="6"/>
  <c r="AY16" i="6"/>
  <c r="AX16" i="6" s="1"/>
  <c r="AW16" i="6" s="1"/>
  <c r="AV16" i="6" s="1"/>
  <c r="AU16" i="6" s="1"/>
  <c r="AT16" i="6" s="1"/>
  <c r="AS16" i="6" s="1"/>
  <c r="AR16" i="6" s="1"/>
  <c r="AQ16" i="6" s="1"/>
  <c r="AP16" i="6" s="1"/>
  <c r="BH21" i="6"/>
  <c r="BJ21" i="6"/>
  <c r="AO20" i="6"/>
  <c r="AO18" i="6"/>
  <c r="AO16" i="6"/>
  <c r="BU19" i="6"/>
  <c r="AN19" i="6"/>
  <c r="AD19" i="6"/>
  <c r="BG19" i="6" s="1"/>
  <c r="BK18" i="6"/>
  <c r="AD18" i="6"/>
  <c r="BG18" i="6" s="1"/>
  <c r="BK19" i="6"/>
  <c r="CF38" i="12"/>
  <c r="CE38" i="12"/>
  <c r="CR38" i="12" s="1"/>
  <c r="CF37" i="12"/>
  <c r="CG37" i="12"/>
  <c r="CP37" i="12" s="1"/>
  <c r="CE37" i="12"/>
  <c r="CR37" i="12" s="1"/>
  <c r="BH22" i="9" l="1"/>
  <c r="BH17" i="6"/>
  <c r="AN17" i="6" s="1"/>
  <c r="BH28" i="11"/>
  <c r="BH23" i="10"/>
  <c r="BH22" i="12"/>
  <c r="BH30" i="12"/>
  <c r="BH19" i="12"/>
  <c r="BU19" i="12" s="1"/>
  <c r="BH31" i="16"/>
  <c r="BH28" i="12"/>
  <c r="BH20" i="11"/>
  <c r="BH23" i="11"/>
  <c r="BH24" i="12"/>
  <c r="BU25" i="12"/>
  <c r="BK25" i="12"/>
  <c r="AD25" i="12"/>
  <c r="BG25" i="12" s="1"/>
  <c r="BL25" i="12" s="1"/>
  <c r="AM25" i="12" s="1"/>
  <c r="AN21" i="16"/>
  <c r="AD21" i="16"/>
  <c r="BU21" i="16"/>
  <c r="BK21" i="16"/>
  <c r="BG21" i="16"/>
  <c r="AN19" i="16"/>
  <c r="AD19" i="16"/>
  <c r="BG19" i="16" s="1"/>
  <c r="BK19" i="16"/>
  <c r="BU19" i="16"/>
  <c r="BU30" i="16"/>
  <c r="BK30" i="16"/>
  <c r="AN30" i="16"/>
  <c r="AD30" i="16"/>
  <c r="BG30" i="16" s="1"/>
  <c r="AN28" i="16"/>
  <c r="AD28" i="16"/>
  <c r="BG28" i="16" s="1"/>
  <c r="BU28" i="16"/>
  <c r="BK28" i="16"/>
  <c r="AN29" i="16"/>
  <c r="AD29" i="16"/>
  <c r="BG29" i="16" s="1"/>
  <c r="BK29" i="16"/>
  <c r="BU29" i="16"/>
  <c r="AN25" i="16"/>
  <c r="AD25" i="16"/>
  <c r="BG25" i="16" s="1"/>
  <c r="BU25" i="16"/>
  <c r="BK25" i="16"/>
  <c r="AN26" i="16"/>
  <c r="AD26" i="16"/>
  <c r="BG26" i="16" s="1"/>
  <c r="BU26" i="16"/>
  <c r="BK26" i="16"/>
  <c r="AN22" i="16"/>
  <c r="AD22" i="16"/>
  <c r="BG22" i="16" s="1"/>
  <c r="BK22" i="16"/>
  <c r="BU22" i="16"/>
  <c r="AN18" i="16"/>
  <c r="AD18" i="16"/>
  <c r="BG18" i="16" s="1"/>
  <c r="BU18" i="16"/>
  <c r="BK18" i="16"/>
  <c r="AN27" i="16"/>
  <c r="AD27" i="16"/>
  <c r="BG27" i="16" s="1"/>
  <c r="BU27" i="16"/>
  <c r="BK27" i="16"/>
  <c r="AN23" i="16"/>
  <c r="AD23" i="16"/>
  <c r="BG23" i="16" s="1"/>
  <c r="BU23" i="16"/>
  <c r="BK23" i="16"/>
  <c r="BU17" i="16"/>
  <c r="BK17" i="16"/>
  <c r="AN17" i="16"/>
  <c r="AD17" i="16"/>
  <c r="BG17" i="16" s="1"/>
  <c r="AN24" i="16"/>
  <c r="AD24" i="16"/>
  <c r="BK24" i="16"/>
  <c r="BG24" i="16"/>
  <c r="BU24" i="16"/>
  <c r="AN20" i="16"/>
  <c r="AD20" i="16"/>
  <c r="BG20" i="16" s="1"/>
  <c r="BK20" i="16"/>
  <c r="BU20" i="16"/>
  <c r="BH16" i="12"/>
  <c r="BU16" i="12" s="1"/>
  <c r="BH21" i="12"/>
  <c r="AD21" i="12" s="1"/>
  <c r="BG21" i="12" s="1"/>
  <c r="BK21" i="12"/>
  <c r="AD19" i="12"/>
  <c r="BG19" i="12" s="1"/>
  <c r="BV19" i="12" s="1"/>
  <c r="BK19" i="12"/>
  <c r="AN19" i="12"/>
  <c r="AN29" i="12"/>
  <c r="AD29" i="12"/>
  <c r="BU29" i="12"/>
  <c r="BK29" i="12"/>
  <c r="BG29" i="12"/>
  <c r="AC19" i="12"/>
  <c r="BF19" i="12" s="1"/>
  <c r="AN28" i="12"/>
  <c r="AD28" i="12"/>
  <c r="BG28" i="12" s="1"/>
  <c r="BK28" i="12"/>
  <c r="BU28" i="12"/>
  <c r="BU30" i="12"/>
  <c r="BK30" i="12"/>
  <c r="AN30" i="12"/>
  <c r="AD30" i="12"/>
  <c r="BG30" i="12" s="1"/>
  <c r="BV23" i="12"/>
  <c r="BL23" i="12"/>
  <c r="AM23" i="12" s="1"/>
  <c r="AC23" i="12"/>
  <c r="BF23" i="12" s="1"/>
  <c r="AN26" i="12"/>
  <c r="AD26" i="12"/>
  <c r="BG26" i="12" s="1"/>
  <c r="BK26" i="12"/>
  <c r="BU26" i="12"/>
  <c r="AC20" i="12"/>
  <c r="BF20" i="12" s="1"/>
  <c r="BV20" i="12"/>
  <c r="BL20" i="12"/>
  <c r="AM20" i="12" s="1"/>
  <c r="BU18" i="12"/>
  <c r="BK18" i="12"/>
  <c r="AN18" i="12"/>
  <c r="AD18" i="12"/>
  <c r="BG18" i="12" s="1"/>
  <c r="BU17" i="12"/>
  <c r="AN17" i="12"/>
  <c r="AD17" i="12"/>
  <c r="BG17" i="12" s="1"/>
  <c r="BK17" i="12"/>
  <c r="BK16" i="12"/>
  <c r="AN16" i="12"/>
  <c r="AD16" i="12"/>
  <c r="BG16" i="12" s="1"/>
  <c r="AN27" i="12"/>
  <c r="AD27" i="12"/>
  <c r="BU27" i="12"/>
  <c r="BK27" i="12"/>
  <c r="BG27" i="12"/>
  <c r="BU31" i="11"/>
  <c r="BK31" i="11"/>
  <c r="AN31" i="11"/>
  <c r="AD31" i="11"/>
  <c r="BG31" i="11" s="1"/>
  <c r="BU27" i="11"/>
  <c r="AN27" i="11"/>
  <c r="AD27" i="11"/>
  <c r="BG27" i="11" s="1"/>
  <c r="BV30" i="11"/>
  <c r="BL30" i="11"/>
  <c r="AM30" i="11" s="1"/>
  <c r="AC30" i="11"/>
  <c r="BF30" i="11" s="1"/>
  <c r="BV29" i="11"/>
  <c r="BL29" i="11"/>
  <c r="AM29" i="11" s="1"/>
  <c r="AC29" i="11"/>
  <c r="BF29" i="11" s="1"/>
  <c r="BV21" i="11"/>
  <c r="BL21" i="11"/>
  <c r="AM21" i="11" s="1"/>
  <c r="AC21" i="11"/>
  <c r="BF21" i="11" s="1"/>
  <c r="AC22" i="11"/>
  <c r="BF22" i="11" s="1"/>
  <c r="BL22" i="11"/>
  <c r="AM22" i="11" s="1"/>
  <c r="BV22" i="11"/>
  <c r="BV26" i="11"/>
  <c r="BL26" i="11"/>
  <c r="AM26" i="11" s="1"/>
  <c r="AC26" i="11"/>
  <c r="BF26" i="11" s="1"/>
  <c r="BV25" i="11"/>
  <c r="BL25" i="11"/>
  <c r="AM25" i="11" s="1"/>
  <c r="AC25" i="11"/>
  <c r="BF25" i="11" s="1"/>
  <c r="BV24" i="11"/>
  <c r="BL24" i="11"/>
  <c r="AM24" i="11" s="1"/>
  <c r="AC24" i="11"/>
  <c r="BF24" i="11" s="1"/>
  <c r="BV19" i="11"/>
  <c r="BL19" i="11"/>
  <c r="AM19" i="11" s="1"/>
  <c r="AC19" i="11"/>
  <c r="BF19" i="11" s="1"/>
  <c r="BV18" i="11"/>
  <c r="BL18" i="11"/>
  <c r="AM18" i="11" s="1"/>
  <c r="AC18" i="11"/>
  <c r="BF18" i="11" s="1"/>
  <c r="BL17" i="11"/>
  <c r="AM17" i="11" s="1"/>
  <c r="AC17" i="11"/>
  <c r="BV17" i="11"/>
  <c r="BF17" i="11"/>
  <c r="AN23" i="10"/>
  <c r="AD23" i="10"/>
  <c r="BG23" i="10" s="1"/>
  <c r="BK23" i="10"/>
  <c r="BU23" i="10"/>
  <c r="AN21" i="10"/>
  <c r="AD21" i="10"/>
  <c r="BG21" i="10" s="1"/>
  <c r="BK21" i="10"/>
  <c r="BU21" i="10"/>
  <c r="BU25" i="10"/>
  <c r="BK25" i="10"/>
  <c r="AN25" i="10"/>
  <c r="AD25" i="10"/>
  <c r="BG25" i="10" s="1"/>
  <c r="AN22" i="10"/>
  <c r="AD22" i="10"/>
  <c r="BU22" i="10"/>
  <c r="BK22" i="10"/>
  <c r="BG22" i="10"/>
  <c r="AN19" i="10"/>
  <c r="AD19" i="10"/>
  <c r="BG19" i="10" s="1"/>
  <c r="BU19" i="10"/>
  <c r="BK19" i="10"/>
  <c r="AN18" i="10"/>
  <c r="AD18" i="10"/>
  <c r="BK18" i="10"/>
  <c r="BG18" i="10"/>
  <c r="BU18" i="10"/>
  <c r="AN24" i="10"/>
  <c r="AD24" i="10"/>
  <c r="BU24" i="10"/>
  <c r="BK24" i="10"/>
  <c r="BG24" i="10"/>
  <c r="BV17" i="10"/>
  <c r="BL17" i="10"/>
  <c r="AM17" i="10" s="1"/>
  <c r="AC17" i="10"/>
  <c r="BF17" i="10" s="1"/>
  <c r="BV16" i="10"/>
  <c r="BL16" i="10"/>
  <c r="AM16" i="10" s="1"/>
  <c r="AC16" i="10"/>
  <c r="BF16" i="10" s="1"/>
  <c r="BL15" i="10"/>
  <c r="AM15" i="10" s="1"/>
  <c r="AC15" i="10"/>
  <c r="BF15" i="10" s="1"/>
  <c r="BV15" i="10"/>
  <c r="AN20" i="10"/>
  <c r="AD20" i="10"/>
  <c r="BG20" i="10" s="1"/>
  <c r="BK20" i="10"/>
  <c r="BU20" i="10"/>
  <c r="AN25" i="9"/>
  <c r="AD25" i="9"/>
  <c r="BU25" i="9"/>
  <c r="BK25" i="9"/>
  <c r="BG25" i="9"/>
  <c r="BH16" i="9"/>
  <c r="AD16" i="9" s="1"/>
  <c r="BG16" i="9" s="1"/>
  <c r="AC19" i="9"/>
  <c r="BF19" i="9" s="1"/>
  <c r="BV19" i="9"/>
  <c r="BL19" i="9"/>
  <c r="AM19" i="9" s="1"/>
  <c r="BV24" i="9"/>
  <c r="BL24" i="9"/>
  <c r="AM24" i="9" s="1"/>
  <c r="AC24" i="9"/>
  <c r="BF24" i="9" s="1"/>
  <c r="BV23" i="9"/>
  <c r="BL23" i="9"/>
  <c r="AM23" i="9" s="1"/>
  <c r="AC23" i="9"/>
  <c r="BF23" i="9" s="1"/>
  <c r="AC20" i="9"/>
  <c r="BF20" i="9" s="1"/>
  <c r="BL20" i="9"/>
  <c r="AM20" i="9" s="1"/>
  <c r="BV20" i="9"/>
  <c r="BU18" i="9"/>
  <c r="BK18" i="9"/>
  <c r="AN18" i="9"/>
  <c r="AD18" i="9"/>
  <c r="BG18" i="9" s="1"/>
  <c r="BK17" i="9"/>
  <c r="AN17" i="9"/>
  <c r="AD17" i="9"/>
  <c r="BG17" i="9" s="1"/>
  <c r="BU17" i="9"/>
  <c r="AN16" i="9"/>
  <c r="AC21" i="9"/>
  <c r="BF21" i="9" s="1"/>
  <c r="BV21" i="9"/>
  <c r="BL21" i="9"/>
  <c r="AM21" i="9" s="1"/>
  <c r="AN15" i="9"/>
  <c r="AD15" i="9"/>
  <c r="BG15" i="9"/>
  <c r="BU15" i="9"/>
  <c r="BK15" i="9"/>
  <c r="BH20" i="6"/>
  <c r="AN18" i="6"/>
  <c r="BK20" i="6"/>
  <c r="AN20" i="6"/>
  <c r="BU20" i="6"/>
  <c r="BH15" i="6"/>
  <c r="BU17" i="6"/>
  <c r="AD17" i="6"/>
  <c r="BG17" i="6" s="1"/>
  <c r="BV17" i="6" s="1"/>
  <c r="BK17" i="6"/>
  <c r="BH16" i="6"/>
  <c r="AD20" i="6"/>
  <c r="BG20" i="6" s="1"/>
  <c r="BV20" i="6" s="1"/>
  <c r="AN21" i="6"/>
  <c r="AD21" i="6"/>
  <c r="BG21" i="6" s="1"/>
  <c r="BU21" i="6"/>
  <c r="BK21" i="6"/>
  <c r="BV18" i="6"/>
  <c r="BL18" i="6"/>
  <c r="AC18" i="6"/>
  <c r="BF18" i="6" s="1"/>
  <c r="BV19" i="6"/>
  <c r="BL19" i="6"/>
  <c r="AM19" i="6" s="1"/>
  <c r="AC19" i="6"/>
  <c r="BF19" i="6" s="1"/>
  <c r="CP38" i="12"/>
  <c r="CS37" i="12" s="1"/>
  <c r="CS38" i="12" s="1"/>
  <c r="CD36" i="12"/>
  <c r="CF36" i="12" s="1"/>
  <c r="CD35" i="12"/>
  <c r="CD33" i="12"/>
  <c r="CF33" i="12" s="1"/>
  <c r="BI34" i="10"/>
  <c r="CD34" i="10" s="1"/>
  <c r="BI30" i="10"/>
  <c r="BI32" i="10" s="1"/>
  <c r="BI28" i="10"/>
  <c r="CD28" i="10" s="1"/>
  <c r="CD30" i="10"/>
  <c r="AD31" i="16" l="1"/>
  <c r="BG31" i="16" s="1"/>
  <c r="BU31" i="16"/>
  <c r="BK31" i="16"/>
  <c r="AN31" i="16"/>
  <c r="BU22" i="12"/>
  <c r="AN22" i="12"/>
  <c r="BK22" i="12"/>
  <c r="AD22" i="12"/>
  <c r="BG22" i="12" s="1"/>
  <c r="AD23" i="11"/>
  <c r="BG23" i="11" s="1"/>
  <c r="BU23" i="11"/>
  <c r="BK23" i="11"/>
  <c r="AN23" i="11"/>
  <c r="AD28" i="11"/>
  <c r="BG28" i="11" s="1"/>
  <c r="BK28" i="11"/>
  <c r="BU28" i="11"/>
  <c r="AN28" i="11"/>
  <c r="BK20" i="11"/>
  <c r="BU20" i="11"/>
  <c r="AN20" i="11"/>
  <c r="AD20" i="11"/>
  <c r="BG20" i="11" s="1"/>
  <c r="AN22" i="9"/>
  <c r="BK22" i="9"/>
  <c r="AD22" i="9"/>
  <c r="BG22" i="9" s="1"/>
  <c r="BU22" i="9"/>
  <c r="BU24" i="12"/>
  <c r="AD24" i="12"/>
  <c r="BG24" i="12" s="1"/>
  <c r="BK24" i="12"/>
  <c r="AN24" i="12"/>
  <c r="AC25" i="12"/>
  <c r="BF25" i="12" s="1"/>
  <c r="BV25" i="12"/>
  <c r="AN21" i="12"/>
  <c r="BV17" i="16"/>
  <c r="BL17" i="16"/>
  <c r="AM17" i="16" s="1"/>
  <c r="AC17" i="16"/>
  <c r="BF17" i="16" s="1"/>
  <c r="BV28" i="16"/>
  <c r="BL28" i="16"/>
  <c r="AM28" i="16" s="1"/>
  <c r="AC28" i="16"/>
  <c r="BF28" i="16" s="1"/>
  <c r="BV18" i="16"/>
  <c r="BL18" i="16"/>
  <c r="AM18" i="16" s="1"/>
  <c r="AC18" i="16"/>
  <c r="BF18" i="16" s="1"/>
  <c r="BV25" i="16"/>
  <c r="BL25" i="16"/>
  <c r="AM25" i="16" s="1"/>
  <c r="AC25" i="16"/>
  <c r="BF25" i="16" s="1"/>
  <c r="BV23" i="16"/>
  <c r="BL23" i="16"/>
  <c r="AM23" i="16" s="1"/>
  <c r="AC23" i="16"/>
  <c r="BF23" i="16" s="1"/>
  <c r="BV30" i="16"/>
  <c r="BL30" i="16"/>
  <c r="AM30" i="16" s="1"/>
  <c r="AC30" i="16"/>
  <c r="BF30" i="16" s="1"/>
  <c r="BV20" i="16"/>
  <c r="BL20" i="16"/>
  <c r="AM20" i="16" s="1"/>
  <c r="AC20" i="16"/>
  <c r="BF20" i="16" s="1"/>
  <c r="BV22" i="16"/>
  <c r="BL22" i="16"/>
  <c r="AM22" i="16" s="1"/>
  <c r="AC22" i="16"/>
  <c r="BF22" i="16" s="1"/>
  <c r="BV26" i="16"/>
  <c r="BL26" i="16"/>
  <c r="AM26" i="16" s="1"/>
  <c r="AC26" i="16"/>
  <c r="BF26" i="16" s="1"/>
  <c r="BV19" i="16"/>
  <c r="BL19" i="16"/>
  <c r="AM19" i="16" s="1"/>
  <c r="AC19" i="16"/>
  <c r="BF19" i="16" s="1"/>
  <c r="BV21" i="16"/>
  <c r="BL21" i="16"/>
  <c r="AM21" i="16" s="1"/>
  <c r="AC21" i="16"/>
  <c r="BF21" i="16" s="1"/>
  <c r="BV24" i="16"/>
  <c r="BL24" i="16"/>
  <c r="AM24" i="16" s="1"/>
  <c r="AC24" i="16"/>
  <c r="BF24" i="16" s="1"/>
  <c r="BV27" i="16"/>
  <c r="BL27" i="16"/>
  <c r="AM27" i="16" s="1"/>
  <c r="AC27" i="16"/>
  <c r="BF27" i="16" s="1"/>
  <c r="BV29" i="16"/>
  <c r="BL29" i="16"/>
  <c r="AM29" i="16" s="1"/>
  <c r="AC29" i="16"/>
  <c r="BF29" i="16" s="1"/>
  <c r="AC21" i="12"/>
  <c r="BF21" i="12" s="1"/>
  <c r="BL21" i="12"/>
  <c r="AM21" i="12" s="1"/>
  <c r="BV21" i="12"/>
  <c r="BU21" i="12"/>
  <c r="BL19" i="12"/>
  <c r="AM19" i="12" s="1"/>
  <c r="AC18" i="12"/>
  <c r="BF18" i="12" s="1"/>
  <c r="BV18" i="12"/>
  <c r="BL18" i="12"/>
  <c r="AM18" i="12" s="1"/>
  <c r="BW20" i="12"/>
  <c r="BM20" i="12"/>
  <c r="AL20" i="12" s="1"/>
  <c r="AB20" i="12"/>
  <c r="BE20" i="12" s="1"/>
  <c r="AB23" i="12"/>
  <c r="BE23" i="12" s="1"/>
  <c r="BW23" i="12"/>
  <c r="BM23" i="12"/>
  <c r="AL23" i="12" s="1"/>
  <c r="AB25" i="12"/>
  <c r="BE25" i="12" s="1"/>
  <c r="BW25" i="12"/>
  <c r="BM25" i="12"/>
  <c r="AL25" i="12" s="1"/>
  <c r="AC16" i="12"/>
  <c r="BF16" i="12" s="1"/>
  <c r="BV16" i="12"/>
  <c r="BL16" i="12"/>
  <c r="AM16" i="12" s="1"/>
  <c r="BV26" i="12"/>
  <c r="BL26" i="12"/>
  <c r="AM26" i="12" s="1"/>
  <c r="AC26" i="12"/>
  <c r="BF26" i="12" s="1"/>
  <c r="BV30" i="12"/>
  <c r="BL30" i="12"/>
  <c r="AM30" i="12" s="1"/>
  <c r="AC30" i="12"/>
  <c r="BF30" i="12" s="1"/>
  <c r="BV27" i="12"/>
  <c r="BL27" i="12"/>
  <c r="AM27" i="12" s="1"/>
  <c r="AC27" i="12"/>
  <c r="BF27" i="12" s="1"/>
  <c r="BV28" i="12"/>
  <c r="BL28" i="12"/>
  <c r="AM28" i="12" s="1"/>
  <c r="AC28" i="12"/>
  <c r="BF28" i="12" s="1"/>
  <c r="AC17" i="12"/>
  <c r="BF17" i="12" s="1"/>
  <c r="BV17" i="12"/>
  <c r="BL17" i="12"/>
  <c r="AM17" i="12" s="1"/>
  <c r="BW19" i="12"/>
  <c r="BM19" i="12"/>
  <c r="AB19" i="12"/>
  <c r="BE19" i="12" s="1"/>
  <c r="BV29" i="12"/>
  <c r="BL29" i="12"/>
  <c r="AM29" i="12" s="1"/>
  <c r="AC29" i="12"/>
  <c r="BF29" i="12" s="1"/>
  <c r="AC31" i="11"/>
  <c r="BF31" i="11" s="1"/>
  <c r="BV31" i="11"/>
  <c r="BL31" i="11"/>
  <c r="AM31" i="11" s="1"/>
  <c r="BV27" i="11"/>
  <c r="AC27" i="11"/>
  <c r="BF27" i="11" s="1"/>
  <c r="BL27" i="11"/>
  <c r="AM27" i="11" s="1"/>
  <c r="AB30" i="11"/>
  <c r="BE30" i="11" s="1"/>
  <c r="BW30" i="11"/>
  <c r="BM30" i="11"/>
  <c r="AL30" i="11" s="1"/>
  <c r="AB29" i="11"/>
  <c r="BE29" i="11" s="1"/>
  <c r="BW29" i="11"/>
  <c r="BM29" i="11"/>
  <c r="AL29" i="11" s="1"/>
  <c r="AB25" i="11"/>
  <c r="BE25" i="11" s="1"/>
  <c r="BW25" i="11"/>
  <c r="BM25" i="11"/>
  <c r="AL25" i="11" s="1"/>
  <c r="AB19" i="11"/>
  <c r="BE19" i="11" s="1"/>
  <c r="BW19" i="11"/>
  <c r="BM19" i="11"/>
  <c r="AL19" i="11" s="1"/>
  <c r="AB24" i="11"/>
  <c r="BE24" i="11" s="1"/>
  <c r="BW24" i="11"/>
  <c r="BM24" i="11"/>
  <c r="AL24" i="11" s="1"/>
  <c r="BW21" i="11"/>
  <c r="BM21" i="11"/>
  <c r="AL21" i="11" s="1"/>
  <c r="AB21" i="11"/>
  <c r="BE21" i="11" s="1"/>
  <c r="AB26" i="11"/>
  <c r="BE26" i="11" s="1"/>
  <c r="BW26" i="11"/>
  <c r="BM26" i="11"/>
  <c r="AL26" i="11" s="1"/>
  <c r="BW17" i="11"/>
  <c r="BM17" i="11"/>
  <c r="AL17" i="11" s="1"/>
  <c r="AB17" i="11"/>
  <c r="BE17" i="11" s="1"/>
  <c r="BW18" i="11"/>
  <c r="BM18" i="11"/>
  <c r="AL18" i="11" s="1"/>
  <c r="AB18" i="11"/>
  <c r="BE18" i="11" s="1"/>
  <c r="BW22" i="11"/>
  <c r="BM22" i="11"/>
  <c r="AL22" i="11" s="1"/>
  <c r="AB22" i="11"/>
  <c r="BE22" i="11" s="1"/>
  <c r="BV20" i="10"/>
  <c r="BL20" i="10"/>
  <c r="AM20" i="10" s="1"/>
  <c r="AC20" i="10"/>
  <c r="BF20" i="10" s="1"/>
  <c r="BV19" i="10"/>
  <c r="BL19" i="10"/>
  <c r="AM19" i="10" s="1"/>
  <c r="AC19" i="10"/>
  <c r="BF19" i="10" s="1"/>
  <c r="BW15" i="10"/>
  <c r="BM15" i="10"/>
  <c r="AL15" i="10" s="1"/>
  <c r="AB15" i="10"/>
  <c r="BE15" i="10" s="1"/>
  <c r="AB17" i="10"/>
  <c r="BE17" i="10" s="1"/>
  <c r="BW17" i="10"/>
  <c r="BM17" i="10"/>
  <c r="AL17" i="10" s="1"/>
  <c r="BV25" i="10"/>
  <c r="BL25" i="10"/>
  <c r="AM25" i="10" s="1"/>
  <c r="AC25" i="10"/>
  <c r="BF25" i="10" s="1"/>
  <c r="BV18" i="10"/>
  <c r="BL18" i="10"/>
  <c r="AM18" i="10" s="1"/>
  <c r="AC18" i="10"/>
  <c r="BF18" i="10" s="1"/>
  <c r="BV21" i="10"/>
  <c r="BL21" i="10"/>
  <c r="AM21" i="10" s="1"/>
  <c r="AC21" i="10"/>
  <c r="BF21" i="10" s="1"/>
  <c r="BW16" i="10"/>
  <c r="BM16" i="10"/>
  <c r="AL16" i="10" s="1"/>
  <c r="AB16" i="10"/>
  <c r="BE16" i="10" s="1"/>
  <c r="BV24" i="10"/>
  <c r="BL24" i="10"/>
  <c r="AM24" i="10" s="1"/>
  <c r="AC24" i="10"/>
  <c r="BF24" i="10" s="1"/>
  <c r="BV22" i="10"/>
  <c r="BL22" i="10"/>
  <c r="AM22" i="10" s="1"/>
  <c r="AC22" i="10"/>
  <c r="BF22" i="10" s="1"/>
  <c r="BV23" i="10"/>
  <c r="BL23" i="10"/>
  <c r="AM23" i="10" s="1"/>
  <c r="AC23" i="10"/>
  <c r="BF23" i="10" s="1"/>
  <c r="BU16" i="9"/>
  <c r="BK16" i="9"/>
  <c r="BV25" i="9"/>
  <c r="BL25" i="9"/>
  <c r="AM25" i="9" s="1"/>
  <c r="AC25" i="9"/>
  <c r="BF25" i="9" s="1"/>
  <c r="BW21" i="9"/>
  <c r="BM21" i="9"/>
  <c r="AL21" i="9" s="1"/>
  <c r="AB21" i="9"/>
  <c r="BE21" i="9" s="1"/>
  <c r="AC17" i="9"/>
  <c r="BF17" i="9" s="1"/>
  <c r="BV17" i="9"/>
  <c r="BL17" i="9"/>
  <c r="AM17" i="9" s="1"/>
  <c r="AC16" i="9"/>
  <c r="BF16" i="9" s="1"/>
  <c r="BV16" i="9"/>
  <c r="BL16" i="9"/>
  <c r="AM16" i="9" s="1"/>
  <c r="AC18" i="9"/>
  <c r="BF18" i="9" s="1"/>
  <c r="BV18" i="9"/>
  <c r="BL18" i="9"/>
  <c r="AM18" i="9" s="1"/>
  <c r="AB23" i="9"/>
  <c r="BE23" i="9" s="1"/>
  <c r="BW23" i="9"/>
  <c r="BM23" i="9"/>
  <c r="AL23" i="9" s="1"/>
  <c r="BW20" i="9"/>
  <c r="BM20" i="9"/>
  <c r="AL20" i="9" s="1"/>
  <c r="AB20" i="9"/>
  <c r="BE20" i="9" s="1"/>
  <c r="AB24" i="9"/>
  <c r="BE24" i="9" s="1"/>
  <c r="BW24" i="9"/>
  <c r="BM24" i="9"/>
  <c r="AL24" i="9" s="1"/>
  <c r="BW19" i="9"/>
  <c r="BM19" i="9"/>
  <c r="AL19" i="9" s="1"/>
  <c r="AB19" i="9"/>
  <c r="BE19" i="9" s="1"/>
  <c r="BV15" i="9"/>
  <c r="BL15" i="9"/>
  <c r="AM15" i="9" s="1"/>
  <c r="AC15" i="9"/>
  <c r="BF15" i="9" s="1"/>
  <c r="AM18" i="6"/>
  <c r="BL17" i="6"/>
  <c r="AM17" i="6" s="1"/>
  <c r="AC17" i="6"/>
  <c r="BF17" i="6" s="1"/>
  <c r="BW17" i="6" s="1"/>
  <c r="AD15" i="6"/>
  <c r="BG15" i="6" s="1"/>
  <c r="BU15" i="6"/>
  <c r="AN15" i="6"/>
  <c r="BK15" i="6"/>
  <c r="BK16" i="6"/>
  <c r="AD16" i="6"/>
  <c r="BG16" i="6" s="1"/>
  <c r="BU16" i="6"/>
  <c r="AN16" i="6"/>
  <c r="BL20" i="6"/>
  <c r="AM20" i="6" s="1"/>
  <c r="AC20" i="6"/>
  <c r="BF20" i="6" s="1"/>
  <c r="AB20" i="6" s="1"/>
  <c r="BE20" i="6" s="1"/>
  <c r="BV21" i="6"/>
  <c r="BL21" i="6"/>
  <c r="AM21" i="6" s="1"/>
  <c r="AC21" i="6"/>
  <c r="BF21" i="6" s="1"/>
  <c r="BW18" i="6"/>
  <c r="BM18" i="6"/>
  <c r="AL18" i="6" s="1"/>
  <c r="AB18" i="6"/>
  <c r="BE18" i="6" s="1"/>
  <c r="BW20" i="6"/>
  <c r="BM20" i="6"/>
  <c r="BW19" i="6"/>
  <c r="BM19" i="6"/>
  <c r="AL19" i="6" s="1"/>
  <c r="AB19" i="6"/>
  <c r="BE19" i="6" s="1"/>
  <c r="CF35" i="12"/>
  <c r="CG35" i="12"/>
  <c r="CE35" i="12"/>
  <c r="CE33" i="12"/>
  <c r="CR33" i="12" s="1"/>
  <c r="CG33" i="12"/>
  <c r="CD34" i="12"/>
  <c r="CE36" i="12"/>
  <c r="CR36" i="12" s="1"/>
  <c r="CG36" i="12"/>
  <c r="CP39" i="12" s="1"/>
  <c r="CE28" i="10"/>
  <c r="CR28" i="10" s="1"/>
  <c r="CF28" i="10"/>
  <c r="CG28" i="10"/>
  <c r="CG34" i="10"/>
  <c r="CE34" i="10"/>
  <c r="CR34" i="10" s="1"/>
  <c r="CF34" i="10"/>
  <c r="CF30" i="10"/>
  <c r="CG30" i="10"/>
  <c r="CE30" i="10"/>
  <c r="CR30" i="10" s="1"/>
  <c r="CD32" i="10"/>
  <c r="BV23" i="11" l="1"/>
  <c r="BL23" i="11"/>
  <c r="AM23" i="11" s="1"/>
  <c r="AC23" i="11"/>
  <c r="BF23" i="11" s="1"/>
  <c r="AB27" i="11"/>
  <c r="BE27" i="11" s="1"/>
  <c r="BW27" i="11"/>
  <c r="BM27" i="11"/>
  <c r="BV22" i="9"/>
  <c r="AC22" i="9"/>
  <c r="BF22" i="9"/>
  <c r="BL22" i="9"/>
  <c r="AM22" i="9" s="1"/>
  <c r="AB17" i="6"/>
  <c r="BE17" i="6" s="1"/>
  <c r="BV22" i="12"/>
  <c r="BL22" i="12"/>
  <c r="AM22" i="12" s="1"/>
  <c r="AC22" i="12"/>
  <c r="BF22" i="12" s="1"/>
  <c r="BV28" i="11"/>
  <c r="BL28" i="11"/>
  <c r="AM28" i="11" s="1"/>
  <c r="AC28" i="11"/>
  <c r="BF28" i="11" s="1"/>
  <c r="BV20" i="11"/>
  <c r="BL20" i="11"/>
  <c r="AM20" i="11" s="1"/>
  <c r="AC20" i="11"/>
  <c r="BF20" i="11" s="1"/>
  <c r="BM17" i="6"/>
  <c r="AL17" i="6" s="1"/>
  <c r="BV31" i="16"/>
  <c r="BL31" i="16"/>
  <c r="AM31" i="16" s="1"/>
  <c r="AC31" i="16"/>
  <c r="BF31" i="16" s="1"/>
  <c r="BV24" i="12"/>
  <c r="AC24" i="12"/>
  <c r="BF24" i="12" s="1"/>
  <c r="BL24" i="12"/>
  <c r="AM24" i="12" s="1"/>
  <c r="AB23" i="16"/>
  <c r="BM23" i="16"/>
  <c r="AL23" i="16" s="1"/>
  <c r="BE23" i="16"/>
  <c r="BW23" i="16"/>
  <c r="AB18" i="16"/>
  <c r="BE18" i="16" s="1"/>
  <c r="BM18" i="16"/>
  <c r="AL18" i="16" s="1"/>
  <c r="BW18" i="16"/>
  <c r="BW17" i="16"/>
  <c r="BM17" i="16"/>
  <c r="AL17" i="16" s="1"/>
  <c r="AB17" i="16"/>
  <c r="BE17" i="16" s="1"/>
  <c r="BW30" i="16"/>
  <c r="BM30" i="16"/>
  <c r="AL30" i="16" s="1"/>
  <c r="BE30" i="16"/>
  <c r="AB30" i="16"/>
  <c r="AB25" i="16"/>
  <c r="BE25" i="16" s="1"/>
  <c r="BM25" i="16"/>
  <c r="AL25" i="16" s="1"/>
  <c r="BW25" i="16"/>
  <c r="AB28" i="16"/>
  <c r="BM28" i="16"/>
  <c r="AL28" i="16" s="1"/>
  <c r="BE28" i="16"/>
  <c r="BW28" i="16"/>
  <c r="AB29" i="16"/>
  <c r="BE29" i="16" s="1"/>
  <c r="BW29" i="16"/>
  <c r="BM29" i="16"/>
  <c r="AL29" i="16" s="1"/>
  <c r="AB27" i="16"/>
  <c r="BE27" i="16" s="1"/>
  <c r="BM27" i="16"/>
  <c r="AL27" i="16" s="1"/>
  <c r="BW27" i="16"/>
  <c r="AB24" i="16"/>
  <c r="BE24" i="16" s="1"/>
  <c r="BW24" i="16"/>
  <c r="BM24" i="16"/>
  <c r="AL24" i="16" s="1"/>
  <c r="AB21" i="16"/>
  <c r="BE21" i="16" s="1"/>
  <c r="BM21" i="16"/>
  <c r="AL21" i="16" s="1"/>
  <c r="BW21" i="16"/>
  <c r="AB19" i="16"/>
  <c r="BE19" i="16" s="1"/>
  <c r="BW19" i="16"/>
  <c r="BM19" i="16"/>
  <c r="AL19" i="16" s="1"/>
  <c r="BW26" i="16"/>
  <c r="AB26" i="16"/>
  <c r="BE26" i="16" s="1"/>
  <c r="BM26" i="16"/>
  <c r="AL26" i="16" s="1"/>
  <c r="AB22" i="16"/>
  <c r="BE22" i="16" s="1"/>
  <c r="BW22" i="16"/>
  <c r="BM22" i="16"/>
  <c r="AL22" i="16" s="1"/>
  <c r="AB20" i="16"/>
  <c r="BE20" i="16" s="1"/>
  <c r="BW20" i="16"/>
  <c r="BM20" i="16"/>
  <c r="AL20" i="16" s="1"/>
  <c r="BM21" i="12"/>
  <c r="AL21" i="12" s="1"/>
  <c r="BW21" i="12"/>
  <c r="AB21" i="12"/>
  <c r="BE21" i="12" s="1"/>
  <c r="AA21" i="12" s="1"/>
  <c r="BD21" i="12" s="1"/>
  <c r="AL19" i="12"/>
  <c r="BX19" i="12"/>
  <c r="AA19" i="12"/>
  <c r="BN19" i="12"/>
  <c r="AK19" i="12" s="1"/>
  <c r="BD19" i="12"/>
  <c r="AB28" i="12"/>
  <c r="BE28" i="12" s="1"/>
  <c r="BW28" i="12"/>
  <c r="BM28" i="12"/>
  <c r="AL28" i="12" s="1"/>
  <c r="BW16" i="12"/>
  <c r="BM16" i="12"/>
  <c r="AL16" i="12" s="1"/>
  <c r="AB16" i="12"/>
  <c r="BE16" i="12" s="1"/>
  <c r="AA20" i="12"/>
  <c r="BD20" i="12" s="1"/>
  <c r="BN20" i="12"/>
  <c r="AK20" i="12" s="1"/>
  <c r="BX20" i="12"/>
  <c r="AB29" i="12"/>
  <c r="BM29" i="12"/>
  <c r="AL29" i="12" s="1"/>
  <c r="BE29" i="12"/>
  <c r="BW29" i="12"/>
  <c r="AB27" i="12"/>
  <c r="BE27" i="12" s="1"/>
  <c r="BM27" i="12"/>
  <c r="AL27" i="12" s="1"/>
  <c r="BW27" i="12"/>
  <c r="BX25" i="12"/>
  <c r="BN25" i="12"/>
  <c r="AK25" i="12" s="1"/>
  <c r="AA25" i="12"/>
  <c r="BD25" i="12" s="1"/>
  <c r="BW30" i="12"/>
  <c r="BM30" i="12"/>
  <c r="AL30" i="12" s="1"/>
  <c r="AB30" i="12"/>
  <c r="BE30" i="12" s="1"/>
  <c r="AB26" i="12"/>
  <c r="BE26" i="12" s="1"/>
  <c r="BW26" i="12"/>
  <c r="BM26" i="12"/>
  <c r="AL26" i="12" s="1"/>
  <c r="BM17" i="12"/>
  <c r="AL17" i="12" s="1"/>
  <c r="AB17" i="12"/>
  <c r="BE17" i="12" s="1"/>
  <c r="BW17" i="12"/>
  <c r="BX23" i="12"/>
  <c r="BN23" i="12"/>
  <c r="AK23" i="12" s="1"/>
  <c r="AA23" i="12"/>
  <c r="BD23" i="12" s="1"/>
  <c r="BW18" i="12"/>
  <c r="BM18" i="12"/>
  <c r="AL18" i="12" s="1"/>
  <c r="AB18" i="12"/>
  <c r="BE18" i="12" s="1"/>
  <c r="BW31" i="11"/>
  <c r="BM31" i="11"/>
  <c r="AL31" i="11" s="1"/>
  <c r="AB31" i="11"/>
  <c r="BE31" i="11" s="1"/>
  <c r="AL27" i="11"/>
  <c r="BX30" i="11"/>
  <c r="BN30" i="11"/>
  <c r="AK30" i="11" s="1"/>
  <c r="AA30" i="11"/>
  <c r="BD30" i="11" s="1"/>
  <c r="BX29" i="11"/>
  <c r="BN29" i="11"/>
  <c r="AK29" i="11" s="1"/>
  <c r="AA29" i="11"/>
  <c r="BD29" i="11" s="1"/>
  <c r="BX19" i="11"/>
  <c r="BN19" i="11"/>
  <c r="AK19" i="11" s="1"/>
  <c r="AA19" i="11"/>
  <c r="BD19" i="11" s="1"/>
  <c r="AA22" i="11"/>
  <c r="BD22" i="11" s="1"/>
  <c r="BX22" i="11"/>
  <c r="BN22" i="11"/>
  <c r="AK22" i="11" s="1"/>
  <c r="BX18" i="11"/>
  <c r="BN18" i="11"/>
  <c r="AK18" i="11" s="1"/>
  <c r="AA18" i="11"/>
  <c r="BD18" i="11" s="1"/>
  <c r="BX24" i="11"/>
  <c r="BN24" i="11"/>
  <c r="AK24" i="11" s="1"/>
  <c r="AA24" i="11"/>
  <c r="BD24" i="11" s="1"/>
  <c r="BX25" i="11"/>
  <c r="BN25" i="11"/>
  <c r="AK25" i="11" s="1"/>
  <c r="AA25" i="11"/>
  <c r="BD25" i="11" s="1"/>
  <c r="BN17" i="11"/>
  <c r="AK17" i="11" s="1"/>
  <c r="AA17" i="11"/>
  <c r="BX17" i="11"/>
  <c r="BD17" i="11"/>
  <c r="BX26" i="11"/>
  <c r="BN26" i="11"/>
  <c r="AK26" i="11" s="1"/>
  <c r="AA26" i="11"/>
  <c r="BD26" i="11" s="1"/>
  <c r="BN21" i="11"/>
  <c r="AK21" i="11" s="1"/>
  <c r="BX21" i="11"/>
  <c r="AA21" i="11"/>
  <c r="BD21" i="11" s="1"/>
  <c r="AB22" i="10"/>
  <c r="BE22" i="10" s="1"/>
  <c r="BM22" i="10"/>
  <c r="AL22" i="10" s="1"/>
  <c r="BW22" i="10"/>
  <c r="BX16" i="10"/>
  <c r="BN16" i="10"/>
  <c r="AK16" i="10" s="1"/>
  <c r="AA16" i="10"/>
  <c r="BD16" i="10" s="1"/>
  <c r="BN15" i="10"/>
  <c r="AK15" i="10" s="1"/>
  <c r="AA15" i="10"/>
  <c r="BD15" i="10" s="1"/>
  <c r="BX15" i="10"/>
  <c r="AB20" i="10"/>
  <c r="BW20" i="10"/>
  <c r="BM20" i="10"/>
  <c r="AL20" i="10" s="1"/>
  <c r="BE20" i="10"/>
  <c r="AB23" i="10"/>
  <c r="BE23" i="10" s="1"/>
  <c r="BW23" i="10"/>
  <c r="BM23" i="10"/>
  <c r="AL23" i="10" s="1"/>
  <c r="AB24" i="10"/>
  <c r="BM24" i="10"/>
  <c r="AL24" i="10" s="1"/>
  <c r="BE24" i="10"/>
  <c r="BW24" i="10"/>
  <c r="BW25" i="10"/>
  <c r="BM25" i="10"/>
  <c r="AL25" i="10" s="1"/>
  <c r="AB25" i="10"/>
  <c r="BE25" i="10" s="1"/>
  <c r="AB19" i="10"/>
  <c r="BM19" i="10"/>
  <c r="AL19" i="10" s="1"/>
  <c r="BE19" i="10"/>
  <c r="BW19" i="10"/>
  <c r="AB21" i="10"/>
  <c r="BE21" i="10" s="1"/>
  <c r="BW21" i="10"/>
  <c r="BM21" i="10"/>
  <c r="AL21" i="10" s="1"/>
  <c r="AB18" i="10"/>
  <c r="BE18" i="10" s="1"/>
  <c r="BW18" i="10"/>
  <c r="BM18" i="10"/>
  <c r="AL18" i="10" s="1"/>
  <c r="BX17" i="10"/>
  <c r="BN17" i="10"/>
  <c r="AK17" i="10" s="1"/>
  <c r="AA17" i="10"/>
  <c r="BD17" i="10" s="1"/>
  <c r="AB25" i="9"/>
  <c r="BE25" i="9" s="1"/>
  <c r="BW25" i="9"/>
  <c r="BM25" i="9"/>
  <c r="AL25" i="9" s="1"/>
  <c r="BX23" i="9"/>
  <c r="BN23" i="9"/>
  <c r="AK23" i="9" s="1"/>
  <c r="AA23" i="9"/>
  <c r="BD23" i="9" s="1"/>
  <c r="BX19" i="9"/>
  <c r="AA19" i="9"/>
  <c r="BD19" i="9" s="1"/>
  <c r="BN19" i="9"/>
  <c r="AK19" i="9" s="1"/>
  <c r="BX24" i="9"/>
  <c r="BN24" i="9"/>
  <c r="AK24" i="9" s="1"/>
  <c r="AA24" i="9"/>
  <c r="BD24" i="9" s="1"/>
  <c r="BW18" i="9"/>
  <c r="BM18" i="9"/>
  <c r="AL18" i="9" s="1"/>
  <c r="AB18" i="9"/>
  <c r="BE18" i="9" s="1"/>
  <c r="AA21" i="9"/>
  <c r="BD21" i="9" s="1"/>
  <c r="BX21" i="9"/>
  <c r="BN21" i="9"/>
  <c r="AK21" i="9" s="1"/>
  <c r="BW16" i="9"/>
  <c r="AB16" i="9"/>
  <c r="BE16" i="9" s="1"/>
  <c r="BM16" i="9"/>
  <c r="AL16" i="9" s="1"/>
  <c r="AA20" i="9"/>
  <c r="BD20" i="9" s="1"/>
  <c r="BX20" i="9"/>
  <c r="BN20" i="9"/>
  <c r="AK20" i="9" s="1"/>
  <c r="BW17" i="9"/>
  <c r="AB17" i="9"/>
  <c r="BE17" i="9" s="1"/>
  <c r="BM17" i="9"/>
  <c r="AL17" i="9" s="1"/>
  <c r="AB15" i="9"/>
  <c r="BE15" i="9" s="1"/>
  <c r="BW15" i="9"/>
  <c r="BM15" i="9"/>
  <c r="AL15" i="9" s="1"/>
  <c r="AL20" i="6"/>
  <c r="BL15" i="6"/>
  <c r="AM15" i="6" s="1"/>
  <c r="BV15" i="6"/>
  <c r="AC15" i="6"/>
  <c r="BF15" i="6" s="1"/>
  <c r="AC16" i="6"/>
  <c r="BF16" i="6" s="1"/>
  <c r="BV16" i="6"/>
  <c r="BL16" i="6"/>
  <c r="AM16" i="6" s="1"/>
  <c r="AB21" i="6"/>
  <c r="BE21" i="6" s="1"/>
  <c r="BW21" i="6"/>
  <c r="BM21" i="6"/>
  <c r="AL21" i="6" s="1"/>
  <c r="BX20" i="6"/>
  <c r="BN20" i="6"/>
  <c r="AK20" i="6" s="1"/>
  <c r="AA20" i="6"/>
  <c r="BD20" i="6" s="1"/>
  <c r="BX19" i="6"/>
  <c r="BN19" i="6"/>
  <c r="AK19" i="6" s="1"/>
  <c r="AA19" i="6"/>
  <c r="BD19" i="6" s="1"/>
  <c r="BX18" i="6"/>
  <c r="BN18" i="6"/>
  <c r="AK18" i="6" s="1"/>
  <c r="AA18" i="6"/>
  <c r="BD18" i="6" s="1"/>
  <c r="BX17" i="6"/>
  <c r="BN17" i="6"/>
  <c r="AK17" i="6" s="1"/>
  <c r="AA17" i="6"/>
  <c r="BD17" i="6" s="1"/>
  <c r="CG34" i="12"/>
  <c r="CP33" i="12" s="1"/>
  <c r="CE34" i="12"/>
  <c r="CR34" i="12" s="1"/>
  <c r="CF34" i="12"/>
  <c r="CP35" i="12"/>
  <c r="CP36" i="12" s="1"/>
  <c r="CP28" i="10"/>
  <c r="CP30" i="10" s="1"/>
  <c r="CF32" i="10"/>
  <c r="CG32" i="10"/>
  <c r="CP32" i="10" s="1"/>
  <c r="CE32" i="10"/>
  <c r="BW31" i="16" l="1"/>
  <c r="BM31" i="16"/>
  <c r="AL31" i="16" s="1"/>
  <c r="AB31" i="16"/>
  <c r="BE31" i="16" s="1"/>
  <c r="BX27" i="11"/>
  <c r="BN27" i="11"/>
  <c r="AK27" i="11" s="1"/>
  <c r="AA27" i="11"/>
  <c r="BD27" i="11" s="1"/>
  <c r="BM22" i="12"/>
  <c r="AL22" i="12" s="1"/>
  <c r="AB22" i="12"/>
  <c r="BE22" i="12" s="1"/>
  <c r="BW22" i="12"/>
  <c r="AB20" i="11"/>
  <c r="BE20" i="11" s="1"/>
  <c r="BW20" i="11"/>
  <c r="BM20" i="11"/>
  <c r="AL20" i="11" s="1"/>
  <c r="BW23" i="11"/>
  <c r="BM23" i="11"/>
  <c r="AL23" i="11" s="1"/>
  <c r="AB23" i="11"/>
  <c r="BE23" i="11" s="1"/>
  <c r="AB28" i="11"/>
  <c r="BW28" i="11"/>
  <c r="BM28" i="11"/>
  <c r="AL28" i="11" s="1"/>
  <c r="BE28" i="11"/>
  <c r="BW22" i="9"/>
  <c r="BM22" i="9"/>
  <c r="AL22" i="9" s="1"/>
  <c r="AB22" i="9"/>
  <c r="BE22" i="9" s="1"/>
  <c r="BW24" i="12"/>
  <c r="AB24" i="12"/>
  <c r="BE24" i="12" s="1"/>
  <c r="BM24" i="12"/>
  <c r="AL24" i="12" s="1"/>
  <c r="BX20" i="16"/>
  <c r="BN20" i="16"/>
  <c r="AK20" i="16" s="1"/>
  <c r="AA20" i="16"/>
  <c r="BD20" i="16" s="1"/>
  <c r="BX22" i="16"/>
  <c r="BN22" i="16"/>
  <c r="AK22" i="16" s="1"/>
  <c r="AA22" i="16"/>
  <c r="BD22" i="16" s="1"/>
  <c r="BX24" i="16"/>
  <c r="BN24" i="16"/>
  <c r="AK24" i="16" s="1"/>
  <c r="AA24" i="16"/>
  <c r="BD24" i="16" s="1"/>
  <c r="BX17" i="16"/>
  <c r="BN17" i="16"/>
  <c r="AK17" i="16" s="1"/>
  <c r="AA17" i="16"/>
  <c r="BD17" i="16" s="1"/>
  <c r="BX19" i="16"/>
  <c r="BN19" i="16"/>
  <c r="AK19" i="16" s="1"/>
  <c r="AA19" i="16"/>
  <c r="BD19" i="16" s="1"/>
  <c r="BX29" i="16"/>
  <c r="BN29" i="16"/>
  <c r="AK29" i="16" s="1"/>
  <c r="AA29" i="16"/>
  <c r="BD29" i="16" s="1"/>
  <c r="BX26" i="16"/>
  <c r="BN26" i="16"/>
  <c r="AK26" i="16" s="1"/>
  <c r="AA26" i="16"/>
  <c r="BD26" i="16" s="1"/>
  <c r="BX18" i="16"/>
  <c r="BN18" i="16"/>
  <c r="AK18" i="16" s="1"/>
  <c r="AA18" i="16"/>
  <c r="BD18" i="16" s="1"/>
  <c r="BX23" i="16"/>
  <c r="BN23" i="16"/>
  <c r="AK23" i="16" s="1"/>
  <c r="AA23" i="16"/>
  <c r="BD23" i="16" s="1"/>
  <c r="BX21" i="16"/>
  <c r="BN21" i="16"/>
  <c r="AK21" i="16" s="1"/>
  <c r="AA21" i="16"/>
  <c r="BD21" i="16" s="1"/>
  <c r="BX27" i="16"/>
  <c r="BN27" i="16"/>
  <c r="AK27" i="16" s="1"/>
  <c r="AA27" i="16"/>
  <c r="BD27" i="16" s="1"/>
  <c r="BX28" i="16"/>
  <c r="BN28" i="16"/>
  <c r="AK28" i="16" s="1"/>
  <c r="AA28" i="16"/>
  <c r="BD28" i="16" s="1"/>
  <c r="BX25" i="16"/>
  <c r="BN25" i="16"/>
  <c r="AK25" i="16" s="1"/>
  <c r="AA25" i="16"/>
  <c r="BD25" i="16" s="1"/>
  <c r="BX30" i="16"/>
  <c r="BN30" i="16"/>
  <c r="AK30" i="16" s="1"/>
  <c r="AA30" i="16"/>
  <c r="BD30" i="16" s="1"/>
  <c r="BX21" i="12"/>
  <c r="BN21" i="12"/>
  <c r="AK21" i="12" s="1"/>
  <c r="AA18" i="12"/>
  <c r="BD18" i="12" s="1"/>
  <c r="BX18" i="12"/>
  <c r="BN18" i="12"/>
  <c r="AK18" i="12" s="1"/>
  <c r="BY25" i="12"/>
  <c r="Z25" i="12"/>
  <c r="BO25" i="12"/>
  <c r="AJ25" i="12" s="1"/>
  <c r="BC25" i="12"/>
  <c r="BX28" i="12"/>
  <c r="BN28" i="12"/>
  <c r="AK28" i="12" s="1"/>
  <c r="AA28" i="12"/>
  <c r="BD28" i="12" s="1"/>
  <c r="BX30" i="12"/>
  <c r="BN30" i="12"/>
  <c r="AK30" i="12" s="1"/>
  <c r="AA30" i="12"/>
  <c r="BD30" i="12" s="1"/>
  <c r="AA17" i="12"/>
  <c r="BD17" i="12" s="1"/>
  <c r="BX17" i="12"/>
  <c r="BN17" i="12"/>
  <c r="AK17" i="12" s="1"/>
  <c r="BX27" i="12"/>
  <c r="BN27" i="12"/>
  <c r="AK27" i="12" s="1"/>
  <c r="AA27" i="12"/>
  <c r="BD27" i="12" s="1"/>
  <c r="BX29" i="12"/>
  <c r="BN29" i="12"/>
  <c r="AK29" i="12" s="1"/>
  <c r="AA29" i="12"/>
  <c r="BD29" i="12" s="1"/>
  <c r="BY20" i="12"/>
  <c r="BO20" i="12"/>
  <c r="AJ20" i="12" s="1"/>
  <c r="Z20" i="12"/>
  <c r="BC20" i="12" s="1"/>
  <c r="BX16" i="12"/>
  <c r="BN16" i="12"/>
  <c r="AK16" i="12" s="1"/>
  <c r="AA16" i="12"/>
  <c r="BD16" i="12" s="1"/>
  <c r="Z23" i="12"/>
  <c r="BC23" i="12" s="1"/>
  <c r="BY23" i="12"/>
  <c r="BO23" i="12"/>
  <c r="AJ23" i="12" s="1"/>
  <c r="BX26" i="12"/>
  <c r="BN26" i="12"/>
  <c r="AK26" i="12" s="1"/>
  <c r="AA26" i="12"/>
  <c r="BD26" i="12" s="1"/>
  <c r="BY21" i="12"/>
  <c r="BO21" i="12"/>
  <c r="Z21" i="12"/>
  <c r="BC21" i="12" s="1"/>
  <c r="BY19" i="12"/>
  <c r="BO19" i="12"/>
  <c r="AJ19" i="12" s="1"/>
  <c r="Z19" i="12"/>
  <c r="BC19" i="12" s="1"/>
  <c r="AA31" i="11"/>
  <c r="BD31" i="11" s="1"/>
  <c r="BX31" i="11"/>
  <c r="BN31" i="11"/>
  <c r="AK31" i="11" s="1"/>
  <c r="Z30" i="11"/>
  <c r="BC30" i="11" s="1"/>
  <c r="BY30" i="11"/>
  <c r="BO30" i="11"/>
  <c r="AJ30" i="11" s="1"/>
  <c r="BY27" i="11"/>
  <c r="BO27" i="11"/>
  <c r="AJ27" i="11" s="1"/>
  <c r="Z27" i="11"/>
  <c r="BC27" i="11" s="1"/>
  <c r="Z29" i="11"/>
  <c r="BC29" i="11" s="1"/>
  <c r="BY29" i="11"/>
  <c r="BO29" i="11"/>
  <c r="AJ29" i="11" s="1"/>
  <c r="BY21" i="11"/>
  <c r="BO21" i="11"/>
  <c r="AJ21" i="11" s="1"/>
  <c r="Z21" i="11"/>
  <c r="BC21" i="11" s="1"/>
  <c r="Z25" i="11"/>
  <c r="BC25" i="11" s="1"/>
  <c r="BY25" i="11"/>
  <c r="BO25" i="11"/>
  <c r="AJ25" i="11" s="1"/>
  <c r="Z19" i="11"/>
  <c r="BC19" i="11" s="1"/>
  <c r="BY19" i="11"/>
  <c r="BO19" i="11"/>
  <c r="AJ19" i="11" s="1"/>
  <c r="Z26" i="11"/>
  <c r="BC26" i="11" s="1"/>
  <c r="BY26" i="11"/>
  <c r="BO26" i="11"/>
  <c r="AJ26" i="11" s="1"/>
  <c r="Z24" i="11"/>
  <c r="BC24" i="11" s="1"/>
  <c r="BY24" i="11"/>
  <c r="BO24" i="11"/>
  <c r="AJ24" i="11" s="1"/>
  <c r="BY17" i="11"/>
  <c r="BO17" i="11"/>
  <c r="AJ17" i="11" s="1"/>
  <c r="Z17" i="11"/>
  <c r="BC17" i="11" s="1"/>
  <c r="BY18" i="11"/>
  <c r="BO18" i="11"/>
  <c r="AJ18" i="11" s="1"/>
  <c r="Z18" i="11"/>
  <c r="BC18" i="11" s="1"/>
  <c r="BY22" i="11"/>
  <c r="BO22" i="11"/>
  <c r="AJ22" i="11" s="1"/>
  <c r="Z22" i="11"/>
  <c r="BC22" i="11" s="1"/>
  <c r="BX18" i="10"/>
  <c r="BN18" i="10"/>
  <c r="AK18" i="10" s="1"/>
  <c r="AA18" i="10"/>
  <c r="BD18" i="10" s="1"/>
  <c r="BX25" i="10"/>
  <c r="BN25" i="10"/>
  <c r="AK25" i="10" s="1"/>
  <c r="AA25" i="10"/>
  <c r="BD25" i="10" s="1"/>
  <c r="BX21" i="10"/>
  <c r="BN21" i="10"/>
  <c r="AK21" i="10" s="1"/>
  <c r="AA21" i="10"/>
  <c r="BD21" i="10" s="1"/>
  <c r="BX23" i="10"/>
  <c r="BN23" i="10"/>
  <c r="AK23" i="10" s="1"/>
  <c r="AA23" i="10"/>
  <c r="BD23" i="10" s="1"/>
  <c r="BX22" i="10"/>
  <c r="BN22" i="10"/>
  <c r="AK22" i="10" s="1"/>
  <c r="AA22" i="10"/>
  <c r="BD22" i="10" s="1"/>
  <c r="BY17" i="10"/>
  <c r="Z17" i="10"/>
  <c r="BO17" i="10"/>
  <c r="AJ17" i="10" s="1"/>
  <c r="BC17" i="10"/>
  <c r="BX19" i="10"/>
  <c r="BN19" i="10"/>
  <c r="AK19" i="10" s="1"/>
  <c r="AA19" i="10"/>
  <c r="BD19" i="10" s="1"/>
  <c r="BX24" i="10"/>
  <c r="BN24" i="10"/>
  <c r="AK24" i="10" s="1"/>
  <c r="AA24" i="10"/>
  <c r="BD24" i="10" s="1"/>
  <c r="BX20" i="10"/>
  <c r="BN20" i="10"/>
  <c r="AK20" i="10" s="1"/>
  <c r="AA20" i="10"/>
  <c r="BD20" i="10" s="1"/>
  <c r="BY15" i="10"/>
  <c r="BO15" i="10"/>
  <c r="AJ15" i="10" s="1"/>
  <c r="Z15" i="10"/>
  <c r="BC15" i="10" s="1"/>
  <c r="BY16" i="10"/>
  <c r="BO16" i="10"/>
  <c r="AJ16" i="10" s="1"/>
  <c r="Z16" i="10"/>
  <c r="BC16" i="10" s="1"/>
  <c r="BX25" i="9"/>
  <c r="BN25" i="9"/>
  <c r="AK25" i="9" s="1"/>
  <c r="AA25" i="9"/>
  <c r="BD25" i="9" s="1"/>
  <c r="AA17" i="9"/>
  <c r="BD17" i="9" s="1"/>
  <c r="BX17" i="9"/>
  <c r="BN17" i="9"/>
  <c r="AK17" i="9" s="1"/>
  <c r="BY20" i="9"/>
  <c r="BO20" i="9"/>
  <c r="AJ20" i="9" s="1"/>
  <c r="Z20" i="9"/>
  <c r="BC20" i="9" s="1"/>
  <c r="Z24" i="9"/>
  <c r="BC24" i="9" s="1"/>
  <c r="BY24" i="9"/>
  <c r="BO24" i="9"/>
  <c r="AJ24" i="9" s="1"/>
  <c r="AA18" i="9"/>
  <c r="BD18" i="9" s="1"/>
  <c r="BX18" i="9"/>
  <c r="BN18" i="9"/>
  <c r="AK18" i="9" s="1"/>
  <c r="Z23" i="9"/>
  <c r="BC23" i="9" s="1"/>
  <c r="BY23" i="9"/>
  <c r="BO23" i="9"/>
  <c r="AJ23" i="9" s="1"/>
  <c r="AA16" i="9"/>
  <c r="BD16" i="9" s="1"/>
  <c r="BX16" i="9"/>
  <c r="BN16" i="9"/>
  <c r="AK16" i="9" s="1"/>
  <c r="BY21" i="9"/>
  <c r="BO21" i="9"/>
  <c r="AJ21" i="9" s="1"/>
  <c r="Z21" i="9"/>
  <c r="BC21" i="9" s="1"/>
  <c r="BY19" i="9"/>
  <c r="BO19" i="9"/>
  <c r="AJ19" i="9" s="1"/>
  <c r="Z19" i="9"/>
  <c r="BC19" i="9" s="1"/>
  <c r="BX15" i="9"/>
  <c r="BN15" i="9"/>
  <c r="AK15" i="9" s="1"/>
  <c r="AA15" i="9"/>
  <c r="BD15" i="9" s="1"/>
  <c r="BW15" i="6"/>
  <c r="AB15" i="6"/>
  <c r="BE15" i="6" s="1"/>
  <c r="BM15" i="6"/>
  <c r="AL15" i="6" s="1"/>
  <c r="BW16" i="6"/>
  <c r="AB16" i="6"/>
  <c r="BE16" i="6" s="1"/>
  <c r="BM16" i="6"/>
  <c r="AL16" i="6" s="1"/>
  <c r="BX21" i="6"/>
  <c r="BN21" i="6"/>
  <c r="AK21" i="6" s="1"/>
  <c r="AA21" i="6"/>
  <c r="BD21" i="6" s="1"/>
  <c r="BY17" i="6"/>
  <c r="BO17" i="6"/>
  <c r="AJ17" i="6" s="1"/>
  <c r="Z17" i="6"/>
  <c r="BC17" i="6" s="1"/>
  <c r="BY19" i="6"/>
  <c r="BO19" i="6"/>
  <c r="AJ19" i="6" s="1"/>
  <c r="Z19" i="6"/>
  <c r="BC19" i="6" s="1"/>
  <c r="BY18" i="6"/>
  <c r="BO18" i="6"/>
  <c r="AJ18" i="6" s="1"/>
  <c r="Z18" i="6"/>
  <c r="BC18" i="6" s="1"/>
  <c r="BY20" i="6"/>
  <c r="BO20" i="6"/>
  <c r="AJ20" i="6" s="1"/>
  <c r="Z20" i="6"/>
  <c r="BC20" i="6" s="1"/>
  <c r="CP34" i="12"/>
  <c r="CS33" i="12" s="1"/>
  <c r="CS34" i="12" s="1"/>
  <c r="CS39" i="12" s="1"/>
  <c r="CP34" i="10"/>
  <c r="CS30" i="10" s="1"/>
  <c r="CS31" i="10" s="1"/>
  <c r="AA31" i="16" l="1"/>
  <c r="BD31" i="16" s="1"/>
  <c r="BX31" i="16"/>
  <c r="BN31" i="16"/>
  <c r="AK31" i="16" s="1"/>
  <c r="BX23" i="11"/>
  <c r="BN23" i="11"/>
  <c r="AK23" i="11" s="1"/>
  <c r="AA23" i="11"/>
  <c r="BD23" i="11"/>
  <c r="BX22" i="9"/>
  <c r="AA22" i="9"/>
  <c r="BD22" i="9" s="1"/>
  <c r="BN22" i="9"/>
  <c r="AK22" i="9" s="1"/>
  <c r="BX28" i="11"/>
  <c r="BN28" i="11"/>
  <c r="AK28" i="11" s="1"/>
  <c r="AA28" i="11"/>
  <c r="BD28" i="11" s="1"/>
  <c r="BX20" i="11"/>
  <c r="AA20" i="11"/>
  <c r="BD20" i="11" s="1"/>
  <c r="BN20" i="11"/>
  <c r="AK20" i="11" s="1"/>
  <c r="AA22" i="12"/>
  <c r="BD22" i="12" s="1"/>
  <c r="BX22" i="12"/>
  <c r="BN22" i="12"/>
  <c r="AK22" i="12" s="1"/>
  <c r="BN24" i="12"/>
  <c r="AK24" i="12" s="1"/>
  <c r="BX24" i="12"/>
  <c r="AA24" i="12"/>
  <c r="BD24" i="12" s="1"/>
  <c r="AJ21" i="12"/>
  <c r="Z25" i="16"/>
  <c r="BC25" i="16" s="1"/>
  <c r="BY25" i="16"/>
  <c r="BO25" i="16"/>
  <c r="AJ25" i="16" s="1"/>
  <c r="Z27" i="16"/>
  <c r="BC27" i="16" s="1"/>
  <c r="BY27" i="16"/>
  <c r="BO27" i="16"/>
  <c r="AJ27" i="16" s="1"/>
  <c r="Z19" i="16"/>
  <c r="BC19" i="16" s="1"/>
  <c r="BO19" i="16"/>
  <c r="AJ19" i="16" s="1"/>
  <c r="BY19" i="16"/>
  <c r="Z24" i="16"/>
  <c r="BO24" i="16"/>
  <c r="AJ24" i="16" s="1"/>
  <c r="BC24" i="16"/>
  <c r="BY24" i="16"/>
  <c r="Z20" i="16"/>
  <c r="BC20" i="16" s="1"/>
  <c r="BO20" i="16"/>
  <c r="AJ20" i="16" s="1"/>
  <c r="BY20" i="16"/>
  <c r="BY30" i="16"/>
  <c r="BO30" i="16"/>
  <c r="AJ30" i="16" s="1"/>
  <c r="Z30" i="16"/>
  <c r="BC30" i="16" s="1"/>
  <c r="Z28" i="16"/>
  <c r="BC28" i="16" s="1"/>
  <c r="BY28" i="16"/>
  <c r="BO28" i="16"/>
  <c r="AJ28" i="16" s="1"/>
  <c r="Z29" i="16"/>
  <c r="BO29" i="16"/>
  <c r="AJ29" i="16" s="1"/>
  <c r="BC29" i="16"/>
  <c r="BY29" i="16"/>
  <c r="BY17" i="16"/>
  <c r="BO17" i="16"/>
  <c r="AJ17" i="16" s="1"/>
  <c r="BC17" i="16"/>
  <c r="Z17" i="16"/>
  <c r="Z22" i="16"/>
  <c r="BO22" i="16"/>
  <c r="AJ22" i="16" s="1"/>
  <c r="BC22" i="16"/>
  <c r="BY22" i="16"/>
  <c r="Z21" i="16"/>
  <c r="BC21" i="16" s="1"/>
  <c r="BY21" i="16"/>
  <c r="BO21" i="16"/>
  <c r="AJ21" i="16" s="1"/>
  <c r="Z23" i="16"/>
  <c r="BC23" i="16" s="1"/>
  <c r="BY23" i="16"/>
  <c r="BO23" i="16"/>
  <c r="AJ23" i="16" s="1"/>
  <c r="Z18" i="16"/>
  <c r="BC18" i="16" s="1"/>
  <c r="BY18" i="16"/>
  <c r="BO18" i="16"/>
  <c r="AJ18" i="16" s="1"/>
  <c r="Z26" i="16"/>
  <c r="BC26" i="16" s="1"/>
  <c r="BO26" i="16"/>
  <c r="AJ26" i="16" s="1"/>
  <c r="BY26" i="16"/>
  <c r="Y21" i="12"/>
  <c r="BP21" i="12"/>
  <c r="BB21" i="12"/>
  <c r="BZ21" i="12"/>
  <c r="Y19" i="12"/>
  <c r="BB19" i="12" s="1"/>
  <c r="BZ19" i="12"/>
  <c r="BP19" i="12"/>
  <c r="AI19" i="12" s="1"/>
  <c r="Z26" i="12"/>
  <c r="BO26" i="12"/>
  <c r="AJ26" i="12" s="1"/>
  <c r="BC26" i="12"/>
  <c r="BY26" i="12"/>
  <c r="BY17" i="12"/>
  <c r="Z17" i="12"/>
  <c r="BO17" i="12"/>
  <c r="AJ17" i="12" s="1"/>
  <c r="BC17" i="12"/>
  <c r="BY18" i="12"/>
  <c r="BO18" i="12"/>
  <c r="AJ18" i="12" s="1"/>
  <c r="Z18" i="12"/>
  <c r="BC18" i="12" s="1"/>
  <c r="BZ23" i="12"/>
  <c r="BP23" i="12"/>
  <c r="AI23" i="12" s="1"/>
  <c r="Y23" i="12"/>
  <c r="BB23" i="12" s="1"/>
  <c r="Y20" i="12"/>
  <c r="BB20" i="12" s="1"/>
  <c r="BZ20" i="12"/>
  <c r="BP20" i="12"/>
  <c r="AI20" i="12" s="1"/>
  <c r="Z29" i="12"/>
  <c r="BC29" i="12" s="1"/>
  <c r="BY29" i="12"/>
  <c r="BO29" i="12"/>
  <c r="AJ29" i="12" s="1"/>
  <c r="Z27" i="12"/>
  <c r="BC27" i="12" s="1"/>
  <c r="BY27" i="12"/>
  <c r="BO27" i="12"/>
  <c r="AJ27" i="12" s="1"/>
  <c r="BY30" i="12"/>
  <c r="BO30" i="12"/>
  <c r="AJ30" i="12" s="1"/>
  <c r="Z30" i="12"/>
  <c r="BC30" i="12" s="1"/>
  <c r="Z28" i="12"/>
  <c r="BC28" i="12" s="1"/>
  <c r="BO28" i="12"/>
  <c r="AJ28" i="12" s="1"/>
  <c r="BY28" i="12"/>
  <c r="BY16" i="12"/>
  <c r="BO16" i="12"/>
  <c r="AJ16" i="12" s="1"/>
  <c r="Z16" i="12"/>
  <c r="BC16" i="12" s="1"/>
  <c r="BZ25" i="12"/>
  <c r="BP25" i="12"/>
  <c r="AI25" i="12" s="1"/>
  <c r="Y25" i="12"/>
  <c r="BB25" i="12" s="1"/>
  <c r="BY31" i="11"/>
  <c r="BO31" i="11"/>
  <c r="AJ31" i="11" s="1"/>
  <c r="Z31" i="11"/>
  <c r="BC31" i="11" s="1"/>
  <c r="BZ29" i="11"/>
  <c r="BP29" i="11"/>
  <c r="AI29" i="11" s="1"/>
  <c r="Y29" i="11"/>
  <c r="BB29" i="11" s="1"/>
  <c r="BZ27" i="11"/>
  <c r="BP27" i="11"/>
  <c r="AI27" i="11" s="1"/>
  <c r="Y27" i="11"/>
  <c r="BB27" i="11"/>
  <c r="BZ30" i="11"/>
  <c r="BP30" i="11"/>
  <c r="AI30" i="11" s="1"/>
  <c r="Y30" i="11"/>
  <c r="BB30" i="11" s="1"/>
  <c r="BZ18" i="11"/>
  <c r="BP18" i="11"/>
  <c r="AI18" i="11" s="1"/>
  <c r="Y18" i="11"/>
  <c r="BB18" i="11" s="1"/>
  <c r="BZ24" i="11"/>
  <c r="BP24" i="11"/>
  <c r="AI24" i="11" s="1"/>
  <c r="Y24" i="11"/>
  <c r="BB24" i="11" s="1"/>
  <c r="BZ21" i="11"/>
  <c r="BP21" i="11"/>
  <c r="AI21" i="11" s="1"/>
  <c r="Y21" i="11"/>
  <c r="BB21" i="11" s="1"/>
  <c r="Y22" i="11"/>
  <c r="BB22" i="11" s="1"/>
  <c r="BP22" i="11"/>
  <c r="AI22" i="11" s="1"/>
  <c r="BZ22" i="11"/>
  <c r="BP17" i="11"/>
  <c r="AI17" i="11" s="1"/>
  <c r="Y17" i="11"/>
  <c r="BZ17" i="11"/>
  <c r="BB17" i="11"/>
  <c r="BZ26" i="11"/>
  <c r="BP26" i="11"/>
  <c r="AI26" i="11" s="1"/>
  <c r="Y26" i="11"/>
  <c r="BB26" i="11" s="1"/>
  <c r="BZ19" i="11"/>
  <c r="BP19" i="11"/>
  <c r="AI19" i="11" s="1"/>
  <c r="Y19" i="11"/>
  <c r="BB19" i="11" s="1"/>
  <c r="BZ25" i="11"/>
  <c r="BP25" i="11"/>
  <c r="AI25" i="11" s="1"/>
  <c r="Y25" i="11"/>
  <c r="BB25" i="11" s="1"/>
  <c r="Z23" i="10"/>
  <c r="BO23" i="10"/>
  <c r="AJ23" i="10" s="1"/>
  <c r="BC23" i="10"/>
  <c r="BY23" i="10"/>
  <c r="Z18" i="10"/>
  <c r="BC18" i="10" s="1"/>
  <c r="BO18" i="10"/>
  <c r="AJ18" i="10" s="1"/>
  <c r="BY18" i="10"/>
  <c r="Z22" i="10"/>
  <c r="BC22" i="10" s="1"/>
  <c r="BY22" i="10"/>
  <c r="BO22" i="10"/>
  <c r="AJ22" i="10" s="1"/>
  <c r="BY25" i="10"/>
  <c r="BO25" i="10"/>
  <c r="AJ25" i="10" s="1"/>
  <c r="Z25" i="10"/>
  <c r="BC25" i="10" s="1"/>
  <c r="BZ16" i="10"/>
  <c r="BP16" i="10"/>
  <c r="AI16" i="10" s="1"/>
  <c r="Y16" i="10"/>
  <c r="BB16" i="10" s="1"/>
  <c r="BY20" i="10"/>
  <c r="Z20" i="10"/>
  <c r="BO20" i="10"/>
  <c r="AJ20" i="10" s="1"/>
  <c r="BC20" i="10"/>
  <c r="Z19" i="10"/>
  <c r="BC19" i="10" s="1"/>
  <c r="BY19" i="10"/>
  <c r="BO19" i="10"/>
  <c r="AJ19" i="10" s="1"/>
  <c r="BZ17" i="10"/>
  <c r="BP17" i="10"/>
  <c r="AI17" i="10" s="1"/>
  <c r="Y17" i="10"/>
  <c r="BB17" i="10" s="1"/>
  <c r="BP15" i="10"/>
  <c r="AI15" i="10" s="1"/>
  <c r="Y15" i="10"/>
  <c r="BB15" i="10" s="1"/>
  <c r="BZ15" i="10"/>
  <c r="Z24" i="10"/>
  <c r="BC24" i="10" s="1"/>
  <c r="BY24" i="10"/>
  <c r="BO24" i="10"/>
  <c r="AJ24" i="10" s="1"/>
  <c r="Z21" i="10"/>
  <c r="BO21" i="10"/>
  <c r="AJ21" i="10" s="1"/>
  <c r="BC21" i="10"/>
  <c r="BY21" i="10"/>
  <c r="Z25" i="9"/>
  <c r="BC25" i="9" s="1"/>
  <c r="BY25" i="9"/>
  <c r="BO25" i="9"/>
  <c r="AJ25" i="9" s="1"/>
  <c r="BY18" i="9"/>
  <c r="BO18" i="9"/>
  <c r="AJ18" i="9" s="1"/>
  <c r="Z18" i="9"/>
  <c r="BC18" i="9" s="1"/>
  <c r="Y19" i="9"/>
  <c r="BB19" i="9" s="1"/>
  <c r="BZ19" i="9"/>
  <c r="BP19" i="9"/>
  <c r="AI19" i="9" s="1"/>
  <c r="BZ23" i="9"/>
  <c r="BP23" i="9"/>
  <c r="AI23" i="9" s="1"/>
  <c r="Y23" i="9"/>
  <c r="BB23" i="9" s="1"/>
  <c r="Y20" i="9"/>
  <c r="BB20" i="9" s="1"/>
  <c r="BP20" i="9"/>
  <c r="AI20" i="9" s="1"/>
  <c r="BZ20" i="9"/>
  <c r="BO16" i="9"/>
  <c r="AJ16" i="9" s="1"/>
  <c r="Z16" i="9"/>
  <c r="BY16" i="9"/>
  <c r="BC16" i="9"/>
  <c r="Y21" i="9"/>
  <c r="BB21" i="9" s="1"/>
  <c r="BZ21" i="9"/>
  <c r="BP21" i="9"/>
  <c r="AI21" i="9" s="1"/>
  <c r="BZ24" i="9"/>
  <c r="BP24" i="9"/>
  <c r="AI24" i="9" s="1"/>
  <c r="Y24" i="9"/>
  <c r="BB24" i="9" s="1"/>
  <c r="BO17" i="9"/>
  <c r="AJ17" i="9" s="1"/>
  <c r="Z17" i="9"/>
  <c r="BC17" i="9" s="1"/>
  <c r="BY17" i="9"/>
  <c r="Z15" i="9"/>
  <c r="BC15" i="9" s="1"/>
  <c r="BY15" i="9"/>
  <c r="BO15" i="9"/>
  <c r="AJ15" i="9" s="1"/>
  <c r="BN15" i="6"/>
  <c r="AK15" i="6" s="1"/>
  <c r="BX15" i="6"/>
  <c r="AA15" i="6"/>
  <c r="BD15" i="6" s="1"/>
  <c r="AA16" i="6"/>
  <c r="BD16" i="6" s="1"/>
  <c r="BN16" i="6"/>
  <c r="AK16" i="6" s="1"/>
  <c r="BX16" i="6"/>
  <c r="Z21" i="6"/>
  <c r="BC21" i="6" s="1"/>
  <c r="BY21" i="6"/>
  <c r="BO21" i="6"/>
  <c r="AJ21" i="6" s="1"/>
  <c r="BZ17" i="6"/>
  <c r="BP17" i="6"/>
  <c r="AI17" i="6" s="1"/>
  <c r="Y17" i="6"/>
  <c r="BB17" i="6" s="1"/>
  <c r="BZ20" i="6"/>
  <c r="BP20" i="6"/>
  <c r="AI20" i="6" s="1"/>
  <c r="Y20" i="6"/>
  <c r="BB20" i="6" s="1"/>
  <c r="BZ18" i="6"/>
  <c r="BP18" i="6"/>
  <c r="AI18" i="6" s="1"/>
  <c r="Y18" i="6"/>
  <c r="BB18" i="6" s="1"/>
  <c r="BZ19" i="6"/>
  <c r="BP19" i="6"/>
  <c r="AI19" i="6" s="1"/>
  <c r="Y19" i="6"/>
  <c r="BB19" i="6" s="1"/>
  <c r="BY31" i="16" l="1"/>
  <c r="BO31" i="16"/>
  <c r="AJ31" i="16" s="1"/>
  <c r="BC31" i="16"/>
  <c r="Z31" i="16"/>
  <c r="BY22" i="9"/>
  <c r="BO22" i="9"/>
  <c r="AJ22" i="9" s="1"/>
  <c r="Z22" i="9"/>
  <c r="BC22" i="9" s="1"/>
  <c r="Z28" i="11"/>
  <c r="BC28" i="11" s="1"/>
  <c r="BY28" i="11"/>
  <c r="BO28" i="11"/>
  <c r="AJ28" i="11" s="1"/>
  <c r="BY23" i="11"/>
  <c r="Z23" i="11"/>
  <c r="BC23" i="11" s="1"/>
  <c r="BO23" i="11"/>
  <c r="AJ23" i="11" s="1"/>
  <c r="Z22" i="12"/>
  <c r="BC22" i="12" s="1"/>
  <c r="BY22" i="12"/>
  <c r="BO22" i="12"/>
  <c r="AJ22" i="12" s="1"/>
  <c r="Z20" i="11"/>
  <c r="BC20" i="11" s="1"/>
  <c r="BY20" i="11"/>
  <c r="BO20" i="11"/>
  <c r="AJ20" i="11" s="1"/>
  <c r="BY24" i="12"/>
  <c r="Z24" i="12"/>
  <c r="BC24" i="12" s="1"/>
  <c r="BO24" i="12"/>
  <c r="AJ24" i="12" s="1"/>
  <c r="AI21" i="12"/>
  <c r="BZ27" i="16"/>
  <c r="BP27" i="16"/>
  <c r="AI27" i="16" s="1"/>
  <c r="Y27" i="16"/>
  <c r="BB27" i="16" s="1"/>
  <c r="BZ28" i="16"/>
  <c r="BP28" i="16"/>
  <c r="AI28" i="16" s="1"/>
  <c r="BB28" i="16"/>
  <c r="Y28" i="16"/>
  <c r="BZ26" i="16"/>
  <c r="BP26" i="16"/>
  <c r="AI26" i="16" s="1"/>
  <c r="Y26" i="16"/>
  <c r="BB26" i="16" s="1"/>
  <c r="BZ20" i="16"/>
  <c r="BP20" i="16"/>
  <c r="AI20" i="16" s="1"/>
  <c r="Y20" i="16"/>
  <c r="BB20" i="16" s="1"/>
  <c r="BZ24" i="16"/>
  <c r="BP24" i="16"/>
  <c r="AI24" i="16" s="1"/>
  <c r="Y24" i="16"/>
  <c r="BB24" i="16" s="1"/>
  <c r="BZ19" i="16"/>
  <c r="BP19" i="16"/>
  <c r="AI19" i="16" s="1"/>
  <c r="Y19" i="16"/>
  <c r="BB19" i="16" s="1"/>
  <c r="BZ18" i="16"/>
  <c r="BP18" i="16"/>
  <c r="AI18" i="16" s="1"/>
  <c r="Y18" i="16"/>
  <c r="BB18" i="16" s="1"/>
  <c r="BZ23" i="16"/>
  <c r="BP23" i="16"/>
  <c r="AI23" i="16" s="1"/>
  <c r="Y23" i="16"/>
  <c r="BB23" i="16" s="1"/>
  <c r="BZ21" i="16"/>
  <c r="BP21" i="16"/>
  <c r="AI21" i="16" s="1"/>
  <c r="Y21" i="16"/>
  <c r="BB21" i="16" s="1"/>
  <c r="BZ22" i="16"/>
  <c r="BP22" i="16"/>
  <c r="AI22" i="16" s="1"/>
  <c r="Y22" i="16"/>
  <c r="BB22" i="16" s="1"/>
  <c r="BZ17" i="16"/>
  <c r="BP17" i="16"/>
  <c r="AI17" i="16" s="1"/>
  <c r="Y17" i="16"/>
  <c r="BB17" i="16" s="1"/>
  <c r="BZ29" i="16"/>
  <c r="BP29" i="16"/>
  <c r="AI29" i="16" s="1"/>
  <c r="Y29" i="16"/>
  <c r="BB29" i="16" s="1"/>
  <c r="BZ30" i="16"/>
  <c r="BP30" i="16"/>
  <c r="AI30" i="16" s="1"/>
  <c r="Y30" i="16"/>
  <c r="BB30" i="16" s="1"/>
  <c r="BZ25" i="16"/>
  <c r="BP25" i="16"/>
  <c r="AI25" i="16" s="1"/>
  <c r="Y25" i="16"/>
  <c r="BB25" i="16" s="1"/>
  <c r="X25" i="12"/>
  <c r="BA25" i="12" s="1"/>
  <c r="CA25" i="12"/>
  <c r="BQ25" i="12"/>
  <c r="AH25" i="12" s="1"/>
  <c r="BZ30" i="12"/>
  <c r="BP30" i="12"/>
  <c r="AI30" i="12" s="1"/>
  <c r="Y30" i="12"/>
  <c r="BB30" i="12" s="1"/>
  <c r="Y16" i="12"/>
  <c r="BB16" i="12" s="1"/>
  <c r="BZ16" i="12"/>
  <c r="BP16" i="12"/>
  <c r="AI16" i="12" s="1"/>
  <c r="X23" i="12"/>
  <c r="BA23" i="12" s="1"/>
  <c r="CA23" i="12"/>
  <c r="BQ23" i="12"/>
  <c r="AH23" i="12" s="1"/>
  <c r="Y18" i="12"/>
  <c r="BB18" i="12" s="1"/>
  <c r="BZ18" i="12"/>
  <c r="BP18" i="12"/>
  <c r="AI18" i="12" s="1"/>
  <c r="BZ28" i="12"/>
  <c r="BP28" i="12"/>
  <c r="AI28" i="12" s="1"/>
  <c r="Y28" i="12"/>
  <c r="BB28" i="12" s="1"/>
  <c r="BZ26" i="12"/>
  <c r="BP26" i="12"/>
  <c r="AI26" i="12" s="1"/>
  <c r="Y26" i="12"/>
  <c r="BB26" i="12" s="1"/>
  <c r="CA21" i="12"/>
  <c r="BQ21" i="12"/>
  <c r="X21" i="12"/>
  <c r="BA21" i="12" s="1"/>
  <c r="BZ27" i="12"/>
  <c r="BP27" i="12"/>
  <c r="AI27" i="12" s="1"/>
  <c r="Y27" i="12"/>
  <c r="BB27" i="12" s="1"/>
  <c r="BZ29" i="12"/>
  <c r="BP29" i="12"/>
  <c r="AI29" i="12" s="1"/>
  <c r="Y29" i="12"/>
  <c r="BB29" i="12" s="1"/>
  <c r="CA20" i="12"/>
  <c r="BQ20" i="12"/>
  <c r="AH20" i="12" s="1"/>
  <c r="X20" i="12"/>
  <c r="BA20" i="12" s="1"/>
  <c r="Y17" i="12"/>
  <c r="BB17" i="12" s="1"/>
  <c r="BZ17" i="12"/>
  <c r="BP17" i="12"/>
  <c r="AI17" i="12" s="1"/>
  <c r="CA19" i="12"/>
  <c r="BQ19" i="12"/>
  <c r="AH19" i="12" s="1"/>
  <c r="X19" i="12"/>
  <c r="BA19" i="12" s="1"/>
  <c r="Y31" i="11"/>
  <c r="BZ31" i="11"/>
  <c r="BP31" i="11"/>
  <c r="AI31" i="11" s="1"/>
  <c r="BB31" i="11"/>
  <c r="X30" i="11"/>
  <c r="BA30" i="11" s="1"/>
  <c r="CA30" i="11"/>
  <c r="BQ30" i="11"/>
  <c r="AH30" i="11" s="1"/>
  <c r="X29" i="11"/>
  <c r="BA29" i="11" s="1"/>
  <c r="CA29" i="11"/>
  <c r="BQ29" i="11"/>
  <c r="AH29" i="11" s="1"/>
  <c r="CA27" i="11"/>
  <c r="BQ27" i="11"/>
  <c r="AH27" i="11" s="1"/>
  <c r="X27" i="11"/>
  <c r="BA27" i="11" s="1"/>
  <c r="X26" i="11"/>
  <c r="BA26" i="11" s="1"/>
  <c r="CA26" i="11"/>
  <c r="BQ26" i="11"/>
  <c r="AH26" i="11" s="1"/>
  <c r="X24" i="11"/>
  <c r="BA24" i="11" s="1"/>
  <c r="CA24" i="11"/>
  <c r="BQ24" i="11"/>
  <c r="AH24" i="11" s="1"/>
  <c r="CA21" i="11"/>
  <c r="BQ21" i="11"/>
  <c r="AH21" i="11" s="1"/>
  <c r="X21" i="11"/>
  <c r="BA21" i="11" s="1"/>
  <c r="X19" i="11"/>
  <c r="BA19" i="11" s="1"/>
  <c r="CA19" i="11"/>
  <c r="BQ19" i="11"/>
  <c r="AH19" i="11" s="1"/>
  <c r="CA22" i="11"/>
  <c r="BQ22" i="11"/>
  <c r="AH22" i="11" s="1"/>
  <c r="X22" i="11"/>
  <c r="BA22" i="11" s="1"/>
  <c r="X25" i="11"/>
  <c r="BA25" i="11" s="1"/>
  <c r="CA25" i="11"/>
  <c r="BQ25" i="11"/>
  <c r="AH25" i="11" s="1"/>
  <c r="CA17" i="11"/>
  <c r="BQ17" i="11"/>
  <c r="AH17" i="11" s="1"/>
  <c r="X17" i="11"/>
  <c r="BA17" i="11" s="1"/>
  <c r="CA18" i="11"/>
  <c r="BQ18" i="11"/>
  <c r="AH18" i="11" s="1"/>
  <c r="X18" i="11"/>
  <c r="BA18" i="11" s="1"/>
  <c r="BZ22" i="10"/>
  <c r="BP22" i="10"/>
  <c r="AI22" i="10" s="1"/>
  <c r="Y22" i="10"/>
  <c r="BB22" i="10" s="1"/>
  <c r="X17" i="10"/>
  <c r="BA17" i="10" s="1"/>
  <c r="CA17" i="10"/>
  <c r="BQ17" i="10"/>
  <c r="AH17" i="10" s="1"/>
  <c r="BZ21" i="10"/>
  <c r="BP21" i="10"/>
  <c r="AI21" i="10" s="1"/>
  <c r="Y21" i="10"/>
  <c r="BB21" i="10" s="1"/>
  <c r="BZ18" i="10"/>
  <c r="BP18" i="10"/>
  <c r="AI18" i="10" s="1"/>
  <c r="Y18" i="10"/>
  <c r="BB18" i="10" s="1"/>
  <c r="BZ23" i="10"/>
  <c r="BP23" i="10"/>
  <c r="AI23" i="10" s="1"/>
  <c r="Y23" i="10"/>
  <c r="BB23" i="10" s="1"/>
  <c r="BZ24" i="10"/>
  <c r="BP24" i="10"/>
  <c r="AI24" i="10" s="1"/>
  <c r="Y24" i="10"/>
  <c r="BB24" i="10" s="1"/>
  <c r="CA15" i="10"/>
  <c r="BQ15" i="10"/>
  <c r="AH15" i="10" s="1"/>
  <c r="X15" i="10"/>
  <c r="BA15" i="10" s="1"/>
  <c r="BZ19" i="10"/>
  <c r="BP19" i="10"/>
  <c r="AI19" i="10" s="1"/>
  <c r="Y19" i="10"/>
  <c r="BB19" i="10" s="1"/>
  <c r="BZ20" i="10"/>
  <c r="BP20" i="10"/>
  <c r="AI20" i="10" s="1"/>
  <c r="Y20" i="10"/>
  <c r="BB20" i="10" s="1"/>
  <c r="CA16" i="10"/>
  <c r="BQ16" i="10"/>
  <c r="AH16" i="10" s="1"/>
  <c r="X16" i="10"/>
  <c r="BA16" i="10" s="1"/>
  <c r="BZ25" i="10"/>
  <c r="BP25" i="10"/>
  <c r="AI25" i="10" s="1"/>
  <c r="Y25" i="10"/>
  <c r="BB25" i="10" s="1"/>
  <c r="BZ25" i="9"/>
  <c r="BP25" i="9"/>
  <c r="AI25" i="9" s="1"/>
  <c r="Y25" i="9"/>
  <c r="BB25" i="9" s="1"/>
  <c r="CA21" i="9"/>
  <c r="BQ21" i="9"/>
  <c r="AH21" i="9" s="1"/>
  <c r="X21" i="9"/>
  <c r="BA21" i="9" s="1"/>
  <c r="BZ18" i="9"/>
  <c r="BP18" i="9"/>
  <c r="AI18" i="9" s="1"/>
  <c r="Y18" i="9"/>
  <c r="BB18" i="9" s="1"/>
  <c r="Y17" i="9"/>
  <c r="BB17" i="9" s="1"/>
  <c r="BZ17" i="9"/>
  <c r="BP17" i="9"/>
  <c r="AI17" i="9" s="1"/>
  <c r="CA20" i="9"/>
  <c r="BQ20" i="9"/>
  <c r="AH20" i="9" s="1"/>
  <c r="X20" i="9"/>
  <c r="BA20" i="9" s="1"/>
  <c r="X23" i="9"/>
  <c r="BA23" i="9" s="1"/>
  <c r="CA23" i="9"/>
  <c r="BQ23" i="9"/>
  <c r="AH23" i="9" s="1"/>
  <c r="X24" i="9"/>
  <c r="BA24" i="9" s="1"/>
  <c r="CA24" i="9"/>
  <c r="BQ24" i="9"/>
  <c r="AH24" i="9" s="1"/>
  <c r="BZ16" i="9"/>
  <c r="BP16" i="9"/>
  <c r="AI16" i="9" s="1"/>
  <c r="Y16" i="9"/>
  <c r="BB16" i="9" s="1"/>
  <c r="CA19" i="9"/>
  <c r="BQ19" i="9"/>
  <c r="AH19" i="9" s="1"/>
  <c r="X19" i="9"/>
  <c r="BA19" i="9" s="1"/>
  <c r="BZ15" i="9"/>
  <c r="BP15" i="9"/>
  <c r="AI15" i="9" s="1"/>
  <c r="Y15" i="9"/>
  <c r="BB15" i="9" s="1"/>
  <c r="BO15" i="6"/>
  <c r="AJ15" i="6" s="1"/>
  <c r="BY15" i="6"/>
  <c r="Z15" i="6"/>
  <c r="BC15" i="6" s="1"/>
  <c r="BO16" i="6"/>
  <c r="AJ16" i="6" s="1"/>
  <c r="BY16" i="6"/>
  <c r="Z16" i="6"/>
  <c r="BC16" i="6" s="1"/>
  <c r="BZ21" i="6"/>
  <c r="BP21" i="6"/>
  <c r="AI21" i="6" s="1"/>
  <c r="Y21" i="6"/>
  <c r="BB21" i="6" s="1"/>
  <c r="CA18" i="6"/>
  <c r="BQ18" i="6"/>
  <c r="AH18" i="6" s="1"/>
  <c r="X18" i="6"/>
  <c r="BA18" i="6" s="1"/>
  <c r="CA19" i="6"/>
  <c r="BQ19" i="6"/>
  <c r="AH19" i="6" s="1"/>
  <c r="X19" i="6"/>
  <c r="BA19" i="6" s="1"/>
  <c r="CA20" i="6"/>
  <c r="BQ20" i="6"/>
  <c r="AH20" i="6" s="1"/>
  <c r="X20" i="6"/>
  <c r="BA20" i="6" s="1"/>
  <c r="CA17" i="6"/>
  <c r="BQ17" i="6"/>
  <c r="AH17" i="6" s="1"/>
  <c r="X17" i="6"/>
  <c r="BA17" i="6" s="1"/>
  <c r="BZ28" i="11" l="1"/>
  <c r="BP28" i="11"/>
  <c r="AI28" i="11" s="1"/>
  <c r="Y28" i="11"/>
  <c r="BB28" i="11" s="1"/>
  <c r="BZ22" i="9"/>
  <c r="Y22" i="9"/>
  <c r="BB22" i="9" s="1"/>
  <c r="BP22" i="9"/>
  <c r="AI22" i="9" s="1"/>
  <c r="BP22" i="12"/>
  <c r="AI22" i="12" s="1"/>
  <c r="Y22" i="12"/>
  <c r="BB22" i="12" s="1"/>
  <c r="BZ22" i="12"/>
  <c r="BZ23" i="11"/>
  <c r="BP23" i="11"/>
  <c r="AI23" i="11" s="1"/>
  <c r="Y23" i="11"/>
  <c r="BB23" i="11" s="1"/>
  <c r="Y31" i="16"/>
  <c r="BZ31" i="16"/>
  <c r="BP31" i="16"/>
  <c r="AI31" i="16" s="1"/>
  <c r="BB31" i="16"/>
  <c r="BZ20" i="11"/>
  <c r="BP20" i="11"/>
  <c r="AI20" i="11" s="1"/>
  <c r="Y20" i="11"/>
  <c r="BB20" i="11" s="1"/>
  <c r="BZ24" i="12"/>
  <c r="Y24" i="12"/>
  <c r="BB24" i="12" s="1"/>
  <c r="BP24" i="12"/>
  <c r="AI24" i="12" s="1"/>
  <c r="AH21" i="12"/>
  <c r="CA30" i="16"/>
  <c r="BQ30" i="16"/>
  <c r="AH30" i="16" s="1"/>
  <c r="X30" i="16"/>
  <c r="BA30" i="16" s="1"/>
  <c r="CA17" i="16"/>
  <c r="BQ17" i="16"/>
  <c r="AH17" i="16" s="1"/>
  <c r="X17" i="16"/>
  <c r="BA17" i="16" s="1"/>
  <c r="X21" i="16"/>
  <c r="BA21" i="16" s="1"/>
  <c r="BQ21" i="16"/>
  <c r="AH21" i="16" s="1"/>
  <c r="CA21" i="16"/>
  <c r="X19" i="16"/>
  <c r="BA19" i="16" s="1"/>
  <c r="CA19" i="16"/>
  <c r="BQ19" i="16"/>
  <c r="AH19" i="16" s="1"/>
  <c r="X18" i="16"/>
  <c r="BA18" i="16" s="1"/>
  <c r="BQ18" i="16"/>
  <c r="AH18" i="16" s="1"/>
  <c r="CA18" i="16"/>
  <c r="X20" i="16"/>
  <c r="BA20" i="16" s="1"/>
  <c r="CA20" i="16"/>
  <c r="BQ20" i="16"/>
  <c r="AH20" i="16" s="1"/>
  <c r="X27" i="16"/>
  <c r="BA27" i="16" s="1"/>
  <c r="BQ27" i="16"/>
  <c r="AH27" i="16" s="1"/>
  <c r="CA27" i="16"/>
  <c r="X25" i="16"/>
  <c r="BA25" i="16" s="1"/>
  <c r="BQ25" i="16"/>
  <c r="AH25" i="16" s="1"/>
  <c r="CA25" i="16"/>
  <c r="X29" i="16"/>
  <c r="CA29" i="16"/>
  <c r="BQ29" i="16"/>
  <c r="AH29" i="16" s="1"/>
  <c r="BA29" i="16"/>
  <c r="X22" i="16"/>
  <c r="BA22" i="16" s="1"/>
  <c r="CA22" i="16"/>
  <c r="BQ22" i="16"/>
  <c r="AH22" i="16" s="1"/>
  <c r="X23" i="16"/>
  <c r="BA23" i="16" s="1"/>
  <c r="BQ23" i="16"/>
  <c r="AH23" i="16" s="1"/>
  <c r="CA23" i="16"/>
  <c r="X24" i="16"/>
  <c r="CA24" i="16"/>
  <c r="BQ24" i="16"/>
  <c r="AH24" i="16" s="1"/>
  <c r="BA24" i="16"/>
  <c r="CA26" i="16"/>
  <c r="X26" i="16"/>
  <c r="BA26" i="16" s="1"/>
  <c r="BQ26" i="16"/>
  <c r="AH26" i="16" s="1"/>
  <c r="X28" i="16"/>
  <c r="BA28" i="16" s="1"/>
  <c r="BQ28" i="16"/>
  <c r="AH28" i="16" s="1"/>
  <c r="CA28" i="16"/>
  <c r="CB19" i="12"/>
  <c r="W19" i="12"/>
  <c r="AZ19" i="12" s="1"/>
  <c r="BR19" i="12"/>
  <c r="AG19" i="12" s="1"/>
  <c r="W20" i="12"/>
  <c r="AZ20" i="12" s="1"/>
  <c r="BR20" i="12"/>
  <c r="AG20" i="12" s="1"/>
  <c r="CB20" i="12"/>
  <c r="CA18" i="12"/>
  <c r="BQ18" i="12"/>
  <c r="AH18" i="12" s="1"/>
  <c r="X18" i="12"/>
  <c r="BA18" i="12" s="1"/>
  <c r="CA16" i="12"/>
  <c r="BQ16" i="12"/>
  <c r="AH16" i="12" s="1"/>
  <c r="X16" i="12"/>
  <c r="BA16" i="12" s="1"/>
  <c r="CA30" i="12"/>
  <c r="BQ30" i="12"/>
  <c r="AH30" i="12" s="1"/>
  <c r="X30" i="12"/>
  <c r="BA30" i="12" s="1"/>
  <c r="X29" i="12"/>
  <c r="BA29" i="12" s="1"/>
  <c r="BQ29" i="12"/>
  <c r="AH29" i="12" s="1"/>
  <c r="CA29" i="12"/>
  <c r="CB23" i="12"/>
  <c r="BR23" i="12"/>
  <c r="AG23" i="12" s="1"/>
  <c r="W23" i="12"/>
  <c r="AZ23" i="12" s="1"/>
  <c r="X27" i="12"/>
  <c r="BQ27" i="12"/>
  <c r="AH27" i="12" s="1"/>
  <c r="BA27" i="12"/>
  <c r="CA27" i="12"/>
  <c r="W21" i="12"/>
  <c r="AZ21" i="12" s="1"/>
  <c r="CB21" i="12"/>
  <c r="BR21" i="12"/>
  <c r="AG21" i="12" s="1"/>
  <c r="X26" i="12"/>
  <c r="BA26" i="12" s="1"/>
  <c r="CA26" i="12"/>
  <c r="BQ26" i="12"/>
  <c r="AH26" i="12" s="1"/>
  <c r="X28" i="12"/>
  <c r="BA28" i="12" s="1"/>
  <c r="CA28" i="12"/>
  <c r="BQ28" i="12"/>
  <c r="AH28" i="12" s="1"/>
  <c r="BQ17" i="12"/>
  <c r="AH17" i="12" s="1"/>
  <c r="X17" i="12"/>
  <c r="BA17" i="12" s="1"/>
  <c r="CA17" i="12"/>
  <c r="CB25" i="12"/>
  <c r="BR25" i="12"/>
  <c r="AG25" i="12" s="1"/>
  <c r="W25" i="12"/>
  <c r="AZ25" i="12" s="1"/>
  <c r="CA31" i="11"/>
  <c r="BQ31" i="11"/>
  <c r="AH31" i="11" s="1"/>
  <c r="X31" i="11"/>
  <c r="BA31" i="11" s="1"/>
  <c r="CB27" i="11"/>
  <c r="BR27" i="11"/>
  <c r="AG27" i="11" s="1"/>
  <c r="W27" i="11"/>
  <c r="AZ27" i="11" s="1"/>
  <c r="CB29" i="11"/>
  <c r="BR29" i="11"/>
  <c r="AG29" i="11" s="1"/>
  <c r="W29" i="11"/>
  <c r="AZ29" i="11" s="1"/>
  <c r="CB30" i="11"/>
  <c r="BR30" i="11"/>
  <c r="AG30" i="11" s="1"/>
  <c r="W30" i="11"/>
  <c r="AZ30" i="11" s="1"/>
  <c r="CB25" i="11"/>
  <c r="BR25" i="11"/>
  <c r="AG25" i="11" s="1"/>
  <c r="W25" i="11"/>
  <c r="AZ25" i="11" s="1"/>
  <c r="CB24" i="11"/>
  <c r="BR24" i="11"/>
  <c r="AG24" i="11" s="1"/>
  <c r="W24" i="11"/>
  <c r="AZ24" i="11" s="1"/>
  <c r="W22" i="11"/>
  <c r="AZ22" i="11" s="1"/>
  <c r="CB22" i="11"/>
  <c r="BR22" i="11"/>
  <c r="AG22" i="11" s="1"/>
  <c r="CB18" i="11"/>
  <c r="BR18" i="11"/>
  <c r="AG18" i="11" s="1"/>
  <c r="W18" i="11"/>
  <c r="AZ18" i="11" s="1"/>
  <c r="BR17" i="11"/>
  <c r="AG17" i="11" s="1"/>
  <c r="W17" i="11"/>
  <c r="AZ17" i="11" s="1"/>
  <c r="CB17" i="11"/>
  <c r="CB19" i="11"/>
  <c r="BR19" i="11"/>
  <c r="AG19" i="11" s="1"/>
  <c r="W19" i="11"/>
  <c r="AZ19" i="11" s="1"/>
  <c r="BR21" i="11"/>
  <c r="AG21" i="11" s="1"/>
  <c r="CB21" i="11"/>
  <c r="W21" i="11"/>
  <c r="AZ21" i="11" s="1"/>
  <c r="CB26" i="11"/>
  <c r="BR26" i="11"/>
  <c r="AG26" i="11" s="1"/>
  <c r="W26" i="11"/>
  <c r="AZ26" i="11" s="1"/>
  <c r="CB16" i="10"/>
  <c r="BR16" i="10"/>
  <c r="AG16" i="10" s="1"/>
  <c r="W16" i="10"/>
  <c r="AZ16" i="10"/>
  <c r="X19" i="10"/>
  <c r="BA19" i="10" s="1"/>
  <c r="BQ19" i="10"/>
  <c r="AH19" i="10" s="1"/>
  <c r="CA19" i="10"/>
  <c r="X24" i="10"/>
  <c r="BA24" i="10" s="1"/>
  <c r="BQ24" i="10"/>
  <c r="AH24" i="10" s="1"/>
  <c r="CA24" i="10"/>
  <c r="X18" i="10"/>
  <c r="CA18" i="10"/>
  <c r="BQ18" i="10"/>
  <c r="AH18" i="10" s="1"/>
  <c r="BA18" i="10"/>
  <c r="X22" i="10"/>
  <c r="BA22" i="10" s="1"/>
  <c r="BQ22" i="10"/>
  <c r="AH22" i="10" s="1"/>
  <c r="CA22" i="10"/>
  <c r="CA25" i="10"/>
  <c r="BQ25" i="10"/>
  <c r="AH25" i="10" s="1"/>
  <c r="X25" i="10"/>
  <c r="BA25" i="10" s="1"/>
  <c r="X20" i="10"/>
  <c r="BA20" i="10" s="1"/>
  <c r="CA20" i="10"/>
  <c r="BQ20" i="10"/>
  <c r="AH20" i="10" s="1"/>
  <c r="BR15" i="10"/>
  <c r="AG15" i="10" s="1"/>
  <c r="W15" i="10"/>
  <c r="AZ15" i="10" s="1"/>
  <c r="CB15" i="10"/>
  <c r="X23" i="10"/>
  <c r="CA23" i="10"/>
  <c r="BQ23" i="10"/>
  <c r="AH23" i="10" s="1"/>
  <c r="BA23" i="10"/>
  <c r="X21" i="10"/>
  <c r="BA21" i="10" s="1"/>
  <c r="CA21" i="10"/>
  <c r="BQ21" i="10"/>
  <c r="AH21" i="10" s="1"/>
  <c r="CB17" i="10"/>
  <c r="BR17" i="10"/>
  <c r="AG17" i="10" s="1"/>
  <c r="W17" i="10"/>
  <c r="AZ17" i="10" s="1"/>
  <c r="X25" i="9"/>
  <c r="BA25" i="9" s="1"/>
  <c r="CA25" i="9"/>
  <c r="BQ25" i="9"/>
  <c r="AH25" i="9" s="1"/>
  <c r="CB23" i="9"/>
  <c r="BR23" i="9"/>
  <c r="AG23" i="9" s="1"/>
  <c r="W23" i="9"/>
  <c r="AZ23" i="9" s="1"/>
  <c r="CA18" i="9"/>
  <c r="BQ18" i="9"/>
  <c r="AH18" i="9" s="1"/>
  <c r="X18" i="9"/>
  <c r="BA18" i="9" s="1"/>
  <c r="CB24" i="9"/>
  <c r="BR24" i="9"/>
  <c r="AG24" i="9" s="1"/>
  <c r="W24" i="9"/>
  <c r="AZ24" i="9" s="1"/>
  <c r="CA17" i="9"/>
  <c r="X17" i="9"/>
  <c r="BA17" i="9" s="1"/>
  <c r="BQ17" i="9"/>
  <c r="AH17" i="9" s="1"/>
  <c r="W21" i="9"/>
  <c r="AZ21" i="9" s="1"/>
  <c r="CB21" i="9"/>
  <c r="BR21" i="9"/>
  <c r="AG21" i="9" s="1"/>
  <c r="CA16" i="9"/>
  <c r="X16" i="9"/>
  <c r="BA16" i="9" s="1"/>
  <c r="BQ16" i="9"/>
  <c r="AH16" i="9" s="1"/>
  <c r="CB19" i="9"/>
  <c r="W19" i="9"/>
  <c r="AZ19" i="9" s="1"/>
  <c r="BR19" i="9"/>
  <c r="AG19" i="9" s="1"/>
  <c r="W20" i="9"/>
  <c r="AZ20" i="9" s="1"/>
  <c r="CB20" i="9"/>
  <c r="BR20" i="9"/>
  <c r="AG20" i="9" s="1"/>
  <c r="X15" i="9"/>
  <c r="CA15" i="9"/>
  <c r="BQ15" i="9"/>
  <c r="AH15" i="9" s="1"/>
  <c r="BA15" i="9"/>
  <c r="BZ15" i="6"/>
  <c r="Y15" i="6"/>
  <c r="BB15" i="6" s="1"/>
  <c r="BP15" i="6"/>
  <c r="AI15" i="6" s="1"/>
  <c r="Y16" i="6"/>
  <c r="BB16" i="6" s="1"/>
  <c r="BZ16" i="6"/>
  <c r="BP16" i="6"/>
  <c r="AI16" i="6" s="1"/>
  <c r="X21" i="6"/>
  <c r="BA21" i="6" s="1"/>
  <c r="CA21" i="6"/>
  <c r="BQ21" i="6"/>
  <c r="AH21" i="6" s="1"/>
  <c r="CB20" i="6"/>
  <c r="BR20" i="6"/>
  <c r="AG20" i="6" s="1"/>
  <c r="W20" i="6"/>
  <c r="AZ20" i="6" s="1"/>
  <c r="CB18" i="6"/>
  <c r="BR18" i="6"/>
  <c r="AG18" i="6" s="1"/>
  <c r="W18" i="6"/>
  <c r="AZ18" i="6" s="1"/>
  <c r="CB17" i="6"/>
  <c r="BR17" i="6"/>
  <c r="AG17" i="6" s="1"/>
  <c r="W17" i="6"/>
  <c r="AZ17" i="6" s="1"/>
  <c r="CB19" i="6"/>
  <c r="BR19" i="6"/>
  <c r="AG19" i="6" s="1"/>
  <c r="W19" i="6"/>
  <c r="AZ19" i="6" s="1"/>
  <c r="CA22" i="9" l="1"/>
  <c r="BQ22" i="9"/>
  <c r="AH22" i="9" s="1"/>
  <c r="X22" i="9"/>
  <c r="BA22" i="9" s="1"/>
  <c r="CA23" i="11"/>
  <c r="BQ23" i="11"/>
  <c r="AH23" i="11" s="1"/>
  <c r="X23" i="11"/>
  <c r="BA23" i="11" s="1"/>
  <c r="X20" i="11"/>
  <c r="BA20" i="11" s="1"/>
  <c r="CA20" i="11"/>
  <c r="BQ20" i="11"/>
  <c r="AH20" i="11" s="1"/>
  <c r="CA28" i="11"/>
  <c r="BQ28" i="11"/>
  <c r="AH28" i="11" s="1"/>
  <c r="X28" i="11"/>
  <c r="BA28" i="11" s="1"/>
  <c r="CA31" i="16"/>
  <c r="BQ31" i="16"/>
  <c r="AH31" i="16" s="1"/>
  <c r="X31" i="16"/>
  <c r="BA31" i="16" s="1"/>
  <c r="X22" i="12"/>
  <c r="BA22" i="12" s="1"/>
  <c r="CA22" i="12"/>
  <c r="BQ22" i="12"/>
  <c r="AH22" i="12" s="1"/>
  <c r="CA24" i="12"/>
  <c r="X24" i="12"/>
  <c r="BA24" i="12" s="1"/>
  <c r="BQ24" i="12"/>
  <c r="AH24" i="12" s="1"/>
  <c r="CB30" i="16"/>
  <c r="BR30" i="16"/>
  <c r="AG30" i="16" s="1"/>
  <c r="W30" i="16"/>
  <c r="AZ30" i="16" s="1"/>
  <c r="CB17" i="16"/>
  <c r="BR17" i="16"/>
  <c r="AG17" i="16" s="1"/>
  <c r="W17" i="16"/>
  <c r="AZ17" i="16" s="1"/>
  <c r="CB23" i="16"/>
  <c r="BR23" i="16"/>
  <c r="AG23" i="16" s="1"/>
  <c r="W23" i="16"/>
  <c r="AZ23" i="16" s="1"/>
  <c r="CB25" i="16"/>
  <c r="BR25" i="16"/>
  <c r="AG25" i="16" s="1"/>
  <c r="W25" i="16"/>
  <c r="AZ25" i="16" s="1"/>
  <c r="CB27" i="16"/>
  <c r="BR27" i="16"/>
  <c r="AG27" i="16" s="1"/>
  <c r="W27" i="16"/>
  <c r="AZ27" i="16" s="1"/>
  <c r="CB18" i="16"/>
  <c r="BR18" i="16"/>
  <c r="AG18" i="16" s="1"/>
  <c r="W18" i="16"/>
  <c r="AZ18" i="16" s="1"/>
  <c r="CB21" i="16"/>
  <c r="BR21" i="16"/>
  <c r="AG21" i="16" s="1"/>
  <c r="W21" i="16"/>
  <c r="AZ21" i="16" s="1"/>
  <c r="CB28" i="16"/>
  <c r="BR28" i="16"/>
  <c r="AG28" i="16" s="1"/>
  <c r="AZ28" i="16"/>
  <c r="W28" i="16"/>
  <c r="CB26" i="16"/>
  <c r="BR26" i="16"/>
  <c r="AG26" i="16" s="1"/>
  <c r="W26" i="16"/>
  <c r="AZ26" i="16" s="1"/>
  <c r="CB24" i="16"/>
  <c r="BR24" i="16"/>
  <c r="AG24" i="16" s="1"/>
  <c r="W24" i="16"/>
  <c r="AZ24" i="16" s="1"/>
  <c r="CB22" i="16"/>
  <c r="BR22" i="16"/>
  <c r="AG22" i="16" s="1"/>
  <c r="W22" i="16"/>
  <c r="AZ22" i="16" s="1"/>
  <c r="CB29" i="16"/>
  <c r="BR29" i="16"/>
  <c r="AG29" i="16" s="1"/>
  <c r="W29" i="16"/>
  <c r="AZ29" i="16" s="1"/>
  <c r="CB20" i="16"/>
  <c r="BR20" i="16"/>
  <c r="AG20" i="16" s="1"/>
  <c r="W20" i="16"/>
  <c r="AZ20" i="16" s="1"/>
  <c r="CB19" i="16"/>
  <c r="BR19" i="16"/>
  <c r="AG19" i="16" s="1"/>
  <c r="W19" i="16"/>
  <c r="AZ19" i="16" s="1"/>
  <c r="CC25" i="12"/>
  <c r="V25" i="12"/>
  <c r="BS25" i="12"/>
  <c r="AF25" i="12" s="1"/>
  <c r="U25" i="12" s="1"/>
  <c r="CB30" i="12"/>
  <c r="BR30" i="12"/>
  <c r="AG30" i="12" s="1"/>
  <c r="W30" i="12"/>
  <c r="AZ30" i="12" s="1"/>
  <c r="W18" i="12"/>
  <c r="AZ18" i="12" s="1"/>
  <c r="CB18" i="12"/>
  <c r="BR18" i="12"/>
  <c r="AG18" i="12" s="1"/>
  <c r="V23" i="12"/>
  <c r="CC23" i="12"/>
  <c r="BS23" i="12"/>
  <c r="AF23" i="12" s="1"/>
  <c r="U23" i="12" s="1"/>
  <c r="CB16" i="12"/>
  <c r="BR16" i="12"/>
  <c r="AG16" i="12" s="1"/>
  <c r="W16" i="12"/>
  <c r="AZ16" i="12" s="1"/>
  <c r="CB26" i="12"/>
  <c r="BR26" i="12"/>
  <c r="AG26" i="12" s="1"/>
  <c r="W26" i="12"/>
  <c r="AZ26" i="12" s="1"/>
  <c r="CB27" i="12"/>
  <c r="BR27" i="12"/>
  <c r="AG27" i="12" s="1"/>
  <c r="W27" i="12"/>
  <c r="AZ27" i="12" s="1"/>
  <c r="CB29" i="12"/>
  <c r="BR29" i="12"/>
  <c r="AG29" i="12" s="1"/>
  <c r="W29" i="12"/>
  <c r="AZ29" i="12" s="1"/>
  <c r="CC20" i="12"/>
  <c r="BS20" i="12"/>
  <c r="AF20" i="12" s="1"/>
  <c r="U20" i="12" s="1"/>
  <c r="V20" i="12"/>
  <c r="CD25" i="12"/>
  <c r="CD23" i="12"/>
  <c r="W17" i="12"/>
  <c r="AZ17" i="12" s="1"/>
  <c r="CB17" i="12"/>
  <c r="BR17" i="12"/>
  <c r="AG17" i="12" s="1"/>
  <c r="CB28" i="12"/>
  <c r="BR28" i="12"/>
  <c r="AG28" i="12" s="1"/>
  <c r="W28" i="12"/>
  <c r="AZ28" i="12" s="1"/>
  <c r="CC21" i="12"/>
  <c r="CD21" i="12" s="1"/>
  <c r="BS21" i="12"/>
  <c r="AF21" i="12" s="1"/>
  <c r="U21" i="12" s="1"/>
  <c r="V21" i="12"/>
  <c r="CC19" i="12"/>
  <c r="CD19" i="12" s="1"/>
  <c r="BS19" i="12"/>
  <c r="AF19" i="12" s="1"/>
  <c r="U19" i="12" s="1"/>
  <c r="V19" i="12"/>
  <c r="CD20" i="12"/>
  <c r="W31" i="11"/>
  <c r="AZ31" i="11" s="1"/>
  <c r="CB31" i="11"/>
  <c r="BR31" i="11"/>
  <c r="AG31" i="11" s="1"/>
  <c r="V30" i="11"/>
  <c r="CC30" i="11"/>
  <c r="CD30" i="11" s="1"/>
  <c r="BS30" i="11"/>
  <c r="AF30" i="11" s="1"/>
  <c r="U30" i="11" s="1"/>
  <c r="V29" i="11"/>
  <c r="CC29" i="11"/>
  <c r="CD29" i="11" s="1"/>
  <c r="BS29" i="11"/>
  <c r="AF29" i="11" s="1"/>
  <c r="U29" i="11" s="1"/>
  <c r="CC27" i="11"/>
  <c r="CD27" i="11" s="1"/>
  <c r="BS27" i="11"/>
  <c r="AF27" i="11" s="1"/>
  <c r="U27" i="11" s="1"/>
  <c r="V27" i="11"/>
  <c r="CC21" i="11"/>
  <c r="CD21" i="11" s="1"/>
  <c r="BS21" i="11"/>
  <c r="AF21" i="11" s="1"/>
  <c r="V21" i="11"/>
  <c r="CC22" i="11"/>
  <c r="CD22" i="11" s="1"/>
  <c r="BS22" i="11"/>
  <c r="AF22" i="11" s="1"/>
  <c r="U22" i="11" s="1"/>
  <c r="V22" i="11"/>
  <c r="V25" i="11"/>
  <c r="CC25" i="11"/>
  <c r="CD25" i="11" s="1"/>
  <c r="BS25" i="11"/>
  <c r="AF25" i="11" s="1"/>
  <c r="U25" i="11" s="1"/>
  <c r="CC18" i="11"/>
  <c r="CD18" i="11" s="1"/>
  <c r="BS18" i="11"/>
  <c r="AF18" i="11" s="1"/>
  <c r="U18" i="11" s="1"/>
  <c r="V18" i="11"/>
  <c r="V24" i="11"/>
  <c r="CC24" i="11"/>
  <c r="BS24" i="11"/>
  <c r="AF24" i="11" s="1"/>
  <c r="U24" i="11" s="1"/>
  <c r="CC17" i="11"/>
  <c r="CD17" i="11" s="1"/>
  <c r="BS17" i="11"/>
  <c r="AF17" i="11" s="1"/>
  <c r="U17" i="11" s="1"/>
  <c r="V17" i="11"/>
  <c r="CD24" i="11"/>
  <c r="V26" i="11"/>
  <c r="CC26" i="11"/>
  <c r="CD26" i="11" s="1"/>
  <c r="BS26" i="11"/>
  <c r="AF26" i="11" s="1"/>
  <c r="U26" i="11" s="1"/>
  <c r="V19" i="11"/>
  <c r="CC19" i="11"/>
  <c r="CD19" i="11" s="1"/>
  <c r="BS19" i="11"/>
  <c r="AF19" i="11" s="1"/>
  <c r="U19" i="11" s="1"/>
  <c r="U21" i="11"/>
  <c r="CB25" i="10"/>
  <c r="BR25" i="10"/>
  <c r="AG25" i="10" s="1"/>
  <c r="W25" i="10"/>
  <c r="AZ25" i="10" s="1"/>
  <c r="CC17" i="10"/>
  <c r="V17" i="10"/>
  <c r="BS17" i="10"/>
  <c r="AF17" i="10" s="1"/>
  <c r="U17" i="10" s="1"/>
  <c r="CB22" i="10"/>
  <c r="BR22" i="10"/>
  <c r="AG22" i="10" s="1"/>
  <c r="W22" i="10"/>
  <c r="AZ22" i="10" s="1"/>
  <c r="CB24" i="10"/>
  <c r="BR24" i="10"/>
  <c r="AG24" i="10" s="1"/>
  <c r="W24" i="10"/>
  <c r="AZ24" i="10" s="1"/>
  <c r="CB19" i="10"/>
  <c r="BR19" i="10"/>
  <c r="AG19" i="10" s="1"/>
  <c r="W19" i="10"/>
  <c r="AZ19" i="10" s="1"/>
  <c r="CD17" i="10"/>
  <c r="CB21" i="10"/>
  <c r="BR21" i="10"/>
  <c r="AG21" i="10" s="1"/>
  <c r="W21" i="10"/>
  <c r="AZ21" i="10" s="1"/>
  <c r="CB23" i="10"/>
  <c r="BR23" i="10"/>
  <c r="AG23" i="10" s="1"/>
  <c r="W23" i="10"/>
  <c r="AZ23" i="10" s="1"/>
  <c r="CC15" i="10"/>
  <c r="CD15" i="10" s="1"/>
  <c r="BS15" i="10"/>
  <c r="AF15" i="10" s="1"/>
  <c r="U15" i="10" s="1"/>
  <c r="V15" i="10"/>
  <c r="CB20" i="10"/>
  <c r="BR20" i="10"/>
  <c r="AG20" i="10" s="1"/>
  <c r="W20" i="10"/>
  <c r="AZ20" i="10" s="1"/>
  <c r="CB18" i="10"/>
  <c r="BR18" i="10"/>
  <c r="AG18" i="10" s="1"/>
  <c r="W18" i="10"/>
  <c r="AZ18" i="10" s="1"/>
  <c r="CC16" i="10"/>
  <c r="CD16" i="10" s="1"/>
  <c r="BS16" i="10"/>
  <c r="AF16" i="10" s="1"/>
  <c r="U16" i="10" s="1"/>
  <c r="V16" i="10"/>
  <c r="CB25" i="9"/>
  <c r="BR25" i="9"/>
  <c r="AG25" i="9" s="1"/>
  <c r="W25" i="9"/>
  <c r="AZ25" i="9" s="1"/>
  <c r="CC19" i="9"/>
  <c r="CD19" i="9" s="1"/>
  <c r="BS19" i="9"/>
  <c r="AF19" i="9" s="1"/>
  <c r="V19" i="9"/>
  <c r="V24" i="9"/>
  <c r="CC24" i="9"/>
  <c r="CD24" i="9" s="1"/>
  <c r="BS24" i="9"/>
  <c r="AF24" i="9" s="1"/>
  <c r="U24" i="9" s="1"/>
  <c r="V23" i="9"/>
  <c r="CC23" i="9"/>
  <c r="BS23" i="9"/>
  <c r="AF23" i="9" s="1"/>
  <c r="U23" i="9" s="1"/>
  <c r="W18" i="9"/>
  <c r="AZ18" i="9" s="1"/>
  <c r="CB18" i="9"/>
  <c r="BR18" i="9"/>
  <c r="AG18" i="9" s="1"/>
  <c r="U19" i="9"/>
  <c r="W16" i="9"/>
  <c r="AZ16" i="9" s="1"/>
  <c r="CB16" i="9"/>
  <c r="BR16" i="9"/>
  <c r="AG16" i="9" s="1"/>
  <c r="CD23" i="9"/>
  <c r="CC20" i="9"/>
  <c r="CD20" i="9" s="1"/>
  <c r="BS20" i="9"/>
  <c r="AF20" i="9" s="1"/>
  <c r="U20" i="9" s="1"/>
  <c r="V20" i="9"/>
  <c r="CC21" i="9"/>
  <c r="BS21" i="9"/>
  <c r="AF21" i="9" s="1"/>
  <c r="U21" i="9" s="1"/>
  <c r="V21" i="9"/>
  <c r="W17" i="9"/>
  <c r="AZ17" i="9" s="1"/>
  <c r="CB17" i="9"/>
  <c r="BR17" i="9"/>
  <c r="AG17" i="9" s="1"/>
  <c r="CD21" i="9"/>
  <c r="CB15" i="9"/>
  <c r="BR15" i="9"/>
  <c r="AG15" i="9" s="1"/>
  <c r="W15" i="9"/>
  <c r="AZ15" i="9" s="1"/>
  <c r="BQ15" i="6"/>
  <c r="AH15" i="6" s="1"/>
  <c r="CA15" i="6"/>
  <c r="X15" i="6"/>
  <c r="BA15" i="6" s="1"/>
  <c r="BQ16" i="6"/>
  <c r="AH16" i="6" s="1"/>
  <c r="CA16" i="6"/>
  <c r="X16" i="6"/>
  <c r="BA16" i="6" s="1"/>
  <c r="CB21" i="6"/>
  <c r="BR21" i="6"/>
  <c r="AG21" i="6" s="1"/>
  <c r="W21" i="6"/>
  <c r="AZ21" i="6" s="1"/>
  <c r="CC18" i="6"/>
  <c r="BS18" i="6"/>
  <c r="AF18" i="6" s="1"/>
  <c r="U18" i="6" s="1"/>
  <c r="V18" i="6"/>
  <c r="CD18" i="6"/>
  <c r="CC19" i="6"/>
  <c r="CD19" i="6" s="1"/>
  <c r="BS19" i="6"/>
  <c r="AF19" i="6" s="1"/>
  <c r="U19" i="6" s="1"/>
  <c r="V19" i="6"/>
  <c r="CC17" i="6"/>
  <c r="CD17" i="6" s="1"/>
  <c r="BS17" i="6"/>
  <c r="AF17" i="6" s="1"/>
  <c r="U17" i="6" s="1"/>
  <c r="V17" i="6"/>
  <c r="CC20" i="6"/>
  <c r="CD20" i="6" s="1"/>
  <c r="BS20" i="6"/>
  <c r="AF20" i="6" s="1"/>
  <c r="U20" i="6" s="1"/>
  <c r="V20" i="6"/>
  <c r="CB22" i="12" l="1"/>
  <c r="BR22" i="12"/>
  <c r="AG22" i="12" s="1"/>
  <c r="W22" i="12"/>
  <c r="AZ22" i="12" s="1"/>
  <c r="W31" i="16"/>
  <c r="AZ31" i="16" s="1"/>
  <c r="CB31" i="16"/>
  <c r="BR31" i="16"/>
  <c r="AG31" i="16" s="1"/>
  <c r="CB20" i="11"/>
  <c r="BR20" i="11"/>
  <c r="AG20" i="11" s="1"/>
  <c r="W20" i="11"/>
  <c r="AZ20" i="11" s="1"/>
  <c r="CB23" i="11"/>
  <c r="BR23" i="11"/>
  <c r="AG23" i="11" s="1"/>
  <c r="W23" i="11"/>
  <c r="AZ23" i="11" s="1"/>
  <c r="CB28" i="11"/>
  <c r="BR28" i="11"/>
  <c r="AG28" i="11" s="1"/>
  <c r="W28" i="11"/>
  <c r="AZ28" i="11" s="1"/>
  <c r="CB22" i="9"/>
  <c r="W22" i="9"/>
  <c r="AZ22" i="9" s="1"/>
  <c r="BR22" i="9"/>
  <c r="AG22" i="9" s="1"/>
  <c r="CB24" i="12"/>
  <c r="W24" i="12"/>
  <c r="AZ24" i="12" s="1"/>
  <c r="BR24" i="12"/>
  <c r="AG24" i="12" s="1"/>
  <c r="V20" i="16"/>
  <c r="BS20" i="16"/>
  <c r="AF20" i="16" s="1"/>
  <c r="CC20" i="16"/>
  <c r="CD20" i="16" s="1"/>
  <c r="V22" i="16"/>
  <c r="BS22" i="16"/>
  <c r="AF22" i="16" s="1"/>
  <c r="CC22" i="16"/>
  <c r="V21" i="16"/>
  <c r="CC21" i="16"/>
  <c r="BS21" i="16"/>
  <c r="AF21" i="16" s="1"/>
  <c r="V27" i="16"/>
  <c r="CC27" i="16"/>
  <c r="BS27" i="16"/>
  <c r="AF27" i="16" s="1"/>
  <c r="V23" i="16"/>
  <c r="CC23" i="16"/>
  <c r="BS23" i="16"/>
  <c r="AF23" i="16" s="1"/>
  <c r="CC30" i="16"/>
  <c r="CD30" i="16" s="1"/>
  <c r="BS30" i="16"/>
  <c r="AF30" i="16" s="1"/>
  <c r="U30" i="16" s="1"/>
  <c r="V30" i="16"/>
  <c r="V19" i="16"/>
  <c r="BS19" i="16"/>
  <c r="AF19" i="16" s="1"/>
  <c r="U19" i="16" s="1"/>
  <c r="CC19" i="16"/>
  <c r="V29" i="16"/>
  <c r="BS29" i="16"/>
  <c r="AF29" i="16" s="1"/>
  <c r="CC29" i="16"/>
  <c r="V18" i="16"/>
  <c r="CC18" i="16"/>
  <c r="BS18" i="16"/>
  <c r="AF18" i="16" s="1"/>
  <c r="V25" i="16"/>
  <c r="CC25" i="16"/>
  <c r="CD25" i="16" s="1"/>
  <c r="BS25" i="16"/>
  <c r="AF25" i="16" s="1"/>
  <c r="CC17" i="16"/>
  <c r="CD17" i="16" s="1"/>
  <c r="BS17" i="16"/>
  <c r="AF17" i="16" s="1"/>
  <c r="V17" i="16"/>
  <c r="U20" i="16"/>
  <c r="BS26" i="16"/>
  <c r="AF26" i="16" s="1"/>
  <c r="U26" i="16" s="1"/>
  <c r="V26" i="16"/>
  <c r="CC26" i="16"/>
  <c r="CD26" i="16" s="1"/>
  <c r="U29" i="16"/>
  <c r="CD19" i="16"/>
  <c r="CD29" i="16"/>
  <c r="CD22" i="16"/>
  <c r="CD21" i="16"/>
  <c r="CD18" i="16"/>
  <c r="CD27" i="16"/>
  <c r="CD23" i="16"/>
  <c r="V24" i="16"/>
  <c r="BS24" i="16"/>
  <c r="AF24" i="16" s="1"/>
  <c r="U24" i="16" s="1"/>
  <c r="CC24" i="16"/>
  <c r="CD24" i="16" s="1"/>
  <c r="V28" i="16"/>
  <c r="CC28" i="16"/>
  <c r="CD28" i="16" s="1"/>
  <c r="BS28" i="16"/>
  <c r="AF28" i="16" s="1"/>
  <c r="U28" i="16" s="1"/>
  <c r="U22" i="16"/>
  <c r="U21" i="16"/>
  <c r="U18" i="16"/>
  <c r="U27" i="16"/>
  <c r="U25" i="16"/>
  <c r="U23" i="16"/>
  <c r="U17" i="16"/>
  <c r="V27" i="12"/>
  <c r="CC27" i="12"/>
  <c r="CD27" i="12" s="1"/>
  <c r="BS27" i="12"/>
  <c r="AF27" i="12" s="1"/>
  <c r="U27" i="12" s="1"/>
  <c r="CC16" i="12"/>
  <c r="CD16" i="12" s="1"/>
  <c r="BS16" i="12"/>
  <c r="AF16" i="12" s="1"/>
  <c r="U16" i="12" s="1"/>
  <c r="V16" i="12"/>
  <c r="V29" i="12"/>
  <c r="CC29" i="12"/>
  <c r="BS29" i="12"/>
  <c r="AF29" i="12" s="1"/>
  <c r="U29" i="12" s="1"/>
  <c r="V26" i="12"/>
  <c r="BS26" i="12"/>
  <c r="AF26" i="12" s="1"/>
  <c r="U26" i="12" s="1"/>
  <c r="CC26" i="12"/>
  <c r="CD26" i="12" s="1"/>
  <c r="CC30" i="12"/>
  <c r="CD30" i="12" s="1"/>
  <c r="BS30" i="12"/>
  <c r="AF30" i="12" s="1"/>
  <c r="U30" i="12" s="1"/>
  <c r="V30" i="12"/>
  <c r="V28" i="12"/>
  <c r="BS28" i="12"/>
  <c r="AF28" i="12" s="1"/>
  <c r="U28" i="12" s="1"/>
  <c r="CC28" i="12"/>
  <c r="CD28" i="12" s="1"/>
  <c r="CE25" i="12"/>
  <c r="K25" i="12"/>
  <c r="T25" i="12" s="1"/>
  <c r="CE19" i="12"/>
  <c r="K19" i="12"/>
  <c r="T19" i="12" s="1"/>
  <c r="CE23" i="12"/>
  <c r="K23" i="12"/>
  <c r="T23" i="12" s="1"/>
  <c r="CD29" i="12"/>
  <c r="CE21" i="12"/>
  <c r="K21" i="12"/>
  <c r="T21" i="12" s="1"/>
  <c r="CC17" i="12"/>
  <c r="CD17" i="12" s="1"/>
  <c r="V17" i="12"/>
  <c r="BS17" i="12"/>
  <c r="AF17" i="12" s="1"/>
  <c r="U17" i="12" s="1"/>
  <c r="CE20" i="12"/>
  <c r="K20" i="12"/>
  <c r="T20" i="12" s="1"/>
  <c r="CC18" i="12"/>
  <c r="CD18" i="12" s="1"/>
  <c r="BS18" i="12"/>
  <c r="AF18" i="12" s="1"/>
  <c r="U18" i="12" s="1"/>
  <c r="V18" i="12"/>
  <c r="CC31" i="11"/>
  <c r="CD31" i="11" s="1"/>
  <c r="BS31" i="11"/>
  <c r="AF31" i="11" s="1"/>
  <c r="U31" i="11" s="1"/>
  <c r="V31" i="11"/>
  <c r="CE27" i="11"/>
  <c r="K27" i="11"/>
  <c r="T27" i="11" s="1"/>
  <c r="CE30" i="11"/>
  <c r="K30" i="11"/>
  <c r="T30" i="11" s="1"/>
  <c r="CE29" i="11"/>
  <c r="K29" i="11"/>
  <c r="T29" i="11" s="1"/>
  <c r="CE19" i="11"/>
  <c r="K19" i="11"/>
  <c r="T19" i="11" s="1"/>
  <c r="CE26" i="11"/>
  <c r="K26" i="11"/>
  <c r="T26" i="11" s="1"/>
  <c r="CE18" i="11"/>
  <c r="K18" i="11"/>
  <c r="T18" i="11" s="1"/>
  <c r="CE25" i="11"/>
  <c r="K25" i="11"/>
  <c r="T25" i="11" s="1"/>
  <c r="CE22" i="11"/>
  <c r="K22" i="11"/>
  <c r="T22" i="11" s="1"/>
  <c r="CE24" i="11"/>
  <c r="K24" i="11"/>
  <c r="T24" i="11" s="1"/>
  <c r="CE21" i="11"/>
  <c r="K21" i="11"/>
  <c r="T21" i="11" s="1"/>
  <c r="CE17" i="11"/>
  <c r="K17" i="11"/>
  <c r="T17" i="11" s="1"/>
  <c r="V21" i="10"/>
  <c r="BS21" i="10"/>
  <c r="AF21" i="10" s="1"/>
  <c r="CC21" i="10"/>
  <c r="V19" i="10"/>
  <c r="CC19" i="10"/>
  <c r="BS19" i="10"/>
  <c r="AF19" i="10" s="1"/>
  <c r="U19" i="10" s="1"/>
  <c r="V22" i="10"/>
  <c r="CC22" i="10"/>
  <c r="BS22" i="10"/>
  <c r="AF22" i="10" s="1"/>
  <c r="U22" i="10" s="1"/>
  <c r="CC25" i="10"/>
  <c r="CD25" i="10" s="1"/>
  <c r="BS25" i="10"/>
  <c r="AF25" i="10" s="1"/>
  <c r="U25" i="10" s="1"/>
  <c r="V25" i="10"/>
  <c r="CE15" i="10"/>
  <c r="K15" i="10"/>
  <c r="T15" i="10" s="1"/>
  <c r="V23" i="10"/>
  <c r="BS23" i="10"/>
  <c r="AF23" i="10" s="1"/>
  <c r="U23" i="10" s="1"/>
  <c r="CC23" i="10"/>
  <c r="V24" i="10"/>
  <c r="CC24" i="10"/>
  <c r="CD24" i="10" s="1"/>
  <c r="BS24" i="10"/>
  <c r="AF24" i="10" s="1"/>
  <c r="U24" i="10" s="1"/>
  <c r="U21" i="10"/>
  <c r="V18" i="10"/>
  <c r="BS18" i="10"/>
  <c r="AF18" i="10" s="1"/>
  <c r="U18" i="10" s="1"/>
  <c r="CC18" i="10"/>
  <c r="CD18" i="10" s="1"/>
  <c r="CC20" i="10"/>
  <c r="CD20" i="10" s="1"/>
  <c r="V20" i="10"/>
  <c r="BS20" i="10"/>
  <c r="AF20" i="10" s="1"/>
  <c r="U20" i="10" s="1"/>
  <c r="CE17" i="10"/>
  <c r="K17" i="10"/>
  <c r="T17" i="10" s="1"/>
  <c r="CE16" i="10"/>
  <c r="K16" i="10"/>
  <c r="T16" i="10" s="1"/>
  <c r="CD23" i="10"/>
  <c r="CD21" i="10"/>
  <c r="CD19" i="10"/>
  <c r="CD22" i="10"/>
  <c r="V25" i="9"/>
  <c r="CC25" i="9"/>
  <c r="CD25" i="9" s="1"/>
  <c r="BS25" i="9"/>
  <c r="AF25" i="9" s="1"/>
  <c r="U25" i="9" s="1"/>
  <c r="CE20" i="9"/>
  <c r="K20" i="9"/>
  <c r="T20" i="9" s="1"/>
  <c r="BS17" i="9"/>
  <c r="AF17" i="9" s="1"/>
  <c r="U17" i="9" s="1"/>
  <c r="V17" i="9"/>
  <c r="CC17" i="9"/>
  <c r="CD17" i="9" s="1"/>
  <c r="CC18" i="9"/>
  <c r="CD18" i="9" s="1"/>
  <c r="BS18" i="9"/>
  <c r="AF18" i="9" s="1"/>
  <c r="U18" i="9" s="1"/>
  <c r="V18" i="9"/>
  <c r="CE23" i="9"/>
  <c r="K23" i="9"/>
  <c r="T23" i="9" s="1"/>
  <c r="CE24" i="9"/>
  <c r="K24" i="9"/>
  <c r="T24" i="9" s="1"/>
  <c r="CE21" i="9"/>
  <c r="K21" i="9"/>
  <c r="T21" i="9"/>
  <c r="BS16" i="9"/>
  <c r="AF16" i="9" s="1"/>
  <c r="U16" i="9" s="1"/>
  <c r="V16" i="9"/>
  <c r="CC16" i="9"/>
  <c r="CD16" i="9" s="1"/>
  <c r="CE19" i="9"/>
  <c r="K19" i="9"/>
  <c r="T19" i="9" s="1"/>
  <c r="V15" i="9"/>
  <c r="CC15" i="9"/>
  <c r="CD15" i="9" s="1"/>
  <c r="BS15" i="9"/>
  <c r="AF15" i="9" s="1"/>
  <c r="U15" i="9" s="1"/>
  <c r="BR15" i="6"/>
  <c r="AG15" i="6" s="1"/>
  <c r="CB15" i="6"/>
  <c r="W15" i="6"/>
  <c r="AZ15" i="6" s="1"/>
  <c r="W16" i="6"/>
  <c r="AZ16" i="6" s="1"/>
  <c r="BR16" i="6"/>
  <c r="AG16" i="6" s="1"/>
  <c r="CB16" i="6"/>
  <c r="V21" i="6"/>
  <c r="CC21" i="6"/>
  <c r="CD21" i="6" s="1"/>
  <c r="BS21" i="6"/>
  <c r="AF21" i="6" s="1"/>
  <c r="U21" i="6" s="1"/>
  <c r="K17" i="6"/>
  <c r="T17" i="6" s="1"/>
  <c r="CE17" i="6"/>
  <c r="CE19" i="6"/>
  <c r="K19" i="6"/>
  <c r="T19" i="6" s="1"/>
  <c r="K20" i="6"/>
  <c r="CE20" i="6"/>
  <c r="T20" i="6"/>
  <c r="CE18" i="6"/>
  <c r="K18" i="6"/>
  <c r="T18" i="6" s="1"/>
  <c r="CC23" i="11" l="1"/>
  <c r="CD23" i="11" s="1"/>
  <c r="BS23" i="11"/>
  <c r="AF23" i="11" s="1"/>
  <c r="U23" i="11" s="1"/>
  <c r="V23" i="11"/>
  <c r="V31" i="16"/>
  <c r="CC31" i="16"/>
  <c r="CD31" i="16" s="1"/>
  <c r="BS31" i="16"/>
  <c r="AF31" i="16" s="1"/>
  <c r="U31" i="16" s="1"/>
  <c r="CC22" i="9"/>
  <c r="CD22" i="9" s="1"/>
  <c r="BS22" i="9"/>
  <c r="AF22" i="9" s="1"/>
  <c r="U22" i="9" s="1"/>
  <c r="V22" i="9"/>
  <c r="V22" i="12"/>
  <c r="CC22" i="12"/>
  <c r="BS22" i="12"/>
  <c r="AF22" i="12" s="1"/>
  <c r="U22" i="12" s="1"/>
  <c r="CC20" i="11"/>
  <c r="CD20" i="11" s="1"/>
  <c r="BS20" i="11"/>
  <c r="AF20" i="11" s="1"/>
  <c r="U20" i="11" s="1"/>
  <c r="V20" i="11"/>
  <c r="CC28" i="11"/>
  <c r="CD28" i="11" s="1"/>
  <c r="BS28" i="11"/>
  <c r="AF28" i="11" s="1"/>
  <c r="U28" i="11" s="1"/>
  <c r="V28" i="11"/>
  <c r="CD22" i="12"/>
  <c r="V24" i="12"/>
  <c r="BS24" i="12"/>
  <c r="AF24" i="12" s="1"/>
  <c r="U24" i="12" s="1"/>
  <c r="CC24" i="12"/>
  <c r="CD24" i="12" s="1"/>
  <c r="CE28" i="16"/>
  <c r="K28" i="16"/>
  <c r="T28" i="16" s="1"/>
  <c r="CE24" i="16"/>
  <c r="K24" i="16"/>
  <c r="T24" i="16" s="1"/>
  <c r="CE19" i="16"/>
  <c r="K19" i="16"/>
  <c r="T19" i="16" s="1"/>
  <c r="CE30" i="16"/>
  <c r="K30" i="16"/>
  <c r="T30" i="16" s="1"/>
  <c r="CE23" i="16"/>
  <c r="K23" i="16"/>
  <c r="T23" i="16" s="1"/>
  <c r="CE27" i="16"/>
  <c r="K27" i="16"/>
  <c r="T27" i="16" s="1"/>
  <c r="CE21" i="16"/>
  <c r="K21" i="16"/>
  <c r="T21" i="16" s="1"/>
  <c r="CE22" i="16"/>
  <c r="K22" i="16"/>
  <c r="T22" i="16" s="1"/>
  <c r="CE20" i="16"/>
  <c r="K20" i="16"/>
  <c r="T20" i="16" s="1"/>
  <c r="CE17" i="16"/>
  <c r="K17" i="16"/>
  <c r="T17" i="16" s="1"/>
  <c r="CE25" i="16"/>
  <c r="K25" i="16"/>
  <c r="T25" i="16" s="1"/>
  <c r="T18" i="16"/>
  <c r="K18" i="16"/>
  <c r="CE18" i="16"/>
  <c r="CE29" i="16"/>
  <c r="K29" i="16"/>
  <c r="T29" i="16" s="1"/>
  <c r="CE26" i="16"/>
  <c r="K26" i="16"/>
  <c r="T26" i="16" s="1"/>
  <c r="CF21" i="12"/>
  <c r="J21" i="12"/>
  <c r="S21" i="12" s="1"/>
  <c r="CF25" i="12"/>
  <c r="J25" i="12"/>
  <c r="S25" i="12" s="1"/>
  <c r="K17" i="12"/>
  <c r="T17" i="12" s="1"/>
  <c r="CE17" i="12"/>
  <c r="CF23" i="12"/>
  <c r="J23" i="12"/>
  <c r="S23" i="12" s="1"/>
  <c r="CE28" i="12"/>
  <c r="K28" i="12"/>
  <c r="T28" i="12" s="1"/>
  <c r="CF19" i="12"/>
  <c r="J19" i="12"/>
  <c r="S19" i="12" s="1"/>
  <c r="CE29" i="12"/>
  <c r="K29" i="12"/>
  <c r="T29" i="12" s="1"/>
  <c r="CE16" i="12"/>
  <c r="K16" i="12"/>
  <c r="T16" i="12" s="1"/>
  <c r="CE27" i="12"/>
  <c r="K27" i="12"/>
  <c r="T27" i="12" s="1"/>
  <c r="CE18" i="12"/>
  <c r="K18" i="12"/>
  <c r="T18" i="12" s="1"/>
  <c r="J20" i="12"/>
  <c r="S20" i="12" s="1"/>
  <c r="CF20" i="12"/>
  <c r="CE26" i="12"/>
  <c r="K26" i="12"/>
  <c r="T26" i="12" s="1"/>
  <c r="CE30" i="12"/>
  <c r="K30" i="12"/>
  <c r="T30" i="12" s="1"/>
  <c r="CE31" i="11"/>
  <c r="K31" i="11"/>
  <c r="T31" i="11" s="1"/>
  <c r="CF29" i="11"/>
  <c r="J29" i="11"/>
  <c r="S29" i="11" s="1"/>
  <c r="CF30" i="11"/>
  <c r="J30" i="11"/>
  <c r="S30" i="11" s="1"/>
  <c r="CF27" i="11"/>
  <c r="J27" i="11"/>
  <c r="S27" i="11" s="1"/>
  <c r="CF17" i="11"/>
  <c r="J17" i="11"/>
  <c r="S17" i="11" s="1"/>
  <c r="J21" i="11"/>
  <c r="CF21" i="11"/>
  <c r="S21" i="11"/>
  <c r="CF26" i="11"/>
  <c r="J26" i="11"/>
  <c r="S26" i="11" s="1"/>
  <c r="CF24" i="11"/>
  <c r="J24" i="11"/>
  <c r="S24" i="11" s="1"/>
  <c r="CF22" i="11"/>
  <c r="J22" i="11"/>
  <c r="S22" i="11" s="1"/>
  <c r="CF25" i="11"/>
  <c r="J25" i="11"/>
  <c r="S25" i="11" s="1"/>
  <c r="CF18" i="11"/>
  <c r="J18" i="11"/>
  <c r="S18" i="11" s="1"/>
  <c r="CF19" i="11"/>
  <c r="J19" i="11"/>
  <c r="S19" i="11" s="1"/>
  <c r="CF17" i="10"/>
  <c r="J17" i="10"/>
  <c r="S17" i="10" s="1"/>
  <c r="CE18" i="10"/>
  <c r="K18" i="10"/>
  <c r="T18" i="10" s="1"/>
  <c r="CE20" i="10"/>
  <c r="K20" i="10"/>
  <c r="T20" i="10" s="1"/>
  <c r="CF16" i="10"/>
  <c r="J16" i="10"/>
  <c r="S16" i="10" s="1"/>
  <c r="CE24" i="10"/>
  <c r="K24" i="10"/>
  <c r="T24" i="10" s="1"/>
  <c r="CE23" i="10"/>
  <c r="K23" i="10"/>
  <c r="T23" i="10" s="1"/>
  <c r="CE21" i="10"/>
  <c r="K21" i="10"/>
  <c r="T21" i="10" s="1"/>
  <c r="CE25" i="10"/>
  <c r="K25" i="10"/>
  <c r="T25" i="10" s="1"/>
  <c r="CE22" i="10"/>
  <c r="K22" i="10"/>
  <c r="T22" i="10" s="1"/>
  <c r="CE19" i="10"/>
  <c r="K19" i="10"/>
  <c r="T19" i="10" s="1"/>
  <c r="CF15" i="10"/>
  <c r="J15" i="10"/>
  <c r="S15" i="10" s="1"/>
  <c r="CE25" i="9"/>
  <c r="K25" i="9"/>
  <c r="T25" i="9" s="1"/>
  <c r="CE16" i="9"/>
  <c r="K16" i="9"/>
  <c r="T16" i="9" s="1"/>
  <c r="CF23" i="9"/>
  <c r="J23" i="9"/>
  <c r="S23" i="9" s="1"/>
  <c r="J20" i="9"/>
  <c r="S20" i="9" s="1"/>
  <c r="CF20" i="9"/>
  <c r="CE17" i="9"/>
  <c r="K17" i="9"/>
  <c r="T17" i="9" s="1"/>
  <c r="CF19" i="9"/>
  <c r="J19" i="9"/>
  <c r="S19" i="9" s="1"/>
  <c r="CF24" i="9"/>
  <c r="J24" i="9"/>
  <c r="S24" i="9" s="1"/>
  <c r="CF21" i="9"/>
  <c r="J21" i="9"/>
  <c r="S21" i="9" s="1"/>
  <c r="CE18" i="9"/>
  <c r="K18" i="9"/>
  <c r="T18" i="9" s="1"/>
  <c r="CE15" i="9"/>
  <c r="K15" i="9"/>
  <c r="T15" i="9" s="1"/>
  <c r="BS15" i="6"/>
  <c r="AF15" i="6" s="1"/>
  <c r="U15" i="6" s="1"/>
  <c r="CC15" i="6"/>
  <c r="CD15" i="6" s="1"/>
  <c r="V15" i="6"/>
  <c r="BS16" i="6"/>
  <c r="AF16" i="6" s="1"/>
  <c r="U16" i="6" s="1"/>
  <c r="CC16" i="6"/>
  <c r="CD16" i="6" s="1"/>
  <c r="V16" i="6"/>
  <c r="K21" i="6"/>
  <c r="T21" i="6" s="1"/>
  <c r="CE21" i="6"/>
  <c r="CF18" i="6"/>
  <c r="J18" i="6"/>
  <c r="S18" i="6" s="1"/>
  <c r="CF20" i="6"/>
  <c r="J20" i="6"/>
  <c r="S20" i="6" s="1"/>
  <c r="J19" i="6"/>
  <c r="S19" i="6" s="1"/>
  <c r="CF19" i="6"/>
  <c r="CF17" i="6"/>
  <c r="J17" i="6"/>
  <c r="S17" i="6" s="1"/>
  <c r="CE20" i="11" l="1"/>
  <c r="K20" i="11"/>
  <c r="T20" i="11" s="1"/>
  <c r="CE31" i="16"/>
  <c r="K31" i="16"/>
  <c r="T31" i="16" s="1"/>
  <c r="CE22" i="12"/>
  <c r="K22" i="12"/>
  <c r="T22" i="12" s="1"/>
  <c r="CE28" i="11"/>
  <c r="K28" i="11"/>
  <c r="T28" i="11" s="1"/>
  <c r="CE23" i="11"/>
  <c r="K23" i="11"/>
  <c r="T23" i="11" s="1"/>
  <c r="K22" i="9"/>
  <c r="T22" i="9" s="1"/>
  <c r="CE22" i="9"/>
  <c r="CE24" i="12"/>
  <c r="K24" i="12"/>
  <c r="T24" i="12" s="1"/>
  <c r="CF25" i="16"/>
  <c r="J25" i="16"/>
  <c r="S25" i="16" s="1"/>
  <c r="CF20" i="16"/>
  <c r="J20" i="16"/>
  <c r="S20" i="16"/>
  <c r="CF21" i="16"/>
  <c r="J21" i="16"/>
  <c r="S21" i="16" s="1"/>
  <c r="CF23" i="16"/>
  <c r="J23" i="16"/>
  <c r="S23" i="16"/>
  <c r="CF26" i="16"/>
  <c r="J26" i="16"/>
  <c r="S26" i="16" s="1"/>
  <c r="CF29" i="16"/>
  <c r="J29" i="16"/>
  <c r="S29" i="16"/>
  <c r="CF17" i="16"/>
  <c r="J17" i="16"/>
  <c r="S17" i="16" s="1"/>
  <c r="CF22" i="16"/>
  <c r="J22" i="16"/>
  <c r="S22" i="16" s="1"/>
  <c r="CF27" i="16"/>
  <c r="J27" i="16"/>
  <c r="S27" i="16" s="1"/>
  <c r="CF30" i="16"/>
  <c r="J30" i="16"/>
  <c r="S30" i="16" s="1"/>
  <c r="CF19" i="16"/>
  <c r="J19" i="16"/>
  <c r="S19" i="16" s="1"/>
  <c r="CF24" i="16"/>
  <c r="J24" i="16"/>
  <c r="S24" i="16" s="1"/>
  <c r="CF28" i="16"/>
  <c r="J28" i="16"/>
  <c r="S28" i="16" s="1"/>
  <c r="CF18" i="16"/>
  <c r="J18" i="16"/>
  <c r="S18" i="16" s="1"/>
  <c r="CF26" i="12"/>
  <c r="J26" i="12"/>
  <c r="S26" i="12" s="1"/>
  <c r="CF18" i="12"/>
  <c r="J18" i="12"/>
  <c r="S18" i="12" s="1"/>
  <c r="CF27" i="12"/>
  <c r="J27" i="12"/>
  <c r="S27" i="12" s="1"/>
  <c r="CF28" i="12"/>
  <c r="J28" i="12"/>
  <c r="S28" i="12" s="1"/>
  <c r="CG23" i="12"/>
  <c r="I23" i="12"/>
  <c r="R23" i="12" s="1"/>
  <c r="CG20" i="12"/>
  <c r="I20" i="12"/>
  <c r="R20" i="12" s="1"/>
  <c r="CF29" i="12"/>
  <c r="J29" i="12"/>
  <c r="S29" i="12" s="1"/>
  <c r="CF17" i="12"/>
  <c r="J17" i="12"/>
  <c r="S17" i="12" s="1"/>
  <c r="CG21" i="12"/>
  <c r="I21" i="12"/>
  <c r="R21" i="12" s="1"/>
  <c r="CF30" i="12"/>
  <c r="J30" i="12"/>
  <c r="S30" i="12" s="1"/>
  <c r="CF16" i="12"/>
  <c r="J16" i="12"/>
  <c r="S16" i="12" s="1"/>
  <c r="CG19" i="12"/>
  <c r="I19" i="12"/>
  <c r="R19" i="12" s="1"/>
  <c r="CG25" i="12"/>
  <c r="I25" i="12"/>
  <c r="R25" i="12" s="1"/>
  <c r="CF31" i="11"/>
  <c r="J31" i="11"/>
  <c r="S31" i="11" s="1"/>
  <c r="CG27" i="11"/>
  <c r="I27" i="11"/>
  <c r="R27" i="11" s="1"/>
  <c r="CG30" i="11"/>
  <c r="I30" i="11"/>
  <c r="R30" i="11" s="1"/>
  <c r="CG29" i="11"/>
  <c r="I29" i="11"/>
  <c r="R29" i="11" s="1"/>
  <c r="CG25" i="11"/>
  <c r="I25" i="11"/>
  <c r="R25" i="11" s="1"/>
  <c r="CG26" i="11"/>
  <c r="I26" i="11"/>
  <c r="R26" i="11" s="1"/>
  <c r="CG19" i="11"/>
  <c r="I19" i="11"/>
  <c r="R19" i="11" s="1"/>
  <c r="CG18" i="11"/>
  <c r="I18" i="11"/>
  <c r="R18" i="11" s="1"/>
  <c r="CG22" i="11"/>
  <c r="I22" i="11"/>
  <c r="R22" i="11" s="1"/>
  <c r="CG24" i="11"/>
  <c r="I24" i="11"/>
  <c r="R24" i="11" s="1"/>
  <c r="CG17" i="11"/>
  <c r="I17" i="11"/>
  <c r="R17" i="11" s="1"/>
  <c r="CG21" i="11"/>
  <c r="I21" i="11"/>
  <c r="R21" i="11" s="1"/>
  <c r="CG15" i="10"/>
  <c r="I15" i="10"/>
  <c r="R15" i="10" s="1"/>
  <c r="CF22" i="10"/>
  <c r="J22" i="10"/>
  <c r="S22" i="10" s="1"/>
  <c r="CF21" i="10"/>
  <c r="J21" i="10"/>
  <c r="S21" i="10" s="1"/>
  <c r="CF24" i="10"/>
  <c r="J24" i="10"/>
  <c r="S24" i="10" s="1"/>
  <c r="CF18" i="10"/>
  <c r="J18" i="10"/>
  <c r="S18" i="10" s="1"/>
  <c r="CF19" i="10"/>
  <c r="J19" i="10"/>
  <c r="S19" i="10" s="1"/>
  <c r="CF25" i="10"/>
  <c r="J25" i="10"/>
  <c r="S25" i="10" s="1"/>
  <c r="CF23" i="10"/>
  <c r="J23" i="10"/>
  <c r="S23" i="10"/>
  <c r="CG16" i="10"/>
  <c r="I16" i="10"/>
  <c r="R16" i="10" s="1"/>
  <c r="CF20" i="10"/>
  <c r="J20" i="10"/>
  <c r="S20" i="10"/>
  <c r="CG17" i="10"/>
  <c r="I17" i="10"/>
  <c r="R17" i="10" s="1"/>
  <c r="CF25" i="9"/>
  <c r="J25" i="9"/>
  <c r="S25" i="9" s="1"/>
  <c r="CF16" i="9"/>
  <c r="J16" i="9"/>
  <c r="S16" i="9" s="1"/>
  <c r="CG21" i="9"/>
  <c r="I21" i="9"/>
  <c r="R21" i="9" s="1"/>
  <c r="CF17" i="9"/>
  <c r="J17" i="9"/>
  <c r="S17" i="9" s="1"/>
  <c r="CG20" i="9"/>
  <c r="I20" i="9"/>
  <c r="R20" i="9"/>
  <c r="CF18" i="9"/>
  <c r="J18" i="9"/>
  <c r="S18" i="9" s="1"/>
  <c r="CG24" i="9"/>
  <c r="I24" i="9"/>
  <c r="R24" i="9" s="1"/>
  <c r="CG19" i="9"/>
  <c r="I19" i="9"/>
  <c r="R19" i="9" s="1"/>
  <c r="CG23" i="9"/>
  <c r="I23" i="9"/>
  <c r="R23" i="9" s="1"/>
  <c r="CF15" i="9"/>
  <c r="J15" i="9"/>
  <c r="S15" i="9" s="1"/>
  <c r="CE15" i="6"/>
  <c r="K15" i="6"/>
  <c r="T15" i="6" s="1"/>
  <c r="CE16" i="6"/>
  <c r="K16" i="6"/>
  <c r="T16" i="6" s="1"/>
  <c r="CF21" i="6"/>
  <c r="J21" i="6"/>
  <c r="S21" i="6" s="1"/>
  <c r="I17" i="6"/>
  <c r="CG17" i="6"/>
  <c r="R17" i="6"/>
  <c r="CG19" i="6"/>
  <c r="I19" i="6"/>
  <c r="R19" i="6" s="1"/>
  <c r="I20" i="6"/>
  <c r="R20" i="6" s="1"/>
  <c r="CG20" i="6"/>
  <c r="CG18" i="6"/>
  <c r="I18" i="6"/>
  <c r="R18" i="6" s="1"/>
  <c r="J28" i="11" l="1"/>
  <c r="S28" i="11" s="1"/>
  <c r="CF28" i="11"/>
  <c r="CF22" i="12"/>
  <c r="J22" i="12"/>
  <c r="S22" i="12" s="1"/>
  <c r="J31" i="16"/>
  <c r="S31" i="16" s="1"/>
  <c r="CF31" i="16"/>
  <c r="CF22" i="9"/>
  <c r="J22" i="9"/>
  <c r="S22" i="9" s="1"/>
  <c r="CF23" i="11"/>
  <c r="J23" i="11"/>
  <c r="S23" i="11" s="1"/>
  <c r="CF20" i="11"/>
  <c r="J20" i="11"/>
  <c r="S20" i="11" s="1"/>
  <c r="CF24" i="12"/>
  <c r="J24" i="12"/>
  <c r="S24" i="12" s="1"/>
  <c r="CG18" i="16"/>
  <c r="I18" i="16"/>
  <c r="R18" i="16" s="1"/>
  <c r="CG19" i="16"/>
  <c r="I19" i="16"/>
  <c r="R19" i="16" s="1"/>
  <c r="CG17" i="16"/>
  <c r="I17" i="16"/>
  <c r="R17" i="16" s="1"/>
  <c r="CG21" i="16"/>
  <c r="I21" i="16"/>
  <c r="R21" i="16" s="1"/>
  <c r="CG28" i="16"/>
  <c r="I28" i="16"/>
  <c r="R28" i="16" s="1"/>
  <c r="CG27" i="16"/>
  <c r="I27" i="16"/>
  <c r="R27" i="16" s="1"/>
  <c r="CG26" i="16"/>
  <c r="I26" i="16"/>
  <c r="R26" i="16" s="1"/>
  <c r="CG25" i="16"/>
  <c r="I25" i="16"/>
  <c r="R25" i="16" s="1"/>
  <c r="CG24" i="16"/>
  <c r="I24" i="16"/>
  <c r="R24" i="16" s="1"/>
  <c r="CG30" i="16"/>
  <c r="I30" i="16"/>
  <c r="R30" i="16" s="1"/>
  <c r="CG22" i="16"/>
  <c r="I22" i="16"/>
  <c r="R22" i="16" s="1"/>
  <c r="CG29" i="16"/>
  <c r="I29" i="16"/>
  <c r="R29" i="16" s="1"/>
  <c r="CG23" i="16"/>
  <c r="I23" i="16"/>
  <c r="R23" i="16" s="1"/>
  <c r="CG20" i="16"/>
  <c r="I20" i="16"/>
  <c r="R20" i="16" s="1"/>
  <c r="CG16" i="12"/>
  <c r="I16" i="12"/>
  <c r="R16" i="12" s="1"/>
  <c r="CH25" i="12"/>
  <c r="CT25" i="12" s="1"/>
  <c r="H25" i="12"/>
  <c r="Q25" i="12" s="1"/>
  <c r="CH20" i="12"/>
  <c r="CT20" i="12" s="1"/>
  <c r="H20" i="12"/>
  <c r="Q20" i="12" s="1"/>
  <c r="CH23" i="12"/>
  <c r="CT23" i="12" s="1"/>
  <c r="H23" i="12"/>
  <c r="Q23" i="12" s="1"/>
  <c r="CG17" i="12"/>
  <c r="I17" i="12"/>
  <c r="R17" i="12" s="1"/>
  <c r="CG27" i="12"/>
  <c r="I27" i="12"/>
  <c r="R27" i="12" s="1"/>
  <c r="CG18" i="12"/>
  <c r="I18" i="12"/>
  <c r="R18" i="12" s="1"/>
  <c r="CG26" i="12"/>
  <c r="I26" i="12"/>
  <c r="R26" i="12" s="1"/>
  <c r="CH19" i="12"/>
  <c r="CT19" i="12" s="1"/>
  <c r="H19" i="12"/>
  <c r="Q19" i="12" s="1"/>
  <c r="CG30" i="12"/>
  <c r="CT30" i="12" s="1"/>
  <c r="I30" i="12"/>
  <c r="R30" i="12" s="1"/>
  <c r="H21" i="12"/>
  <c r="Q21" i="12" s="1"/>
  <c r="CH21" i="12"/>
  <c r="CT21" i="12" s="1"/>
  <c r="CO19" i="12"/>
  <c r="CG29" i="12"/>
  <c r="I29" i="12"/>
  <c r="R29" i="12" s="1"/>
  <c r="CG28" i="12"/>
  <c r="I28" i="12"/>
  <c r="R28" i="12" s="1"/>
  <c r="CO25" i="12"/>
  <c r="CG31" i="11"/>
  <c r="I31" i="11"/>
  <c r="R31" i="11" s="1"/>
  <c r="CH30" i="11"/>
  <c r="CT30" i="11" s="1"/>
  <c r="H30" i="11"/>
  <c r="Q30" i="11" s="1"/>
  <c r="CH29" i="11"/>
  <c r="CT29" i="11" s="1"/>
  <c r="H29" i="11"/>
  <c r="Q29" i="11" s="1"/>
  <c r="CH27" i="11"/>
  <c r="CT27" i="11" s="1"/>
  <c r="H27" i="11"/>
  <c r="Q27" i="11" s="1"/>
  <c r="CO30" i="11"/>
  <c r="CO27" i="11"/>
  <c r="CH24" i="11"/>
  <c r="CT24" i="11" s="1"/>
  <c r="H24" i="11"/>
  <c r="Q24" i="11" s="1"/>
  <c r="H22" i="11"/>
  <c r="Q22" i="11" s="1"/>
  <c r="CH22" i="11"/>
  <c r="CT22" i="11" s="1"/>
  <c r="CH21" i="11"/>
  <c r="CT21" i="11" s="1"/>
  <c r="H21" i="11"/>
  <c r="Q21" i="11" s="1"/>
  <c r="CH19" i="11"/>
  <c r="CT19" i="11" s="1"/>
  <c r="H19" i="11"/>
  <c r="Q19" i="11" s="1"/>
  <c r="CH26" i="11"/>
  <c r="CT26" i="11" s="1"/>
  <c r="H26" i="11"/>
  <c r="Q26" i="11"/>
  <c r="CH25" i="11"/>
  <c r="CT25" i="11" s="1"/>
  <c r="H25" i="11"/>
  <c r="Q25" i="11" s="1"/>
  <c r="CH17" i="11"/>
  <c r="CT17" i="11" s="1"/>
  <c r="H17" i="11"/>
  <c r="Q17" i="11" s="1"/>
  <c r="CH18" i="11"/>
  <c r="CT18" i="11" s="1"/>
  <c r="H18" i="11"/>
  <c r="Q18" i="11" s="1"/>
  <c r="CO17" i="11"/>
  <c r="CO25" i="11"/>
  <c r="CH17" i="10"/>
  <c r="CT17" i="10" s="1"/>
  <c r="H17" i="10"/>
  <c r="Q17" i="10" s="1"/>
  <c r="CG25" i="10"/>
  <c r="I25" i="10"/>
  <c r="R25" i="10" s="1"/>
  <c r="I21" i="10"/>
  <c r="R21" i="10" s="1"/>
  <c r="CG21" i="10"/>
  <c r="CH16" i="10"/>
  <c r="CT16" i="10" s="1"/>
  <c r="H16" i="10"/>
  <c r="Q16" i="10" s="1"/>
  <c r="CG18" i="10"/>
  <c r="I18" i="10"/>
  <c r="R18" i="10" s="1"/>
  <c r="CH15" i="10"/>
  <c r="CT15" i="10" s="1"/>
  <c r="H15" i="10"/>
  <c r="Q15" i="10" s="1"/>
  <c r="CO15" i="10"/>
  <c r="CG20" i="10"/>
  <c r="I20" i="10"/>
  <c r="R20" i="10" s="1"/>
  <c r="CG23" i="10"/>
  <c r="I23" i="10"/>
  <c r="R23" i="10" s="1"/>
  <c r="CG19" i="10"/>
  <c r="I19" i="10"/>
  <c r="R19" i="10" s="1"/>
  <c r="CG24" i="10"/>
  <c r="I24" i="10"/>
  <c r="R24" i="10" s="1"/>
  <c r="CG22" i="10"/>
  <c r="I22" i="10"/>
  <c r="R22" i="10" s="1"/>
  <c r="CG25" i="9"/>
  <c r="CT25" i="9" s="1"/>
  <c r="I25" i="9"/>
  <c r="R25" i="9" s="1"/>
  <c r="CH23" i="9"/>
  <c r="CT23" i="9" s="1"/>
  <c r="H23" i="9"/>
  <c r="Q23" i="9" s="1"/>
  <c r="CH24" i="9"/>
  <c r="CT24" i="9" s="1"/>
  <c r="H24" i="9"/>
  <c r="Q24" i="9" s="1"/>
  <c r="CG18" i="9"/>
  <c r="I18" i="9"/>
  <c r="R18" i="9" s="1"/>
  <c r="I16" i="9"/>
  <c r="R16" i="9" s="1"/>
  <c r="CG16" i="9"/>
  <c r="I17" i="9"/>
  <c r="R17" i="9" s="1"/>
  <c r="CG17" i="9"/>
  <c r="CH21" i="9"/>
  <c r="H21" i="9"/>
  <c r="Q21" i="9" s="1"/>
  <c r="CH19" i="9"/>
  <c r="CT19" i="9" s="1"/>
  <c r="H19" i="9"/>
  <c r="Q19" i="9" s="1"/>
  <c r="CO23" i="9"/>
  <c r="CO24" i="9"/>
  <c r="H20" i="9"/>
  <c r="Q20" i="9" s="1"/>
  <c r="CH20" i="9"/>
  <c r="CT20" i="9" s="1"/>
  <c r="CG15" i="9"/>
  <c r="I15" i="9"/>
  <c r="R15" i="9" s="1"/>
  <c r="CF15" i="6"/>
  <c r="J15" i="6"/>
  <c r="S15" i="6" s="1"/>
  <c r="J16" i="6"/>
  <c r="S16" i="6" s="1"/>
  <c r="CF16" i="6"/>
  <c r="I21" i="6"/>
  <c r="R21" i="6" s="1"/>
  <c r="CG21" i="6"/>
  <c r="CH18" i="6"/>
  <c r="CT18" i="6" s="1"/>
  <c r="H18" i="6"/>
  <c r="Q18" i="6" s="1"/>
  <c r="H19" i="6"/>
  <c r="Q19" i="6" s="1"/>
  <c r="CH19" i="6"/>
  <c r="CT19" i="6" s="1"/>
  <c r="CO18" i="6"/>
  <c r="CH20" i="6"/>
  <c r="CT20" i="6" s="1"/>
  <c r="H20" i="6"/>
  <c r="Q20" i="6" s="1"/>
  <c r="CH17" i="6"/>
  <c r="CT17" i="6" s="1"/>
  <c r="H17" i="6"/>
  <c r="Q17" i="6" s="1"/>
  <c r="CO20" i="9" l="1"/>
  <c r="CO19" i="11"/>
  <c r="CO22" i="11"/>
  <c r="CO21" i="12"/>
  <c r="CG22" i="9"/>
  <c r="I22" i="9"/>
  <c r="R22" i="9" s="1"/>
  <c r="CO18" i="11"/>
  <c r="CO24" i="11"/>
  <c r="CO17" i="10"/>
  <c r="R31" i="16"/>
  <c r="CG31" i="16"/>
  <c r="I31" i="16"/>
  <c r="CG20" i="11"/>
  <c r="I20" i="11"/>
  <c r="R20" i="11" s="1"/>
  <c r="CG22" i="12"/>
  <c r="I22" i="12"/>
  <c r="R22" i="12" s="1"/>
  <c r="CG23" i="11"/>
  <c r="I23" i="11"/>
  <c r="R23" i="11" s="1"/>
  <c r="CO29" i="11"/>
  <c r="CO20" i="12"/>
  <c r="CG28" i="11"/>
  <c r="I28" i="11"/>
  <c r="R28" i="11" s="1"/>
  <c r="CG24" i="12"/>
  <c r="I24" i="12"/>
  <c r="R24" i="12" s="1"/>
  <c r="CO23" i="12"/>
  <c r="CQ23" i="12" s="1"/>
  <c r="CH20" i="16"/>
  <c r="CT20" i="16" s="1"/>
  <c r="H20" i="16"/>
  <c r="Q20" i="16" s="1"/>
  <c r="CH29" i="16"/>
  <c r="CT29" i="16" s="1"/>
  <c r="H29" i="16"/>
  <c r="Q29" i="16" s="1"/>
  <c r="CH30" i="16"/>
  <c r="CT30" i="16" s="1"/>
  <c r="H30" i="16"/>
  <c r="Q30" i="16" s="1"/>
  <c r="CH25" i="16"/>
  <c r="CT25" i="16" s="1"/>
  <c r="H25" i="16"/>
  <c r="Q25" i="16" s="1"/>
  <c r="CH27" i="16"/>
  <c r="CT27" i="16" s="1"/>
  <c r="H27" i="16"/>
  <c r="Q27" i="16" s="1"/>
  <c r="CH19" i="16"/>
  <c r="CT19" i="16" s="1"/>
  <c r="H19" i="16"/>
  <c r="Q19" i="16" s="1"/>
  <c r="CH23" i="16"/>
  <c r="CT23" i="16" s="1"/>
  <c r="H23" i="16"/>
  <c r="Q23" i="16" s="1"/>
  <c r="CH22" i="16"/>
  <c r="CT22" i="16" s="1"/>
  <c r="H22" i="16"/>
  <c r="Q22" i="16"/>
  <c r="CH24" i="16"/>
  <c r="CT24" i="16" s="1"/>
  <c r="H24" i="16"/>
  <c r="Q24" i="16" s="1"/>
  <c r="CH26" i="16"/>
  <c r="CT26" i="16" s="1"/>
  <c r="H26" i="16"/>
  <c r="Q26" i="16" s="1"/>
  <c r="CH28" i="16"/>
  <c r="CT28" i="16" s="1"/>
  <c r="H28" i="16"/>
  <c r="Q28" i="16" s="1"/>
  <c r="CH21" i="16"/>
  <c r="CT21" i="16" s="1"/>
  <c r="H21" i="16"/>
  <c r="Q21" i="16" s="1"/>
  <c r="CH17" i="16"/>
  <c r="CT17" i="16" s="1"/>
  <c r="H17" i="16"/>
  <c r="Q17" i="16"/>
  <c r="CH18" i="16"/>
  <c r="CT18" i="16" s="1"/>
  <c r="H18" i="16"/>
  <c r="Q18" i="16" s="1"/>
  <c r="CO22" i="16"/>
  <c r="CO30" i="16"/>
  <c r="CO24" i="16"/>
  <c r="CO27" i="16"/>
  <c r="CO21" i="16"/>
  <c r="CO17" i="16"/>
  <c r="CO19" i="16"/>
  <c r="CO29" i="16"/>
  <c r="CO26" i="16"/>
  <c r="CH30" i="12"/>
  <c r="H30" i="12"/>
  <c r="Q30" i="12" s="1"/>
  <c r="CH26" i="12"/>
  <c r="CT26" i="12" s="1"/>
  <c r="H26" i="12"/>
  <c r="Q26" i="12" s="1"/>
  <c r="CI20" i="12"/>
  <c r="G20" i="12"/>
  <c r="P20" i="12" s="1"/>
  <c r="CI25" i="12"/>
  <c r="G25" i="12"/>
  <c r="P25" i="12" s="1"/>
  <c r="CH28" i="12"/>
  <c r="CT28" i="12" s="1"/>
  <c r="H28" i="12"/>
  <c r="Q28" i="12" s="1"/>
  <c r="CH29" i="12"/>
  <c r="CT29" i="12" s="1"/>
  <c r="H29" i="12"/>
  <c r="Q29" i="12" s="1"/>
  <c r="CI21" i="12"/>
  <c r="G21" i="12"/>
  <c r="P21" i="12" s="1"/>
  <c r="CH27" i="12"/>
  <c r="CT27" i="12" s="1"/>
  <c r="H27" i="12"/>
  <c r="Q27" i="12" s="1"/>
  <c r="CH17" i="12"/>
  <c r="CT17" i="12" s="1"/>
  <c r="H17" i="12"/>
  <c r="Q17" i="12" s="1"/>
  <c r="CI19" i="12"/>
  <c r="G19" i="12"/>
  <c r="P19" i="12" s="1"/>
  <c r="CH16" i="12"/>
  <c r="CT16" i="12" s="1"/>
  <c r="H16" i="12"/>
  <c r="Q16" i="12" s="1"/>
  <c r="CP23" i="12"/>
  <c r="CQ19" i="12"/>
  <c r="CP19" i="12"/>
  <c r="CH18" i="12"/>
  <c r="CT18" i="12" s="1"/>
  <c r="H18" i="12"/>
  <c r="Q18" i="12" s="1"/>
  <c r="CI23" i="12"/>
  <c r="G23" i="12"/>
  <c r="P23" i="12" s="1"/>
  <c r="CO29" i="12"/>
  <c r="CO30" i="12"/>
  <c r="CP30" i="12" s="1"/>
  <c r="CU30" i="12" s="1"/>
  <c r="CP25" i="12"/>
  <c r="CQ25" i="12"/>
  <c r="CQ20" i="12"/>
  <c r="CP20" i="12"/>
  <c r="CQ21" i="12"/>
  <c r="CP21" i="12"/>
  <c r="CH31" i="11"/>
  <c r="CO31" i="11" s="1"/>
  <c r="H31" i="11"/>
  <c r="Q31" i="11" s="1"/>
  <c r="CT31" i="11"/>
  <c r="CI27" i="11"/>
  <c r="G27" i="11"/>
  <c r="P27" i="11" s="1"/>
  <c r="CI30" i="11"/>
  <c r="G30" i="11"/>
  <c r="P30" i="11" s="1"/>
  <c r="CP27" i="11"/>
  <c r="CQ27" i="11"/>
  <c r="CP29" i="11"/>
  <c r="CQ29" i="11"/>
  <c r="CP30" i="11"/>
  <c r="CQ30" i="11"/>
  <c r="CI29" i="11"/>
  <c r="G29" i="11"/>
  <c r="P29" i="11" s="1"/>
  <c r="CO21" i="11"/>
  <c r="CP21" i="11" s="1"/>
  <c r="CI18" i="11"/>
  <c r="G18" i="11"/>
  <c r="P18" i="11" s="1"/>
  <c r="CI19" i="11"/>
  <c r="G19" i="11"/>
  <c r="P19" i="11" s="1"/>
  <c r="CI24" i="11"/>
  <c r="G24" i="11"/>
  <c r="P24" i="11" s="1"/>
  <c r="CI25" i="11"/>
  <c r="G25" i="11"/>
  <c r="P25" i="11" s="1"/>
  <c r="CI21" i="11"/>
  <c r="G21" i="11"/>
  <c r="P21" i="11" s="1"/>
  <c r="CI17" i="11"/>
  <c r="G17" i="11"/>
  <c r="P17" i="11" s="1"/>
  <c r="CP19" i="11"/>
  <c r="CQ19" i="11"/>
  <c r="CQ17" i="11"/>
  <c r="CP17" i="11"/>
  <c r="CQ21" i="11"/>
  <c r="CQ22" i="11"/>
  <c r="CP22" i="11"/>
  <c r="CI26" i="11"/>
  <c r="G26" i="11"/>
  <c r="P26" i="11" s="1"/>
  <c r="CI22" i="11"/>
  <c r="G22" i="11"/>
  <c r="P22" i="11"/>
  <c r="CP25" i="11"/>
  <c r="CQ25" i="11"/>
  <c r="CP18" i="11"/>
  <c r="CQ18" i="11"/>
  <c r="CP24" i="11"/>
  <c r="CQ24" i="11"/>
  <c r="CO26" i="11"/>
  <c r="CO16" i="10"/>
  <c r="CH24" i="10"/>
  <c r="CT24" i="10" s="1"/>
  <c r="H24" i="10"/>
  <c r="Q24" i="10" s="1"/>
  <c r="CI15" i="10"/>
  <c r="G15" i="10"/>
  <c r="P15" i="10" s="1"/>
  <c r="CH18" i="10"/>
  <c r="CT18" i="10" s="1"/>
  <c r="H18" i="10"/>
  <c r="Q18" i="10" s="1"/>
  <c r="CI16" i="10"/>
  <c r="G16" i="10"/>
  <c r="P16" i="10" s="1"/>
  <c r="CH25" i="10"/>
  <c r="CO25" i="10" s="1"/>
  <c r="CP25" i="10" s="1"/>
  <c r="CU25" i="10" s="1"/>
  <c r="H25" i="10"/>
  <c r="Q25" i="10" s="1"/>
  <c r="CH22" i="10"/>
  <c r="CT22" i="10" s="1"/>
  <c r="H22" i="10"/>
  <c r="Q22" i="10" s="1"/>
  <c r="CH19" i="10"/>
  <c r="CT19" i="10" s="1"/>
  <c r="H19" i="10"/>
  <c r="Q19" i="10" s="1"/>
  <c r="CH23" i="10"/>
  <c r="CT23" i="10" s="1"/>
  <c r="H23" i="10"/>
  <c r="Q23" i="10" s="1"/>
  <c r="CH20" i="10"/>
  <c r="CT20" i="10" s="1"/>
  <c r="H20" i="10"/>
  <c r="Q20" i="10" s="1"/>
  <c r="CH21" i="10"/>
  <c r="CT21" i="10" s="1"/>
  <c r="H21" i="10"/>
  <c r="Q21" i="10" s="1"/>
  <c r="CQ15" i="10"/>
  <c r="CP15" i="10"/>
  <c r="CP17" i="10"/>
  <c r="CQ17" i="10"/>
  <c r="CI17" i="10"/>
  <c r="G17" i="10"/>
  <c r="P17" i="10" s="1"/>
  <c r="CO22" i="10"/>
  <c r="CO21" i="10"/>
  <c r="CP16" i="10"/>
  <c r="CQ16" i="10"/>
  <c r="CT25" i="10"/>
  <c r="CO23" i="10"/>
  <c r="CH25" i="9"/>
  <c r="CO25" i="9" s="1"/>
  <c r="CP25" i="9" s="1"/>
  <c r="H25" i="9"/>
  <c r="Q25" i="9" s="1"/>
  <c r="CI21" i="9"/>
  <c r="G21" i="9"/>
  <c r="P21" i="9" s="1"/>
  <c r="CH16" i="9"/>
  <c r="CT16" i="9" s="1"/>
  <c r="H16" i="9"/>
  <c r="Q16" i="9" s="1"/>
  <c r="CI23" i="9"/>
  <c r="G23" i="9"/>
  <c r="P23" i="9" s="1"/>
  <c r="CI20" i="9"/>
  <c r="G20" i="9"/>
  <c r="P20" i="9" s="1"/>
  <c r="CH18" i="9"/>
  <c r="CT18" i="9" s="1"/>
  <c r="H18" i="9"/>
  <c r="Q18" i="9" s="1"/>
  <c r="CI19" i="9"/>
  <c r="G19" i="9"/>
  <c r="P19" i="9" s="1"/>
  <c r="CQ20" i="9"/>
  <c r="CP20" i="9"/>
  <c r="CT21" i="9"/>
  <c r="CO21" i="9"/>
  <c r="CO19" i="9"/>
  <c r="CP24" i="9"/>
  <c r="CQ24" i="9"/>
  <c r="CP23" i="9"/>
  <c r="CQ23" i="9"/>
  <c r="CH17" i="9"/>
  <c r="CT17" i="9" s="1"/>
  <c r="H17" i="9"/>
  <c r="Q17" i="9" s="1"/>
  <c r="CI24" i="9"/>
  <c r="G24" i="9"/>
  <c r="P24" i="9" s="1"/>
  <c r="CH15" i="9"/>
  <c r="CT15" i="9" s="1"/>
  <c r="H15" i="9"/>
  <c r="Q15" i="9" s="1"/>
  <c r="CG15" i="6"/>
  <c r="I15" i="6"/>
  <c r="R15" i="6" s="1"/>
  <c r="CG16" i="6"/>
  <c r="I16" i="6"/>
  <c r="R16" i="6" s="1"/>
  <c r="CH21" i="6"/>
  <c r="H21" i="6"/>
  <c r="Q21" i="6" s="1"/>
  <c r="CO21" i="6"/>
  <c r="G20" i="6"/>
  <c r="P20" i="6" s="1"/>
  <c r="CI20" i="6"/>
  <c r="CI19" i="6"/>
  <c r="G19" i="6"/>
  <c r="P19" i="6" s="1"/>
  <c r="CO20" i="6"/>
  <c r="CO19" i="6"/>
  <c r="G17" i="6"/>
  <c r="P17" i="6" s="1"/>
  <c r="CI17" i="6"/>
  <c r="CP18" i="6"/>
  <c r="CQ18" i="6"/>
  <c r="CI18" i="6"/>
  <c r="G18" i="6"/>
  <c r="P18" i="6" s="1"/>
  <c r="CO17" i="6"/>
  <c r="CO23" i="16" l="1"/>
  <c r="CH22" i="12"/>
  <c r="H22" i="12"/>
  <c r="Q22" i="12" s="1"/>
  <c r="CO15" i="9"/>
  <c r="CH28" i="11"/>
  <c r="H28" i="11"/>
  <c r="Q28" i="11" s="1"/>
  <c r="CH20" i="11"/>
  <c r="CT20" i="11" s="1"/>
  <c r="H20" i="11"/>
  <c r="Q20" i="11" s="1"/>
  <c r="CH22" i="9"/>
  <c r="H22" i="9"/>
  <c r="Q22" i="9" s="1"/>
  <c r="CO18" i="16"/>
  <c r="CO20" i="11"/>
  <c r="CO18" i="10"/>
  <c r="CO28" i="16"/>
  <c r="CO25" i="16"/>
  <c r="CO20" i="10"/>
  <c r="CT31" i="16"/>
  <c r="CP31" i="11"/>
  <c r="CU31" i="11" s="1"/>
  <c r="CH23" i="11"/>
  <c r="CT23" i="11" s="1"/>
  <c r="H23" i="11"/>
  <c r="Q23" i="11" s="1"/>
  <c r="CH31" i="16"/>
  <c r="CO31" i="16" s="1"/>
  <c r="CP31" i="16" s="1"/>
  <c r="CU31" i="16" s="1"/>
  <c r="H31" i="16"/>
  <c r="Q31" i="16" s="1"/>
  <c r="CO20" i="16"/>
  <c r="CO23" i="11"/>
  <c r="H24" i="12"/>
  <c r="Q24" i="12" s="1"/>
  <c r="CH24" i="12"/>
  <c r="CO28" i="12"/>
  <c r="CI21" i="16"/>
  <c r="G21" i="16"/>
  <c r="P21" i="16" s="1"/>
  <c r="CI24" i="16"/>
  <c r="G24" i="16"/>
  <c r="P24" i="16" s="1"/>
  <c r="CI27" i="16"/>
  <c r="G27" i="16"/>
  <c r="P27" i="16" s="1"/>
  <c r="G18" i="16"/>
  <c r="P18" i="16" s="1"/>
  <c r="CI18" i="16"/>
  <c r="CI26" i="16"/>
  <c r="G26" i="16"/>
  <c r="P26" i="16" s="1"/>
  <c r="CI23" i="16"/>
  <c r="G23" i="16"/>
  <c r="P23" i="16" s="1"/>
  <c r="CI30" i="16"/>
  <c r="G30" i="16"/>
  <c r="P30" i="16" s="1"/>
  <c r="CP18" i="16"/>
  <c r="CQ18" i="16"/>
  <c r="CP26" i="16"/>
  <c r="CQ26" i="16"/>
  <c r="CP20" i="16"/>
  <c r="CQ20" i="16"/>
  <c r="CQ17" i="16"/>
  <c r="CP17" i="16"/>
  <c r="CP27" i="16"/>
  <c r="CQ27" i="16"/>
  <c r="CP24" i="16"/>
  <c r="CQ24" i="16"/>
  <c r="CP22" i="16"/>
  <c r="CQ22" i="16"/>
  <c r="CI20" i="16"/>
  <c r="G20" i="16"/>
  <c r="P20" i="16" s="1"/>
  <c r="CP28" i="16"/>
  <c r="CQ28" i="16"/>
  <c r="CP29" i="16"/>
  <c r="CQ29" i="16"/>
  <c r="CP19" i="16"/>
  <c r="CQ19" i="16"/>
  <c r="CP21" i="16"/>
  <c r="CQ21" i="16"/>
  <c r="CP25" i="16"/>
  <c r="CQ25" i="16"/>
  <c r="CQ30" i="16"/>
  <c r="CP30" i="16"/>
  <c r="CP23" i="16"/>
  <c r="CQ23" i="16"/>
  <c r="CI17" i="16"/>
  <c r="G17" i="16"/>
  <c r="P17" i="16" s="1"/>
  <c r="CI28" i="16"/>
  <c r="G28" i="16"/>
  <c r="P28" i="16" s="1"/>
  <c r="CI22" i="16"/>
  <c r="G22" i="16"/>
  <c r="P22" i="16" s="1"/>
  <c r="CI19" i="16"/>
  <c r="G19" i="16"/>
  <c r="P19" i="16" s="1"/>
  <c r="CI25" i="16"/>
  <c r="G25" i="16"/>
  <c r="P25" i="16" s="1"/>
  <c r="CI29" i="16"/>
  <c r="G29" i="16"/>
  <c r="P29" i="16" s="1"/>
  <c r="CO16" i="12"/>
  <c r="CP16" i="12" s="1"/>
  <c r="CO17" i="12"/>
  <c r="CQ17" i="12" s="1"/>
  <c r="CO27" i="12"/>
  <c r="CO26" i="12"/>
  <c r="CQ26" i="12" s="1"/>
  <c r="CO18" i="12"/>
  <c r="CQ18" i="12" s="1"/>
  <c r="CJ23" i="12"/>
  <c r="F23" i="12"/>
  <c r="O23" i="12" s="1"/>
  <c r="CI16" i="12"/>
  <c r="G16" i="12"/>
  <c r="P16" i="12" s="1"/>
  <c r="CJ19" i="12"/>
  <c r="F19" i="12"/>
  <c r="O19" i="12" s="1"/>
  <c r="G17" i="12"/>
  <c r="P17" i="12" s="1"/>
  <c r="CI17" i="12"/>
  <c r="CI28" i="12"/>
  <c r="G28" i="12"/>
  <c r="P28" i="12" s="1"/>
  <c r="CJ25" i="12"/>
  <c r="F25" i="12"/>
  <c r="O25" i="12" s="1"/>
  <c r="F20" i="12"/>
  <c r="O20" i="12" s="1"/>
  <c r="CJ20" i="12"/>
  <c r="CJ21" i="12"/>
  <c r="F21" i="12"/>
  <c r="O21" i="12" s="1"/>
  <c r="CI30" i="12"/>
  <c r="G30" i="12"/>
  <c r="P30" i="12" s="1"/>
  <c r="CP17" i="12"/>
  <c r="CR25" i="12"/>
  <c r="CS25" i="12"/>
  <c r="CU25" i="12" s="1"/>
  <c r="CQ16" i="12"/>
  <c r="CP18" i="12"/>
  <c r="CR23" i="12"/>
  <c r="CS23" i="12"/>
  <c r="CU23" i="12" s="1"/>
  <c r="CP28" i="12"/>
  <c r="CQ28" i="12"/>
  <c r="CS21" i="12"/>
  <c r="CU21" i="12" s="1"/>
  <c r="CR21" i="12"/>
  <c r="CS20" i="12"/>
  <c r="CU20" i="12" s="1"/>
  <c r="CR20" i="12"/>
  <c r="CP27" i="12"/>
  <c r="CQ27" i="12"/>
  <c r="CP26" i="12"/>
  <c r="CP29" i="12"/>
  <c r="CQ29" i="12"/>
  <c r="CI18" i="12"/>
  <c r="G18" i="12"/>
  <c r="P18" i="12" s="1"/>
  <c r="CS19" i="12"/>
  <c r="CU19" i="12" s="1"/>
  <c r="CR19" i="12"/>
  <c r="CI27" i="12"/>
  <c r="G27" i="12"/>
  <c r="P27" i="12" s="1"/>
  <c r="CI29" i="12"/>
  <c r="G29" i="12"/>
  <c r="P29" i="12" s="1"/>
  <c r="CI26" i="12"/>
  <c r="G26" i="12"/>
  <c r="P26" i="12" s="1"/>
  <c r="CI31" i="11"/>
  <c r="G31" i="11"/>
  <c r="P31" i="11" s="1"/>
  <c r="CJ29" i="11"/>
  <c r="F29" i="11"/>
  <c r="O29" i="11" s="1"/>
  <c r="CJ30" i="11"/>
  <c r="F30" i="11"/>
  <c r="O30" i="11" s="1"/>
  <c r="CR30" i="11"/>
  <c r="CS30" i="11"/>
  <c r="CU30" i="11" s="1"/>
  <c r="CR29" i="11"/>
  <c r="CS29" i="11"/>
  <c r="CU29" i="11" s="1"/>
  <c r="CR27" i="11"/>
  <c r="CS27" i="11"/>
  <c r="CU27" i="11" s="1"/>
  <c r="CJ27" i="11"/>
  <c r="F27" i="11"/>
  <c r="O27" i="11" s="1"/>
  <c r="CJ24" i="11"/>
  <c r="F24" i="11"/>
  <c r="O24" i="11" s="1"/>
  <c r="CJ18" i="11"/>
  <c r="F18" i="11"/>
  <c r="O18" i="11" s="1"/>
  <c r="CJ26" i="11"/>
  <c r="F26" i="11"/>
  <c r="O26" i="11" s="1"/>
  <c r="CJ17" i="11"/>
  <c r="F17" i="11"/>
  <c r="O17" i="11" s="1"/>
  <c r="F21" i="11"/>
  <c r="CJ21" i="11"/>
  <c r="O21" i="11"/>
  <c r="CJ25" i="11"/>
  <c r="F25" i="11"/>
  <c r="O25" i="11" s="1"/>
  <c r="CJ19" i="11"/>
  <c r="F19" i="11"/>
  <c r="O19" i="11" s="1"/>
  <c r="CP26" i="11"/>
  <c r="CQ26" i="11"/>
  <c r="CR19" i="11"/>
  <c r="CS19" i="11"/>
  <c r="CU19" i="11" s="1"/>
  <c r="CR24" i="11"/>
  <c r="CS24" i="11"/>
  <c r="CU24" i="11" s="1"/>
  <c r="CR18" i="11"/>
  <c r="CS18" i="11"/>
  <c r="CU18" i="11" s="1"/>
  <c r="CR25" i="11"/>
  <c r="CS25" i="11"/>
  <c r="CU25" i="11" s="1"/>
  <c r="CJ22" i="11"/>
  <c r="F22" i="11"/>
  <c r="O22" i="11" s="1"/>
  <c r="CS22" i="11"/>
  <c r="CU22" i="11" s="1"/>
  <c r="CR22" i="11"/>
  <c r="CS21" i="11"/>
  <c r="CU21" i="11" s="1"/>
  <c r="CR21" i="11"/>
  <c r="CS17" i="11"/>
  <c r="CU17" i="11" s="1"/>
  <c r="CR17" i="11"/>
  <c r="CO24" i="10"/>
  <c r="CO19" i="10"/>
  <c r="CJ17" i="10"/>
  <c r="F17" i="10"/>
  <c r="O17" i="10" s="1"/>
  <c r="CI19" i="10"/>
  <c r="G19" i="10"/>
  <c r="P19" i="10" s="1"/>
  <c r="CI18" i="10"/>
  <c r="G18" i="10"/>
  <c r="P18" i="10" s="1"/>
  <c r="G20" i="10"/>
  <c r="P20" i="10" s="1"/>
  <c r="CI20" i="10"/>
  <c r="CI25" i="10"/>
  <c r="G25" i="10"/>
  <c r="P25" i="10" s="1"/>
  <c r="CI24" i="10"/>
  <c r="G24" i="10"/>
  <c r="P24" i="10" s="1"/>
  <c r="CP20" i="10"/>
  <c r="CQ20" i="10"/>
  <c r="CP24" i="10"/>
  <c r="CQ24" i="10"/>
  <c r="CP19" i="10"/>
  <c r="CQ19" i="10"/>
  <c r="CS15" i="10"/>
  <c r="CU15" i="10" s="1"/>
  <c r="CR15" i="10"/>
  <c r="CP18" i="10"/>
  <c r="CQ18" i="10"/>
  <c r="CP23" i="10"/>
  <c r="CQ23" i="10"/>
  <c r="CR16" i="10"/>
  <c r="CS16" i="10"/>
  <c r="CU16" i="10" s="1"/>
  <c r="CP21" i="10"/>
  <c r="CQ21" i="10"/>
  <c r="CP22" i="10"/>
  <c r="CQ22" i="10"/>
  <c r="CR17" i="10"/>
  <c r="CS17" i="10"/>
  <c r="CU17" i="10" s="1"/>
  <c r="CI21" i="10"/>
  <c r="G21" i="10"/>
  <c r="P21" i="10" s="1"/>
  <c r="CI23" i="10"/>
  <c r="G23" i="10"/>
  <c r="P23" i="10" s="1"/>
  <c r="CI22" i="10"/>
  <c r="G22" i="10"/>
  <c r="P22" i="10" s="1"/>
  <c r="CJ16" i="10"/>
  <c r="F16" i="10"/>
  <c r="O16" i="10" s="1"/>
  <c r="CJ15" i="10"/>
  <c r="F15" i="10"/>
  <c r="O15" i="10" s="1"/>
  <c r="CO16" i="9"/>
  <c r="CU25" i="9"/>
  <c r="CI25" i="9"/>
  <c r="G25" i="9"/>
  <c r="P25" i="9" s="1"/>
  <c r="CO18" i="9"/>
  <c r="CJ24" i="9"/>
  <c r="F24" i="9"/>
  <c r="O24" i="9" s="1"/>
  <c r="CI17" i="9"/>
  <c r="G17" i="9"/>
  <c r="P17" i="9" s="1"/>
  <c r="CJ19" i="9"/>
  <c r="F19" i="9"/>
  <c r="O19" i="9" s="1"/>
  <c r="CI18" i="9"/>
  <c r="G18" i="9"/>
  <c r="P18" i="9" s="1"/>
  <c r="F20" i="9"/>
  <c r="O20" i="9" s="1"/>
  <c r="CJ20" i="9"/>
  <c r="CJ23" i="9"/>
  <c r="F23" i="9"/>
  <c r="O23" i="9"/>
  <c r="CI16" i="9"/>
  <c r="G16" i="9"/>
  <c r="P16" i="9" s="1"/>
  <c r="CQ16" i="9"/>
  <c r="CP16" i="9"/>
  <c r="CQ21" i="9"/>
  <c r="CP21" i="9"/>
  <c r="CO17" i="9"/>
  <c r="CR23" i="9"/>
  <c r="CS23" i="9"/>
  <c r="CU23" i="9" s="1"/>
  <c r="CR24" i="9"/>
  <c r="CS24" i="9"/>
  <c r="CU24" i="9" s="1"/>
  <c r="CQ18" i="9"/>
  <c r="CP18" i="9"/>
  <c r="CQ19" i="9"/>
  <c r="CP19" i="9"/>
  <c r="CS20" i="9"/>
  <c r="CU20" i="9" s="1"/>
  <c r="CR20" i="9"/>
  <c r="CJ21" i="9"/>
  <c r="F21" i="9"/>
  <c r="O21" i="9" s="1"/>
  <c r="G15" i="9"/>
  <c r="P15" i="9" s="1"/>
  <c r="CI15" i="9"/>
  <c r="CP15" i="9"/>
  <c r="CQ15" i="9"/>
  <c r="CH15" i="6"/>
  <c r="H15" i="6"/>
  <c r="Q15" i="6" s="1"/>
  <c r="CH16" i="6"/>
  <c r="H16" i="6"/>
  <c r="Q16" i="6" s="1"/>
  <c r="G21" i="6"/>
  <c r="P21" i="6" s="1"/>
  <c r="CI21" i="6"/>
  <c r="F19" i="6"/>
  <c r="O19" i="6" s="1"/>
  <c r="CJ19" i="6"/>
  <c r="CQ19" i="6"/>
  <c r="CP19" i="6"/>
  <c r="CP20" i="6"/>
  <c r="CJ20" i="6"/>
  <c r="F20" i="6"/>
  <c r="O20" i="6" s="1"/>
  <c r="CP17" i="6"/>
  <c r="CQ17" i="6"/>
  <c r="CJ18" i="6"/>
  <c r="F18" i="6"/>
  <c r="O18" i="6" s="1"/>
  <c r="CR18" i="6"/>
  <c r="CS18" i="6"/>
  <c r="CU18" i="6" s="1"/>
  <c r="CJ17" i="6"/>
  <c r="F17" i="6"/>
  <c r="O17" i="6" s="1"/>
  <c r="CI20" i="11" l="1"/>
  <c r="G20" i="11"/>
  <c r="P20" i="11" s="1"/>
  <c r="CI23" i="11"/>
  <c r="G23" i="11"/>
  <c r="P23" i="11" s="1"/>
  <c r="CI28" i="11"/>
  <c r="G28" i="11"/>
  <c r="P28" i="11" s="1"/>
  <c r="CP20" i="11"/>
  <c r="CQ20" i="11"/>
  <c r="CT28" i="11"/>
  <c r="CO28" i="11"/>
  <c r="CP23" i="11"/>
  <c r="CQ23" i="11"/>
  <c r="G22" i="9"/>
  <c r="P22" i="9" s="1"/>
  <c r="CI22" i="9"/>
  <c r="G22" i="12"/>
  <c r="P22" i="12" s="1"/>
  <c r="CI22" i="12"/>
  <c r="CT22" i="9"/>
  <c r="CO22" i="9"/>
  <c r="CT22" i="12"/>
  <c r="CO22" i="12"/>
  <c r="CI31" i="16"/>
  <c r="G31" i="16"/>
  <c r="P31" i="16"/>
  <c r="CI24" i="12"/>
  <c r="G24" i="12"/>
  <c r="P24" i="12" s="1"/>
  <c r="CT24" i="12"/>
  <c r="CO24" i="12"/>
  <c r="CJ29" i="16"/>
  <c r="F29" i="16"/>
  <c r="O29" i="16" s="1"/>
  <c r="CJ19" i="16"/>
  <c r="F19" i="16"/>
  <c r="O19" i="16" s="1"/>
  <c r="CJ17" i="16"/>
  <c r="F17" i="16"/>
  <c r="O17" i="16"/>
  <c r="CJ18" i="16"/>
  <c r="F18" i="16"/>
  <c r="O18" i="16" s="1"/>
  <c r="CJ25" i="16"/>
  <c r="F25" i="16"/>
  <c r="O25" i="16"/>
  <c r="CJ22" i="16"/>
  <c r="F22" i="16"/>
  <c r="O22" i="16" s="1"/>
  <c r="CJ28" i="16"/>
  <c r="F28" i="16"/>
  <c r="O28" i="16"/>
  <c r="CJ20" i="16"/>
  <c r="F20" i="16"/>
  <c r="O20" i="16" s="1"/>
  <c r="CJ30" i="16"/>
  <c r="F30" i="16"/>
  <c r="O30" i="16"/>
  <c r="CJ23" i="16"/>
  <c r="F23" i="16"/>
  <c r="O23" i="16" s="1"/>
  <c r="CJ26" i="16"/>
  <c r="F26" i="16"/>
  <c r="O26" i="16" s="1"/>
  <c r="CJ27" i="16"/>
  <c r="F27" i="16"/>
  <c r="O27" i="16" s="1"/>
  <c r="CJ24" i="16"/>
  <c r="F24" i="16"/>
  <c r="O24" i="16" s="1"/>
  <c r="CJ21" i="16"/>
  <c r="F21" i="16"/>
  <c r="O21" i="16" s="1"/>
  <c r="CS30" i="16"/>
  <c r="CU30" i="16" s="1"/>
  <c r="CR30" i="16"/>
  <c r="CR22" i="16"/>
  <c r="CS22" i="16"/>
  <c r="CU22" i="16" s="1"/>
  <c r="CR24" i="16"/>
  <c r="CS24" i="16"/>
  <c r="CU24" i="16" s="1"/>
  <c r="CR27" i="16"/>
  <c r="CS27" i="16"/>
  <c r="CU27" i="16" s="1"/>
  <c r="CR20" i="16"/>
  <c r="CS20" i="16"/>
  <c r="CU20" i="16" s="1"/>
  <c r="CR26" i="16"/>
  <c r="CS26" i="16"/>
  <c r="CU26" i="16" s="1"/>
  <c r="CR18" i="16"/>
  <c r="CS18" i="16"/>
  <c r="CU18" i="16" s="1"/>
  <c r="CR23" i="16"/>
  <c r="CS23" i="16"/>
  <c r="CU23" i="16" s="1"/>
  <c r="CR25" i="16"/>
  <c r="CS25" i="16"/>
  <c r="CU25" i="16" s="1"/>
  <c r="CR21" i="16"/>
  <c r="CS21" i="16"/>
  <c r="CU21" i="16" s="1"/>
  <c r="CR19" i="16"/>
  <c r="CS19" i="16"/>
  <c r="CU19" i="16" s="1"/>
  <c r="CR29" i="16"/>
  <c r="CS29" i="16"/>
  <c r="CU29" i="16" s="1"/>
  <c r="CR28" i="16"/>
  <c r="CS28" i="16"/>
  <c r="CU28" i="16" s="1"/>
  <c r="CS17" i="16"/>
  <c r="CU17" i="16" s="1"/>
  <c r="CR17" i="16"/>
  <c r="CJ28" i="12"/>
  <c r="F28" i="12"/>
  <c r="O28" i="12" s="1"/>
  <c r="CJ26" i="12"/>
  <c r="F26" i="12"/>
  <c r="O26" i="12" s="1"/>
  <c r="CJ29" i="12"/>
  <c r="F29" i="12"/>
  <c r="O29" i="12" s="1"/>
  <c r="CJ27" i="12"/>
  <c r="F27" i="12"/>
  <c r="O27" i="12" s="1"/>
  <c r="CJ18" i="12"/>
  <c r="F18" i="12"/>
  <c r="O18" i="12" s="1"/>
  <c r="CJ30" i="12"/>
  <c r="F30" i="12"/>
  <c r="O30" i="12" s="1"/>
  <c r="CK21" i="12"/>
  <c r="E21" i="12"/>
  <c r="N21" i="12" s="1"/>
  <c r="CJ17" i="12"/>
  <c r="F17" i="12"/>
  <c r="O17" i="12" s="1"/>
  <c r="CJ16" i="12"/>
  <c r="F16" i="12"/>
  <c r="O16" i="12" s="1"/>
  <c r="CK20" i="12"/>
  <c r="E20" i="12"/>
  <c r="N20" i="12" s="1"/>
  <c r="CK19" i="12"/>
  <c r="E19" i="12"/>
  <c r="N19" i="12" s="1"/>
  <c r="CR29" i="12"/>
  <c r="CS29" i="12"/>
  <c r="CU29" i="12" s="1"/>
  <c r="CR26" i="12"/>
  <c r="CS26" i="12"/>
  <c r="CU26" i="12" s="1"/>
  <c r="CR27" i="12"/>
  <c r="CS27" i="12"/>
  <c r="CU27" i="12" s="1"/>
  <c r="CR28" i="12"/>
  <c r="CS28" i="12"/>
  <c r="CU28" i="12" s="1"/>
  <c r="CS17" i="12"/>
  <c r="CU17" i="12" s="1"/>
  <c r="CR17" i="12"/>
  <c r="CK23" i="12"/>
  <c r="E23" i="12"/>
  <c r="N23" i="12" s="1"/>
  <c r="CS18" i="12"/>
  <c r="CU18" i="12" s="1"/>
  <c r="CR18" i="12"/>
  <c r="CS16" i="12"/>
  <c r="CU16" i="12" s="1"/>
  <c r="CR16" i="12"/>
  <c r="CK25" i="12"/>
  <c r="E25" i="12"/>
  <c r="N25" i="12" s="1"/>
  <c r="CJ31" i="11"/>
  <c r="F31" i="11"/>
  <c r="O31" i="11" s="1"/>
  <c r="CK30" i="11"/>
  <c r="E30" i="11"/>
  <c r="N30" i="11" s="1"/>
  <c r="CK27" i="11"/>
  <c r="E27" i="11"/>
  <c r="N27" i="11" s="1"/>
  <c r="CK29" i="11"/>
  <c r="E29" i="11"/>
  <c r="N29" i="11" s="1"/>
  <c r="CK25" i="11"/>
  <c r="E25" i="11"/>
  <c r="N25" i="11" s="1"/>
  <c r="CK24" i="11"/>
  <c r="E24" i="11"/>
  <c r="N24" i="11" s="1"/>
  <c r="CK22" i="11"/>
  <c r="E22" i="11"/>
  <c r="N22" i="11" s="1"/>
  <c r="CK17" i="11"/>
  <c r="E17" i="11"/>
  <c r="N17" i="11" s="1"/>
  <c r="CK18" i="11"/>
  <c r="E18" i="11"/>
  <c r="N18" i="11" s="1"/>
  <c r="CR26" i="11"/>
  <c r="CS26" i="11"/>
  <c r="CU26" i="11" s="1"/>
  <c r="CK19" i="11"/>
  <c r="E19" i="11"/>
  <c r="N19" i="11" s="1"/>
  <c r="CK21" i="11"/>
  <c r="E21" i="11"/>
  <c r="N21" i="11" s="1"/>
  <c r="CK26" i="11"/>
  <c r="E26" i="11"/>
  <c r="N26" i="11" s="1"/>
  <c r="CJ23" i="10"/>
  <c r="F23" i="10"/>
  <c r="O23" i="10" s="1"/>
  <c r="CJ24" i="10"/>
  <c r="F24" i="10"/>
  <c r="O24" i="10" s="1"/>
  <c r="CK15" i="10"/>
  <c r="E15" i="10"/>
  <c r="N15" i="10" s="1"/>
  <c r="CJ20" i="10"/>
  <c r="F20" i="10"/>
  <c r="O20" i="10" s="1"/>
  <c r="CJ22" i="10"/>
  <c r="F22" i="10"/>
  <c r="O22" i="10" s="1"/>
  <c r="CJ21" i="10"/>
  <c r="F21" i="10"/>
  <c r="O21" i="10" s="1"/>
  <c r="CJ25" i="10"/>
  <c r="F25" i="10"/>
  <c r="O25" i="10" s="1"/>
  <c r="CJ18" i="10"/>
  <c r="F18" i="10"/>
  <c r="O18" i="10"/>
  <c r="CJ19" i="10"/>
  <c r="F19" i="10"/>
  <c r="O19" i="10" s="1"/>
  <c r="CK17" i="10"/>
  <c r="E17" i="10"/>
  <c r="N17" i="10" s="1"/>
  <c r="CK16" i="10"/>
  <c r="E16" i="10"/>
  <c r="N16" i="10" s="1"/>
  <c r="CR22" i="10"/>
  <c r="CS22" i="10"/>
  <c r="CU22" i="10" s="1"/>
  <c r="CR21" i="10"/>
  <c r="CS21" i="10"/>
  <c r="CU21" i="10" s="1"/>
  <c r="CR23" i="10"/>
  <c r="CS23" i="10"/>
  <c r="CU23" i="10" s="1"/>
  <c r="CR18" i="10"/>
  <c r="CS18" i="10"/>
  <c r="CU18" i="10" s="1"/>
  <c r="CR19" i="10"/>
  <c r="CS19" i="10"/>
  <c r="CU19" i="10" s="1"/>
  <c r="CR24" i="10"/>
  <c r="CS24" i="10"/>
  <c r="CU24" i="10" s="1"/>
  <c r="CR20" i="10"/>
  <c r="CS20" i="10"/>
  <c r="CU20" i="10" s="1"/>
  <c r="CJ25" i="9"/>
  <c r="F25" i="9"/>
  <c r="O25" i="9" s="1"/>
  <c r="CK21" i="9"/>
  <c r="E21" i="9"/>
  <c r="N21" i="9" s="1"/>
  <c r="CK20" i="9"/>
  <c r="E20" i="9"/>
  <c r="N20" i="9" s="1"/>
  <c r="CJ17" i="9"/>
  <c r="F17" i="9"/>
  <c r="O17" i="9" s="1"/>
  <c r="CK24" i="9"/>
  <c r="E24" i="9"/>
  <c r="N24" i="9" s="1"/>
  <c r="CJ18" i="9"/>
  <c r="F18" i="9"/>
  <c r="O18" i="9" s="1"/>
  <c r="CQ17" i="9"/>
  <c r="CP17" i="9"/>
  <c r="CS21" i="9"/>
  <c r="CU21" i="9" s="1"/>
  <c r="CR21" i="9"/>
  <c r="CR16" i="9"/>
  <c r="CS16" i="9"/>
  <c r="CU16" i="9" s="1"/>
  <c r="CS19" i="9"/>
  <c r="CU19" i="9" s="1"/>
  <c r="CR19" i="9"/>
  <c r="CS18" i="9"/>
  <c r="CU18" i="9" s="1"/>
  <c r="CR18" i="9"/>
  <c r="CJ16" i="9"/>
  <c r="F16" i="9"/>
  <c r="O16" i="9" s="1"/>
  <c r="CK23" i="9"/>
  <c r="E23" i="9"/>
  <c r="N23" i="9" s="1"/>
  <c r="CK19" i="9"/>
  <c r="E19" i="9"/>
  <c r="N19" i="9" s="1"/>
  <c r="CJ15" i="9"/>
  <c r="F15" i="9"/>
  <c r="O15" i="9" s="1"/>
  <c r="CR15" i="9"/>
  <c r="CS15" i="9"/>
  <c r="CU15" i="9" s="1"/>
  <c r="CT15" i="6"/>
  <c r="CO15" i="6"/>
  <c r="CI15" i="6"/>
  <c r="G15" i="6"/>
  <c r="P15" i="6" s="1"/>
  <c r="CI16" i="6"/>
  <c r="G16" i="6"/>
  <c r="P16" i="6" s="1"/>
  <c r="CT16" i="6"/>
  <c r="CO16" i="6"/>
  <c r="CJ21" i="6"/>
  <c r="F21" i="6"/>
  <c r="O21" i="6" s="1"/>
  <c r="E17" i="6"/>
  <c r="CK17" i="6"/>
  <c r="N17" i="6"/>
  <c r="CK18" i="6"/>
  <c r="E18" i="6"/>
  <c r="N18" i="6" s="1"/>
  <c r="E20" i="6"/>
  <c r="CK20" i="6"/>
  <c r="N20" i="6"/>
  <c r="CR17" i="6"/>
  <c r="CS17" i="6"/>
  <c r="CU17" i="6" s="1"/>
  <c r="CS19" i="6"/>
  <c r="CU19" i="6" s="1"/>
  <c r="CR19" i="6"/>
  <c r="CK19" i="6"/>
  <c r="E19" i="6"/>
  <c r="N19" i="6" s="1"/>
  <c r="CJ23" i="11" l="1"/>
  <c r="F23" i="11"/>
  <c r="O23" i="11" s="1"/>
  <c r="CJ31" i="16"/>
  <c r="F31" i="16"/>
  <c r="O31" i="16" s="1"/>
  <c r="CJ22" i="12"/>
  <c r="F22" i="12"/>
  <c r="O22" i="12" s="1"/>
  <c r="F28" i="11"/>
  <c r="O28" i="11"/>
  <c r="CJ28" i="11"/>
  <c r="CJ22" i="9"/>
  <c r="F22" i="9"/>
  <c r="O22" i="9" s="1"/>
  <c r="CP22" i="12"/>
  <c r="CQ22" i="12"/>
  <c r="CS23" i="11"/>
  <c r="CU23" i="11" s="1"/>
  <c r="CR23" i="11"/>
  <c r="CR6" i="16"/>
  <c r="CP22" i="9"/>
  <c r="CQ22" i="9"/>
  <c r="CQ28" i="11"/>
  <c r="CP28" i="11"/>
  <c r="CJ20" i="11"/>
  <c r="F20" i="11"/>
  <c r="O20" i="11" s="1"/>
  <c r="CR20" i="11"/>
  <c r="CS20" i="11"/>
  <c r="CU20" i="11" s="1"/>
  <c r="CQ24" i="12"/>
  <c r="CP24" i="12"/>
  <c r="F24" i="12"/>
  <c r="O24" i="12" s="1"/>
  <c r="CJ24" i="12"/>
  <c r="CK21" i="16"/>
  <c r="E21" i="16"/>
  <c r="N21" i="16" s="1"/>
  <c r="CK23" i="16"/>
  <c r="E23" i="16"/>
  <c r="N23" i="16" s="1"/>
  <c r="CK22" i="16"/>
  <c r="E22" i="16"/>
  <c r="N22" i="16" s="1"/>
  <c r="CK27" i="16"/>
  <c r="E27" i="16"/>
  <c r="N27" i="16" s="1"/>
  <c r="CK20" i="16"/>
  <c r="E20" i="16"/>
  <c r="N20" i="16" s="1"/>
  <c r="CK18" i="16"/>
  <c r="E18" i="16"/>
  <c r="N18" i="16" s="1"/>
  <c r="CK29" i="16"/>
  <c r="E29" i="16"/>
  <c r="N29" i="16" s="1"/>
  <c r="CK24" i="16"/>
  <c r="E24" i="16"/>
  <c r="N24" i="16" s="1"/>
  <c r="CK26" i="16"/>
  <c r="E26" i="16"/>
  <c r="N26" i="16" s="1"/>
  <c r="CK30" i="16"/>
  <c r="E30" i="16"/>
  <c r="N30" i="16" s="1"/>
  <c r="CK28" i="16"/>
  <c r="E28" i="16"/>
  <c r="N28" i="16" s="1"/>
  <c r="CK25" i="16"/>
  <c r="E25" i="16"/>
  <c r="N25" i="16" s="1"/>
  <c r="CK17" i="16"/>
  <c r="E17" i="16"/>
  <c r="N17" i="16" s="1"/>
  <c r="CK19" i="16"/>
  <c r="E19" i="16"/>
  <c r="N19" i="16" s="1"/>
  <c r="CK18" i="12"/>
  <c r="E18" i="12"/>
  <c r="N18" i="12" s="1"/>
  <c r="CL23" i="12"/>
  <c r="D23" i="12"/>
  <c r="M23" i="12" s="1"/>
  <c r="CK16" i="12"/>
  <c r="E16" i="12"/>
  <c r="N16" i="12" s="1"/>
  <c r="CK17" i="12"/>
  <c r="E17" i="12"/>
  <c r="N17" i="12" s="1"/>
  <c r="D21" i="12"/>
  <c r="M21" i="12" s="1"/>
  <c r="CL21" i="12"/>
  <c r="CK29" i="12"/>
  <c r="E29" i="12"/>
  <c r="N29" i="12" s="1"/>
  <c r="CK28" i="12"/>
  <c r="E28" i="12"/>
  <c r="N28" i="12" s="1"/>
  <c r="CL25" i="12"/>
  <c r="D25" i="12"/>
  <c r="M25" i="12" s="1"/>
  <c r="CL19" i="12"/>
  <c r="D19" i="12"/>
  <c r="M19" i="12" s="1"/>
  <c r="CL20" i="12"/>
  <c r="D20" i="12"/>
  <c r="M20" i="12" s="1"/>
  <c r="CK30" i="12"/>
  <c r="E30" i="12"/>
  <c r="N30" i="12" s="1"/>
  <c r="CK27" i="12"/>
  <c r="E27" i="12"/>
  <c r="N27" i="12" s="1"/>
  <c r="CK26" i="12"/>
  <c r="E26" i="12"/>
  <c r="N26" i="12" s="1"/>
  <c r="CK31" i="11"/>
  <c r="E31" i="11"/>
  <c r="N31" i="11" s="1"/>
  <c r="CL29" i="11"/>
  <c r="D29" i="11"/>
  <c r="M29" i="11" s="1"/>
  <c r="CL30" i="11"/>
  <c r="D30" i="11"/>
  <c r="M30" i="11" s="1"/>
  <c r="CL27" i="11"/>
  <c r="D27" i="11"/>
  <c r="M27" i="11" s="1"/>
  <c r="CL26" i="11"/>
  <c r="D26" i="11"/>
  <c r="M26" i="11" s="1"/>
  <c r="CL19" i="11"/>
  <c r="D19" i="11"/>
  <c r="M19" i="11"/>
  <c r="CL18" i="11"/>
  <c r="D18" i="11"/>
  <c r="M18" i="11" s="1"/>
  <c r="CL24" i="11"/>
  <c r="D24" i="11"/>
  <c r="M24" i="11" s="1"/>
  <c r="CL25" i="11"/>
  <c r="D25" i="11"/>
  <c r="M25" i="11" s="1"/>
  <c r="D22" i="11"/>
  <c r="M22" i="11" s="1"/>
  <c r="CL22" i="11"/>
  <c r="CL21" i="11"/>
  <c r="D21" i="11"/>
  <c r="M21" i="11" s="1"/>
  <c r="CL17" i="11"/>
  <c r="D17" i="11"/>
  <c r="M17" i="11" s="1"/>
  <c r="CL16" i="10"/>
  <c r="D16" i="10"/>
  <c r="M16" i="10" s="1"/>
  <c r="CK25" i="10"/>
  <c r="E25" i="10"/>
  <c r="N25" i="10" s="1"/>
  <c r="CL15" i="10"/>
  <c r="D15" i="10"/>
  <c r="M15" i="10" s="1"/>
  <c r="CL17" i="10"/>
  <c r="D17" i="10"/>
  <c r="M17" i="10" s="1"/>
  <c r="CK19" i="10"/>
  <c r="E19" i="10"/>
  <c r="N19" i="10" s="1"/>
  <c r="CK22" i="10"/>
  <c r="E22" i="10"/>
  <c r="N22" i="10" s="1"/>
  <c r="CK23" i="10"/>
  <c r="E23" i="10"/>
  <c r="N23" i="10" s="1"/>
  <c r="CK18" i="10"/>
  <c r="E18" i="10"/>
  <c r="N18" i="10" s="1"/>
  <c r="CK21" i="10"/>
  <c r="E21" i="10"/>
  <c r="N21" i="10" s="1"/>
  <c r="CK20" i="10"/>
  <c r="E20" i="10"/>
  <c r="N20" i="10" s="1"/>
  <c r="CK24" i="10"/>
  <c r="E24" i="10"/>
  <c r="N24" i="10" s="1"/>
  <c r="CK25" i="9"/>
  <c r="E25" i="9"/>
  <c r="N25" i="9" s="1"/>
  <c r="CL19" i="9"/>
  <c r="D19" i="9"/>
  <c r="M19" i="9" s="1"/>
  <c r="CL23" i="9"/>
  <c r="D23" i="9"/>
  <c r="M23" i="9" s="1"/>
  <c r="CL21" i="9"/>
  <c r="D21" i="9"/>
  <c r="M21" i="9" s="1"/>
  <c r="CL24" i="9"/>
  <c r="D24" i="9"/>
  <c r="M24" i="9" s="1"/>
  <c r="E17" i="9"/>
  <c r="N17" i="9" s="1"/>
  <c r="CK17" i="9"/>
  <c r="E16" i="9"/>
  <c r="N16" i="9" s="1"/>
  <c r="CK16" i="9"/>
  <c r="CR17" i="9"/>
  <c r="CS17" i="9"/>
  <c r="CU17" i="9" s="1"/>
  <c r="CK18" i="9"/>
  <c r="E18" i="9"/>
  <c r="N18" i="9"/>
  <c r="D20" i="9"/>
  <c r="M20" i="9" s="1"/>
  <c r="CL20" i="9"/>
  <c r="E15" i="9"/>
  <c r="N15" i="9" s="1"/>
  <c r="CK15" i="9"/>
  <c r="F15" i="6"/>
  <c r="O15" i="6" s="1"/>
  <c r="CJ15" i="6"/>
  <c r="CQ15" i="6"/>
  <c r="CP15" i="6"/>
  <c r="CP16" i="6"/>
  <c r="CQ16" i="6"/>
  <c r="F16" i="6"/>
  <c r="O16" i="6" s="1"/>
  <c r="CJ16" i="6"/>
  <c r="CK21" i="6"/>
  <c r="E21" i="6"/>
  <c r="N21" i="6" s="1"/>
  <c r="D19" i="6"/>
  <c r="M19" i="6" s="1"/>
  <c r="CL19" i="6"/>
  <c r="CL18" i="6"/>
  <c r="D18" i="6"/>
  <c r="M18" i="6" s="1"/>
  <c r="CL20" i="6"/>
  <c r="D20" i="6"/>
  <c r="M20" i="6" s="1"/>
  <c r="CL17" i="6"/>
  <c r="D17" i="6"/>
  <c r="M17" i="6" s="1"/>
  <c r="CK28" i="11" l="1"/>
  <c r="E28" i="11"/>
  <c r="N28" i="11" s="1"/>
  <c r="CK20" i="11"/>
  <c r="E20" i="11"/>
  <c r="N20" i="11" s="1"/>
  <c r="CK22" i="12"/>
  <c r="E22" i="12"/>
  <c r="N22" i="12" s="1"/>
  <c r="CR22" i="12"/>
  <c r="CS22" i="12"/>
  <c r="CU22" i="12" s="1"/>
  <c r="CK31" i="16"/>
  <c r="E31" i="16"/>
  <c r="N31" i="16" s="1"/>
  <c r="CR28" i="11"/>
  <c r="CS28" i="11"/>
  <c r="CU28" i="11" s="1"/>
  <c r="CK22" i="9"/>
  <c r="E22" i="9"/>
  <c r="N22" i="9" s="1"/>
  <c r="CR22" i="9"/>
  <c r="CS22" i="9"/>
  <c r="CU22" i="9" s="1"/>
  <c r="CK23" i="11"/>
  <c r="E23" i="11"/>
  <c r="N23" i="11" s="1"/>
  <c r="E24" i="12"/>
  <c r="N24" i="12" s="1"/>
  <c r="CK24" i="12"/>
  <c r="CR24" i="12"/>
  <c r="CS24" i="12"/>
  <c r="CU24" i="12" s="1"/>
  <c r="CL17" i="16"/>
  <c r="D17" i="16"/>
  <c r="M17" i="16" s="1"/>
  <c r="CL28" i="16"/>
  <c r="D28" i="16"/>
  <c r="M28" i="16"/>
  <c r="CL26" i="16"/>
  <c r="D26" i="16"/>
  <c r="M26" i="16" s="1"/>
  <c r="CL29" i="16"/>
  <c r="D29" i="16"/>
  <c r="M29" i="16" s="1"/>
  <c r="CL20" i="16"/>
  <c r="D20" i="16"/>
  <c r="M20" i="16" s="1"/>
  <c r="CL23" i="16"/>
  <c r="D23" i="16"/>
  <c r="M23" i="16"/>
  <c r="CL19" i="16"/>
  <c r="D19" i="16"/>
  <c r="M19" i="16" s="1"/>
  <c r="CL25" i="16"/>
  <c r="D25" i="16"/>
  <c r="M25" i="16"/>
  <c r="CL30" i="16"/>
  <c r="D30" i="16"/>
  <c r="M30" i="16" s="1"/>
  <c r="CL24" i="16"/>
  <c r="D24" i="16"/>
  <c r="M24" i="16" s="1"/>
  <c r="CL18" i="16"/>
  <c r="D18" i="16"/>
  <c r="M18" i="16" s="1"/>
  <c r="CL27" i="16"/>
  <c r="D27" i="16"/>
  <c r="M27" i="16" s="1"/>
  <c r="CL22" i="16"/>
  <c r="D22" i="16"/>
  <c r="M22" i="16"/>
  <c r="CL21" i="16"/>
  <c r="D21" i="16"/>
  <c r="M21" i="16" s="1"/>
  <c r="CL26" i="12"/>
  <c r="D26" i="12"/>
  <c r="M26" i="12" s="1"/>
  <c r="CL30" i="12"/>
  <c r="D30" i="12"/>
  <c r="M30" i="12" s="1"/>
  <c r="CM25" i="12"/>
  <c r="C25" i="12"/>
  <c r="L25" i="12" s="1"/>
  <c r="CL17" i="12"/>
  <c r="D17" i="12"/>
  <c r="M17" i="12" s="1"/>
  <c r="CL16" i="12"/>
  <c r="D16" i="12"/>
  <c r="M16" i="12" s="1"/>
  <c r="CL27" i="12"/>
  <c r="D27" i="12"/>
  <c r="M27" i="12" s="1"/>
  <c r="CM20" i="12"/>
  <c r="C20" i="12"/>
  <c r="L20" i="12" s="1"/>
  <c r="CM19" i="12"/>
  <c r="C19" i="12"/>
  <c r="L19" i="12" s="1"/>
  <c r="CL28" i="12"/>
  <c r="D28" i="12"/>
  <c r="M28" i="12" s="1"/>
  <c r="CL29" i="12"/>
  <c r="D29" i="12"/>
  <c r="M29" i="12" s="1"/>
  <c r="CL18" i="12"/>
  <c r="D18" i="12"/>
  <c r="M18" i="12" s="1"/>
  <c r="CM21" i="12"/>
  <c r="C21" i="12"/>
  <c r="L21" i="12" s="1"/>
  <c r="CM23" i="12"/>
  <c r="C23" i="12"/>
  <c r="L23" i="12" s="1"/>
  <c r="CL31" i="11"/>
  <c r="D31" i="11"/>
  <c r="M31" i="11" s="1"/>
  <c r="CM27" i="11"/>
  <c r="C27" i="11"/>
  <c r="L27" i="11" s="1"/>
  <c r="CM30" i="11"/>
  <c r="C30" i="11"/>
  <c r="L30" i="11" s="1"/>
  <c r="CM29" i="11"/>
  <c r="C29" i="11"/>
  <c r="L29" i="11" s="1"/>
  <c r="CM17" i="11"/>
  <c r="C17" i="11"/>
  <c r="L17" i="11" s="1"/>
  <c r="CM21" i="11"/>
  <c r="C21" i="11"/>
  <c r="L21" i="11" s="1"/>
  <c r="CM24" i="11"/>
  <c r="C24" i="11"/>
  <c r="L24" i="11" s="1"/>
  <c r="CM18" i="11"/>
  <c r="C18" i="11"/>
  <c r="L18" i="11" s="1"/>
  <c r="CM25" i="11"/>
  <c r="C25" i="11"/>
  <c r="L25" i="11" s="1"/>
  <c r="CM26" i="11"/>
  <c r="C26" i="11"/>
  <c r="L26" i="11" s="1"/>
  <c r="CM22" i="11"/>
  <c r="C22" i="11"/>
  <c r="L22" i="11" s="1"/>
  <c r="CM19" i="11"/>
  <c r="C19" i="11"/>
  <c r="L19" i="11" s="1"/>
  <c r="CL24" i="10"/>
  <c r="D24" i="10"/>
  <c r="M24" i="10" s="1"/>
  <c r="CL20" i="10"/>
  <c r="D20" i="10"/>
  <c r="M20" i="10" s="1"/>
  <c r="CL21" i="10"/>
  <c r="D21" i="10"/>
  <c r="M21" i="10" s="1"/>
  <c r="CL18" i="10"/>
  <c r="D18" i="10"/>
  <c r="M18" i="10"/>
  <c r="CL23" i="10"/>
  <c r="D23" i="10"/>
  <c r="M23" i="10" s="1"/>
  <c r="CL22" i="10"/>
  <c r="D22" i="10"/>
  <c r="M22" i="10"/>
  <c r="CL19" i="10"/>
  <c r="D19" i="10"/>
  <c r="M19" i="10" s="1"/>
  <c r="CM15" i="10"/>
  <c r="C15" i="10"/>
  <c r="L15" i="10" s="1"/>
  <c r="CL25" i="10"/>
  <c r="D25" i="10"/>
  <c r="M25" i="10" s="1"/>
  <c r="CM16" i="10"/>
  <c r="C16" i="10"/>
  <c r="L16" i="10"/>
  <c r="CM17" i="10"/>
  <c r="C17" i="10"/>
  <c r="L17" i="10" s="1"/>
  <c r="CL25" i="9"/>
  <c r="D25" i="9"/>
  <c r="M25" i="9" s="1"/>
  <c r="CM20" i="9"/>
  <c r="C20" i="9"/>
  <c r="L20" i="9" s="1"/>
  <c r="CL17" i="9"/>
  <c r="D17" i="9"/>
  <c r="M17" i="9" s="1"/>
  <c r="CM19" i="9"/>
  <c r="C19" i="9"/>
  <c r="L19" i="9" s="1"/>
  <c r="CM24" i="9"/>
  <c r="C24" i="9"/>
  <c r="L24" i="9" s="1"/>
  <c r="CM21" i="9"/>
  <c r="C21" i="9"/>
  <c r="L21" i="9" s="1"/>
  <c r="CL18" i="9"/>
  <c r="D18" i="9"/>
  <c r="M18" i="9" s="1"/>
  <c r="CL16" i="9"/>
  <c r="D16" i="9"/>
  <c r="M16" i="9" s="1"/>
  <c r="CM23" i="9"/>
  <c r="C23" i="9"/>
  <c r="L23" i="9" s="1"/>
  <c r="CL15" i="9"/>
  <c r="D15" i="9"/>
  <c r="M15" i="9" s="1"/>
  <c r="CS15" i="6"/>
  <c r="CU15" i="6" s="1"/>
  <c r="CR15" i="6"/>
  <c r="CK15" i="6"/>
  <c r="E15" i="6"/>
  <c r="N15" i="6" s="1"/>
  <c r="CS16" i="6"/>
  <c r="CU16" i="6" s="1"/>
  <c r="CR16" i="6"/>
  <c r="E16" i="6"/>
  <c r="N16" i="6" s="1"/>
  <c r="CK16" i="6"/>
  <c r="CL21" i="6"/>
  <c r="D21" i="6"/>
  <c r="M21" i="6" s="1"/>
  <c r="C17" i="6"/>
  <c r="CM17" i="6"/>
  <c r="L17" i="6"/>
  <c r="CM19" i="6"/>
  <c r="C19" i="6"/>
  <c r="L19" i="6" s="1"/>
  <c r="C20" i="6"/>
  <c r="CM20" i="6"/>
  <c r="L20" i="6"/>
  <c r="CM18" i="6"/>
  <c r="C18" i="6"/>
  <c r="L18" i="6" s="1"/>
  <c r="CQ20" i="6"/>
  <c r="CL22" i="9" l="1"/>
  <c r="D22" i="9"/>
  <c r="M22" i="9" s="1"/>
  <c r="CL22" i="12"/>
  <c r="D22" i="12"/>
  <c r="M22" i="12" s="1"/>
  <c r="CL20" i="11"/>
  <c r="D20" i="11"/>
  <c r="M20" i="11" s="1"/>
  <c r="CL23" i="11"/>
  <c r="D23" i="11"/>
  <c r="M23" i="11" s="1"/>
  <c r="CL31" i="16"/>
  <c r="D31" i="16"/>
  <c r="M31" i="16" s="1"/>
  <c r="CL28" i="11"/>
  <c r="D28" i="11"/>
  <c r="M28" i="11" s="1"/>
  <c r="D24" i="12"/>
  <c r="M24" i="12" s="1"/>
  <c r="CL24" i="12"/>
  <c r="CM21" i="16"/>
  <c r="C21" i="16"/>
  <c r="L21" i="16" s="1"/>
  <c r="C18" i="16"/>
  <c r="L18" i="16" s="1"/>
  <c r="CM18" i="16"/>
  <c r="CM19" i="16"/>
  <c r="C19" i="16"/>
  <c r="L19" i="16" s="1"/>
  <c r="CM26" i="16"/>
  <c r="C26" i="16"/>
  <c r="L26" i="16" s="1"/>
  <c r="CM30" i="16"/>
  <c r="L30" i="16"/>
  <c r="C30" i="16"/>
  <c r="CM20" i="16"/>
  <c r="C20" i="16"/>
  <c r="L20" i="16" s="1"/>
  <c r="CM17" i="16"/>
  <c r="C17" i="16"/>
  <c r="L17" i="16" s="1"/>
  <c r="CM22" i="16"/>
  <c r="C22" i="16"/>
  <c r="L22" i="16" s="1"/>
  <c r="CM27" i="16"/>
  <c r="C27" i="16"/>
  <c r="L27" i="16" s="1"/>
  <c r="CM24" i="16"/>
  <c r="C24" i="16"/>
  <c r="L24" i="16" s="1"/>
  <c r="CM25" i="16"/>
  <c r="C25" i="16"/>
  <c r="L25" i="16" s="1"/>
  <c r="CM23" i="16"/>
  <c r="C23" i="16"/>
  <c r="L23" i="16" s="1"/>
  <c r="CM29" i="16"/>
  <c r="C29" i="16"/>
  <c r="L29" i="16" s="1"/>
  <c r="CM28" i="16"/>
  <c r="C28" i="16"/>
  <c r="L28" i="16" s="1"/>
  <c r="CM18" i="12"/>
  <c r="C18" i="12"/>
  <c r="L18" i="12" s="1"/>
  <c r="CM29" i="12"/>
  <c r="C29" i="12"/>
  <c r="L29" i="12" s="1"/>
  <c r="CM27" i="12"/>
  <c r="C27" i="12"/>
  <c r="L27" i="12" s="1"/>
  <c r="CM16" i="12"/>
  <c r="C16" i="12"/>
  <c r="L16" i="12" s="1"/>
  <c r="C17" i="12"/>
  <c r="L17" i="12" s="1"/>
  <c r="CM17" i="12"/>
  <c r="CN25" i="12"/>
  <c r="B25" i="12"/>
  <c r="CN23" i="12"/>
  <c r="B23" i="12"/>
  <c r="CN19" i="12"/>
  <c r="B19" i="12"/>
  <c r="CM26" i="12"/>
  <c r="C26" i="12"/>
  <c r="L26" i="12" s="1"/>
  <c r="CN21" i="12"/>
  <c r="B21" i="12"/>
  <c r="CM28" i="12"/>
  <c r="C28" i="12"/>
  <c r="L28" i="12" s="1"/>
  <c r="B20" i="12"/>
  <c r="CN20" i="12"/>
  <c r="CM30" i="12"/>
  <c r="C30" i="12"/>
  <c r="L30" i="12" s="1"/>
  <c r="CM31" i="11"/>
  <c r="C31" i="11"/>
  <c r="L31" i="11" s="1"/>
  <c r="CN30" i="11"/>
  <c r="B30" i="11"/>
  <c r="CN27" i="11"/>
  <c r="B27" i="11"/>
  <c r="CN29" i="11"/>
  <c r="B29" i="11"/>
  <c r="CN19" i="11"/>
  <c r="B19" i="11"/>
  <c r="CN26" i="11"/>
  <c r="B26" i="11"/>
  <c r="CN25" i="11"/>
  <c r="B25" i="11"/>
  <c r="CN18" i="11"/>
  <c r="B18" i="11"/>
  <c r="CN24" i="11"/>
  <c r="B24" i="11"/>
  <c r="CN22" i="11"/>
  <c r="B22" i="11"/>
  <c r="B21" i="11"/>
  <c r="CN21" i="11"/>
  <c r="CN17" i="11"/>
  <c r="B17" i="11"/>
  <c r="CN17" i="10"/>
  <c r="B17" i="10"/>
  <c r="CM19" i="10"/>
  <c r="C19" i="10"/>
  <c r="L19" i="10" s="1"/>
  <c r="CM21" i="10"/>
  <c r="C21" i="10"/>
  <c r="L21" i="10" s="1"/>
  <c r="CM25" i="10"/>
  <c r="C25" i="10"/>
  <c r="L25" i="10" s="1"/>
  <c r="CM23" i="10"/>
  <c r="C23" i="10"/>
  <c r="L23" i="10" s="1"/>
  <c r="CM24" i="10"/>
  <c r="C24" i="10"/>
  <c r="L24" i="10" s="1"/>
  <c r="CN16" i="10"/>
  <c r="B16" i="10"/>
  <c r="CN15" i="10"/>
  <c r="B15" i="10"/>
  <c r="CM22" i="10"/>
  <c r="C22" i="10"/>
  <c r="L22" i="10" s="1"/>
  <c r="CM18" i="10"/>
  <c r="C18" i="10"/>
  <c r="L18" i="10" s="1"/>
  <c r="CM20" i="10"/>
  <c r="C20" i="10"/>
  <c r="L20" i="10" s="1"/>
  <c r="CM25" i="9"/>
  <c r="C25" i="9"/>
  <c r="L25" i="9" s="1"/>
  <c r="CN24" i="9"/>
  <c r="B24" i="9"/>
  <c r="CN19" i="9"/>
  <c r="B19" i="9"/>
  <c r="CM17" i="9"/>
  <c r="C17" i="9"/>
  <c r="L17" i="9" s="1"/>
  <c r="B20" i="9"/>
  <c r="CN20" i="9"/>
  <c r="CM18" i="9"/>
  <c r="C18" i="9"/>
  <c r="L18" i="9" s="1"/>
  <c r="CN23" i="9"/>
  <c r="B23" i="9"/>
  <c r="CM16" i="9"/>
  <c r="C16" i="9"/>
  <c r="L16" i="9" s="1"/>
  <c r="CN21" i="9"/>
  <c r="B21" i="9"/>
  <c r="CM15" i="9"/>
  <c r="C15" i="9"/>
  <c r="L15" i="9" s="1"/>
  <c r="CL15" i="6"/>
  <c r="D15" i="6"/>
  <c r="M15" i="6" s="1"/>
  <c r="CL16" i="6"/>
  <c r="D16" i="6"/>
  <c r="M16" i="6" s="1"/>
  <c r="C21" i="6"/>
  <c r="L21" i="6" s="1"/>
  <c r="CM21" i="6"/>
  <c r="CR20" i="6"/>
  <c r="CS20" i="6"/>
  <c r="CU20" i="6" s="1"/>
  <c r="B19" i="6"/>
  <c r="CN19" i="6"/>
  <c r="CN18" i="6"/>
  <c r="B18" i="6"/>
  <c r="CN20" i="6"/>
  <c r="B20" i="6"/>
  <c r="CN17" i="6"/>
  <c r="B17" i="6"/>
  <c r="CM20" i="11" l="1"/>
  <c r="C20" i="11"/>
  <c r="L20" i="11" s="1"/>
  <c r="C28" i="11"/>
  <c r="L28" i="11" s="1"/>
  <c r="CM28" i="11"/>
  <c r="CM22" i="12"/>
  <c r="C22" i="12"/>
  <c r="L22" i="12" s="1"/>
  <c r="CM31" i="16"/>
  <c r="C31" i="16"/>
  <c r="L31" i="16" s="1"/>
  <c r="CM22" i="9"/>
  <c r="C22" i="9"/>
  <c r="L22" i="9" s="1"/>
  <c r="CM23" i="11"/>
  <c r="C23" i="11"/>
  <c r="L23" i="11" s="1"/>
  <c r="CM24" i="12"/>
  <c r="C24" i="12"/>
  <c r="L24" i="12" s="1"/>
  <c r="CN29" i="16"/>
  <c r="B29" i="16"/>
  <c r="CN23" i="16"/>
  <c r="B23" i="16"/>
  <c r="CN25" i="16"/>
  <c r="B25" i="16"/>
  <c r="CN24" i="16"/>
  <c r="B24" i="16"/>
  <c r="CN27" i="16"/>
  <c r="B27" i="16"/>
  <c r="CN22" i="16"/>
  <c r="B22" i="16"/>
  <c r="CN17" i="16"/>
  <c r="B17" i="16"/>
  <c r="CN20" i="16"/>
  <c r="B20" i="16"/>
  <c r="CN18" i="16"/>
  <c r="B18" i="16"/>
  <c r="CN28" i="16"/>
  <c r="B28" i="16"/>
  <c r="CN26" i="16"/>
  <c r="B26" i="16"/>
  <c r="CN19" i="16"/>
  <c r="B19" i="16"/>
  <c r="CN21" i="16"/>
  <c r="B21" i="16"/>
  <c r="CN30" i="16"/>
  <c r="B30" i="16"/>
  <c r="CN17" i="12"/>
  <c r="B17" i="12"/>
  <c r="CN27" i="12"/>
  <c r="B27" i="12"/>
  <c r="CN29" i="12"/>
  <c r="B29" i="12"/>
  <c r="CN18" i="12"/>
  <c r="B18" i="12"/>
  <c r="CN30" i="12"/>
  <c r="B30" i="12"/>
  <c r="CN28" i="12"/>
  <c r="B28" i="12"/>
  <c r="CN26" i="12"/>
  <c r="B26" i="12"/>
  <c r="CN16" i="12"/>
  <c r="B16" i="12"/>
  <c r="CN31" i="11"/>
  <c r="B31" i="11"/>
  <c r="CN18" i="10"/>
  <c r="B18" i="10"/>
  <c r="CN24" i="10"/>
  <c r="B24" i="10"/>
  <c r="CN21" i="10"/>
  <c r="B21" i="10"/>
  <c r="CN20" i="10"/>
  <c r="B20" i="10"/>
  <c r="CN22" i="10"/>
  <c r="B22" i="10"/>
  <c r="CN23" i="10"/>
  <c r="B23" i="10"/>
  <c r="CN25" i="10"/>
  <c r="B25" i="10"/>
  <c r="CN19" i="10"/>
  <c r="B19" i="10"/>
  <c r="CN25" i="9"/>
  <c r="B25" i="9"/>
  <c r="CN18" i="9"/>
  <c r="B18" i="9"/>
  <c r="CN16" i="9"/>
  <c r="B16" i="9"/>
  <c r="CN17" i="9"/>
  <c r="B17" i="9"/>
  <c r="CN15" i="9"/>
  <c r="B15" i="9"/>
  <c r="CM15" i="6"/>
  <c r="C15" i="6"/>
  <c r="L15" i="6" s="1"/>
  <c r="CM16" i="6"/>
  <c r="C16" i="6"/>
  <c r="L16" i="6" s="1"/>
  <c r="CN21" i="6"/>
  <c r="B21" i="6"/>
  <c r="B31" i="16" l="1"/>
  <c r="CN31" i="16"/>
  <c r="CN22" i="12"/>
  <c r="B22" i="12"/>
  <c r="CN23" i="11"/>
  <c r="B23" i="11"/>
  <c r="CN28" i="11"/>
  <c r="B28" i="11"/>
  <c r="CN22" i="9"/>
  <c r="B22" i="9"/>
  <c r="CN20" i="11"/>
  <c r="B20" i="11"/>
  <c r="CN24" i="12"/>
  <c r="B24" i="12"/>
  <c r="B15" i="6"/>
  <c r="CN15" i="6"/>
  <c r="CN16" i="6"/>
  <c r="B16" i="6"/>
  <c r="CR10" i="12"/>
  <c r="CR6" i="11"/>
  <c r="CT21" i="6"/>
  <c r="CR12" i="12" l="1"/>
  <c r="CR11" i="12"/>
  <c r="CP21" i="6"/>
  <c r="CU21" i="6" s="1"/>
  <c r="CQ21" i="6"/>
  <c r="CR6" i="6" l="1"/>
  <c r="CR7" i="10" l="1"/>
  <c r="CR6" i="9"/>
</calcChain>
</file>

<file path=xl/sharedStrings.xml><?xml version="1.0" encoding="utf-8"?>
<sst xmlns="http://schemas.openxmlformats.org/spreadsheetml/2006/main" count="2016" uniqueCount="534">
  <si>
    <t>அ</t>
  </si>
  <si>
    <t>க</t>
  </si>
  <si>
    <t>ங</t>
  </si>
  <si>
    <t>ச</t>
  </si>
  <si>
    <t>ஞ</t>
  </si>
  <si>
    <t>ட</t>
  </si>
  <si>
    <t>ண</t>
  </si>
  <si>
    <t>த</t>
  </si>
  <si>
    <t>ந</t>
  </si>
  <si>
    <t>ப</t>
  </si>
  <si>
    <t>ம</t>
  </si>
  <si>
    <t>ய</t>
  </si>
  <si>
    <t>ர</t>
  </si>
  <si>
    <t>ல</t>
  </si>
  <si>
    <t>வ</t>
  </si>
  <si>
    <t>ழ</t>
  </si>
  <si>
    <t>ள</t>
  </si>
  <si>
    <t>ற</t>
  </si>
  <si>
    <t>ன</t>
  </si>
  <si>
    <t>இ</t>
  </si>
  <si>
    <t>கி</t>
  </si>
  <si>
    <t>ஙி</t>
  </si>
  <si>
    <t>சி</t>
  </si>
  <si>
    <t>ஞி</t>
  </si>
  <si>
    <t>டி</t>
  </si>
  <si>
    <t>ணி</t>
  </si>
  <si>
    <t>தி</t>
  </si>
  <si>
    <t>நி</t>
  </si>
  <si>
    <t>பி</t>
  </si>
  <si>
    <t>மி</t>
  </si>
  <si>
    <t>யி</t>
  </si>
  <si>
    <t>ரி</t>
  </si>
  <si>
    <t>லி</t>
  </si>
  <si>
    <t>வி</t>
  </si>
  <si>
    <t>ழி</t>
  </si>
  <si>
    <t>ளி</t>
  </si>
  <si>
    <t>றி</t>
  </si>
  <si>
    <t>னி</t>
  </si>
  <si>
    <t>உ</t>
  </si>
  <si>
    <t>கு</t>
  </si>
  <si>
    <t>ஙு</t>
  </si>
  <si>
    <t>சு</t>
  </si>
  <si>
    <t>ஞு</t>
  </si>
  <si>
    <t>டு</t>
  </si>
  <si>
    <t>ணு</t>
  </si>
  <si>
    <t>து</t>
  </si>
  <si>
    <t>நு</t>
  </si>
  <si>
    <t>பு</t>
  </si>
  <si>
    <t>மு</t>
  </si>
  <si>
    <t>யு</t>
  </si>
  <si>
    <t>ரு</t>
  </si>
  <si>
    <t>லு</t>
  </si>
  <si>
    <t>வு</t>
  </si>
  <si>
    <t>ழு</t>
  </si>
  <si>
    <t>ளு</t>
  </si>
  <si>
    <t>று</t>
  </si>
  <si>
    <t>னு</t>
  </si>
  <si>
    <t>எ</t>
  </si>
  <si>
    <t>கெ</t>
  </si>
  <si>
    <t>ஙெ</t>
  </si>
  <si>
    <t>செ</t>
  </si>
  <si>
    <t>ஞெ</t>
  </si>
  <si>
    <t>டெ</t>
  </si>
  <si>
    <t>ணெ</t>
  </si>
  <si>
    <t>தெ</t>
  </si>
  <si>
    <t>நெ</t>
  </si>
  <si>
    <t>பெ</t>
  </si>
  <si>
    <t>மெ</t>
  </si>
  <si>
    <t>யெ</t>
  </si>
  <si>
    <t>ரெ</t>
  </si>
  <si>
    <t>லெ</t>
  </si>
  <si>
    <t>வெ</t>
  </si>
  <si>
    <t>ழெ</t>
  </si>
  <si>
    <t>ளெ</t>
  </si>
  <si>
    <t>றெ</t>
  </si>
  <si>
    <t>னெ</t>
  </si>
  <si>
    <t>ஒ</t>
  </si>
  <si>
    <t>கொ</t>
  </si>
  <si>
    <t>ஙொ</t>
  </si>
  <si>
    <t>சொ</t>
  </si>
  <si>
    <t>ஞொ</t>
  </si>
  <si>
    <t>டொ</t>
  </si>
  <si>
    <t>ணொ</t>
  </si>
  <si>
    <t>தொ</t>
  </si>
  <si>
    <t>நொ</t>
  </si>
  <si>
    <t>பொ</t>
  </si>
  <si>
    <t>மொ</t>
  </si>
  <si>
    <t>யொ</t>
  </si>
  <si>
    <t>ரொ</t>
  </si>
  <si>
    <t>லொ</t>
  </si>
  <si>
    <t>வொ</t>
  </si>
  <si>
    <t>ழொ</t>
  </si>
  <si>
    <t>ளொ</t>
  </si>
  <si>
    <t>றொ</t>
  </si>
  <si>
    <t>னொ</t>
  </si>
  <si>
    <t>ஆ</t>
  </si>
  <si>
    <t>கா</t>
  </si>
  <si>
    <t>ஙா</t>
  </si>
  <si>
    <t>சா</t>
  </si>
  <si>
    <t>ஞா</t>
  </si>
  <si>
    <t>டா</t>
  </si>
  <si>
    <t>ணா</t>
  </si>
  <si>
    <t>தா</t>
  </si>
  <si>
    <t>நா</t>
  </si>
  <si>
    <t>பா</t>
  </si>
  <si>
    <t>மா</t>
  </si>
  <si>
    <t>யா</t>
  </si>
  <si>
    <t>ரா</t>
  </si>
  <si>
    <t>லா</t>
  </si>
  <si>
    <t>வா</t>
  </si>
  <si>
    <t>ழா</t>
  </si>
  <si>
    <t>ளா</t>
  </si>
  <si>
    <t>றா</t>
  </si>
  <si>
    <t>னா</t>
  </si>
  <si>
    <t>ஈ</t>
  </si>
  <si>
    <t>கீ</t>
  </si>
  <si>
    <t>ஙீ</t>
  </si>
  <si>
    <t>சீ</t>
  </si>
  <si>
    <t>ஞீ</t>
  </si>
  <si>
    <t>டீ</t>
  </si>
  <si>
    <t>ணீ</t>
  </si>
  <si>
    <t>தீ</t>
  </si>
  <si>
    <t>நீ</t>
  </si>
  <si>
    <t>பீ</t>
  </si>
  <si>
    <t>மீ</t>
  </si>
  <si>
    <t>யீ</t>
  </si>
  <si>
    <t>ரீ</t>
  </si>
  <si>
    <t>லீ</t>
  </si>
  <si>
    <t>வீ</t>
  </si>
  <si>
    <t>ழீ</t>
  </si>
  <si>
    <t>ளீ</t>
  </si>
  <si>
    <t>றீ</t>
  </si>
  <si>
    <t>னீ</t>
  </si>
  <si>
    <t>ஊ</t>
  </si>
  <si>
    <t>கூ</t>
  </si>
  <si>
    <t>ஙூ</t>
  </si>
  <si>
    <t>சூ</t>
  </si>
  <si>
    <t>ஞூ</t>
  </si>
  <si>
    <t>டூ</t>
  </si>
  <si>
    <t>ணூ</t>
  </si>
  <si>
    <t>தூ</t>
  </si>
  <si>
    <t>நூ</t>
  </si>
  <si>
    <t>பூ</t>
  </si>
  <si>
    <t>மூ</t>
  </si>
  <si>
    <t>யூ</t>
  </si>
  <si>
    <t>ரூ</t>
  </si>
  <si>
    <t>லூ</t>
  </si>
  <si>
    <t>வூ</t>
  </si>
  <si>
    <t>ழூ</t>
  </si>
  <si>
    <t>ளூ</t>
  </si>
  <si>
    <t>றூ</t>
  </si>
  <si>
    <t>னூ</t>
  </si>
  <si>
    <t>ஏ</t>
  </si>
  <si>
    <t>கே</t>
  </si>
  <si>
    <t>ஙே</t>
  </si>
  <si>
    <t>சே</t>
  </si>
  <si>
    <t>ஞே</t>
  </si>
  <si>
    <t>டே</t>
  </si>
  <si>
    <t>ணே</t>
  </si>
  <si>
    <t>தே</t>
  </si>
  <si>
    <t>நே</t>
  </si>
  <si>
    <t>பே</t>
  </si>
  <si>
    <t>மே</t>
  </si>
  <si>
    <t>யே</t>
  </si>
  <si>
    <t>ரே</t>
  </si>
  <si>
    <t>லே</t>
  </si>
  <si>
    <t>வே</t>
  </si>
  <si>
    <t>ழே</t>
  </si>
  <si>
    <t>ளே</t>
  </si>
  <si>
    <t>றே</t>
  </si>
  <si>
    <t>னே</t>
  </si>
  <si>
    <t>ஐ</t>
  </si>
  <si>
    <t>கை</t>
  </si>
  <si>
    <t>ஙை</t>
  </si>
  <si>
    <t>சை</t>
  </si>
  <si>
    <t>ஞை</t>
  </si>
  <si>
    <t>டை</t>
  </si>
  <si>
    <t>ணை</t>
  </si>
  <si>
    <t>தை</t>
  </si>
  <si>
    <t>நை</t>
  </si>
  <si>
    <t>பை</t>
  </si>
  <si>
    <t>மை</t>
  </si>
  <si>
    <t>யை</t>
  </si>
  <si>
    <t>ரை</t>
  </si>
  <si>
    <t>லை</t>
  </si>
  <si>
    <t>வை</t>
  </si>
  <si>
    <t>ழை</t>
  </si>
  <si>
    <t>ளை</t>
  </si>
  <si>
    <t>றை</t>
  </si>
  <si>
    <t>னை</t>
  </si>
  <si>
    <t>ஓ</t>
  </si>
  <si>
    <t>கோ</t>
  </si>
  <si>
    <t>ஙோ</t>
  </si>
  <si>
    <t>சோ</t>
  </si>
  <si>
    <t>ஞோ</t>
  </si>
  <si>
    <t>டோ</t>
  </si>
  <si>
    <t>ணோ</t>
  </si>
  <si>
    <t>தோ</t>
  </si>
  <si>
    <t>நோ</t>
  </si>
  <si>
    <t>போ</t>
  </si>
  <si>
    <t>மோ</t>
  </si>
  <si>
    <t>யோ</t>
  </si>
  <si>
    <t>ரோ</t>
  </si>
  <si>
    <t>லோ</t>
  </si>
  <si>
    <t>வோ</t>
  </si>
  <si>
    <t>ழோ</t>
  </si>
  <si>
    <t>ளோ</t>
  </si>
  <si>
    <t>றோ</t>
  </si>
  <si>
    <t>னோ</t>
  </si>
  <si>
    <t>ஔ</t>
  </si>
  <si>
    <t>கௌ</t>
  </si>
  <si>
    <t>ஙௌ</t>
  </si>
  <si>
    <t>சௌ</t>
  </si>
  <si>
    <t>ஞௌ</t>
  </si>
  <si>
    <t>டௌ</t>
  </si>
  <si>
    <t>ணௌ</t>
  </si>
  <si>
    <t>தௌ</t>
  </si>
  <si>
    <t>நௌ</t>
  </si>
  <si>
    <t>பௌ</t>
  </si>
  <si>
    <t>மௌ</t>
  </si>
  <si>
    <t>யௌ</t>
  </si>
  <si>
    <t>ரௌ</t>
  </si>
  <si>
    <t>லௌ</t>
  </si>
  <si>
    <t>வௌ</t>
  </si>
  <si>
    <t>ழௌ</t>
  </si>
  <si>
    <t>ளௌ</t>
  </si>
  <si>
    <t>றௌ</t>
  </si>
  <si>
    <t>னௌ</t>
  </si>
  <si>
    <t>க்</t>
  </si>
  <si>
    <t>ங்</t>
  </si>
  <si>
    <t>ச்</t>
  </si>
  <si>
    <t>ஞ்</t>
  </si>
  <si>
    <t>ட்</t>
  </si>
  <si>
    <t>ண்</t>
  </si>
  <si>
    <t>த்</t>
  </si>
  <si>
    <t>ந்</t>
  </si>
  <si>
    <t>ப்</t>
  </si>
  <si>
    <t>ம்</t>
  </si>
  <si>
    <t>ய்</t>
  </si>
  <si>
    <t>ர்</t>
  </si>
  <si>
    <t>ல்</t>
  </si>
  <si>
    <t>வ்</t>
  </si>
  <si>
    <t>ழ்</t>
  </si>
  <si>
    <t>ற்</t>
  </si>
  <si>
    <t>ன்</t>
  </si>
  <si>
    <t>ஃ</t>
  </si>
  <si>
    <t>நிரை</t>
  </si>
  <si>
    <t>நேர்</t>
  </si>
  <si>
    <t>kk</t>
  </si>
  <si>
    <t>k</t>
  </si>
  <si>
    <t>kn</t>
  </si>
  <si>
    <t>n</t>
  </si>
  <si>
    <t>kkoo</t>
  </si>
  <si>
    <t>knoo</t>
  </si>
  <si>
    <t>kko</t>
  </si>
  <si>
    <t>kno</t>
  </si>
  <si>
    <t>koo</t>
  </si>
  <si>
    <t>noo</t>
  </si>
  <si>
    <t>ko</t>
  </si>
  <si>
    <t>no</t>
  </si>
  <si>
    <t>o</t>
  </si>
  <si>
    <t>நாள்</t>
  </si>
  <si>
    <t>மலர்</t>
  </si>
  <si>
    <t>காசு</t>
  </si>
  <si>
    <t>பிறப்பு</t>
  </si>
  <si>
    <t>கருவிளம்</t>
  </si>
  <si>
    <t>கூவிளம்</t>
  </si>
  <si>
    <t>தேமாங்காய்</t>
  </si>
  <si>
    <t>புளிமாங்காய்</t>
  </si>
  <si>
    <t>கூவிளங்காய்</t>
  </si>
  <si>
    <t>தேமாங்கனி</t>
  </si>
  <si>
    <t>புளிமாங்கனி</t>
  </si>
  <si>
    <t>கருவிளங்கனி</t>
  </si>
  <si>
    <t>கூவிளங்கனி</t>
  </si>
  <si>
    <t>தேமாந்தன்பூ</t>
  </si>
  <si>
    <t>புளிமாந்தன்பூ</t>
  </si>
  <si>
    <t>கருவிளந்தன்பூ</t>
  </si>
  <si>
    <t>கூவிளந்தன்பூ</t>
  </si>
  <si>
    <t>புளிமாநறும்பூ</t>
  </si>
  <si>
    <t>கருவிளந்றும்பூ</t>
  </si>
  <si>
    <t>தேமாநறுனிழல்</t>
  </si>
  <si>
    <t>புளிமாநறுநிழல்</t>
  </si>
  <si>
    <t>கருவிளநறுனிழல்</t>
  </si>
  <si>
    <t>கூவிளநறுநிழல்</t>
  </si>
  <si>
    <t>தேமா</t>
  </si>
  <si>
    <t>புளிமா</t>
  </si>
  <si>
    <t>நேர்நேர்</t>
  </si>
  <si>
    <t>நிரைநேர்</t>
  </si>
  <si>
    <t>நிரைநிரை</t>
  </si>
  <si>
    <t>நேர்நிரை</t>
  </si>
  <si>
    <t>நேர்நேர்நேர்</t>
  </si>
  <si>
    <t>நிரைநேர்நேர்</t>
  </si>
  <si>
    <t>நிரைநிரைநேர்</t>
  </si>
  <si>
    <t>நேர்நிரைநேர்</t>
  </si>
  <si>
    <t>நேர்நேர்நிரை</t>
  </si>
  <si>
    <t>நிரைநேர்நிரை</t>
  </si>
  <si>
    <t>நிரைநிரைநிரை</t>
  </si>
  <si>
    <t>நேர்நிரைநிரை</t>
  </si>
  <si>
    <t>நேர்நேர்நேர்நேர்</t>
  </si>
  <si>
    <t>நிரைநேர்நேர்நேர்</t>
  </si>
  <si>
    <t>நிரைநிரைநேர்நேர்</t>
  </si>
  <si>
    <t>நேர்நிரைநேர்நேர்</t>
  </si>
  <si>
    <t>நேர்நேர்நிரைநேர்</t>
  </si>
  <si>
    <t>நிரைநேர்நிரைநேர்</t>
  </si>
  <si>
    <t>நிரைநிரைநிரைநேர்</t>
  </si>
  <si>
    <t>நேர்நிரைநிரைநேர்</t>
  </si>
  <si>
    <t>நேர்நேர்நேர்நிரை</t>
  </si>
  <si>
    <t>நிரைநேர்நேர்நிரை</t>
  </si>
  <si>
    <t>நிரைநிரைநேர்நிரை</t>
  </si>
  <si>
    <t>நேர்நிரைநேர்நிரை</t>
  </si>
  <si>
    <t>நேர்நேர்நிரைநிரை</t>
  </si>
  <si>
    <t>நிரைநேர்நிரைநிரை</t>
  </si>
  <si>
    <t>நிரைநிரைநிரைநிரை</t>
  </si>
  <si>
    <t>நேர்நிரைநிரைநிரை</t>
  </si>
  <si>
    <t>மாநேர்</t>
  </si>
  <si>
    <t>மாமுன் நேர்</t>
  </si>
  <si>
    <t>நேரொன்றாசிரியத்தளை</t>
  </si>
  <si>
    <t>விளமுன் நிரை</t>
  </si>
  <si>
    <t>மாநிரை</t>
  </si>
  <si>
    <t>மாமுன் நிரை</t>
  </si>
  <si>
    <t>விளமுன் நேர்</t>
  </si>
  <si>
    <t>இயற்சீர் வெண்டளை</t>
  </si>
  <si>
    <t>காய்நேர்</t>
  </si>
  <si>
    <t>காய் முன் நேர்</t>
  </si>
  <si>
    <t>வெண்சீர் வெண்டளை</t>
  </si>
  <si>
    <t>காய்நிரை</t>
  </si>
  <si>
    <t>காய் முன் நிரை</t>
  </si>
  <si>
    <t>கலித்தளை</t>
  </si>
  <si>
    <t>கனிநிரை</t>
  </si>
  <si>
    <t>கனிநேர்</t>
  </si>
  <si>
    <t>ஒன்றா வஞ்சித்தளை</t>
  </si>
  <si>
    <t>ஒன்றிய வஞ்சித்தளை</t>
  </si>
  <si>
    <t>கனி முன் நிரை</t>
  </si>
  <si>
    <t>கனி முன் நேர்</t>
  </si>
  <si>
    <t>விளம்</t>
  </si>
  <si>
    <t>காய்</t>
  </si>
  <si>
    <t>கனி</t>
  </si>
  <si>
    <t>தேமாநறும்பூ</t>
  </si>
  <si>
    <t>நறும்பூ</t>
  </si>
  <si>
    <t>கூவிளநறும்பூ</t>
  </si>
  <si>
    <t>தண்ணிழல்</t>
  </si>
  <si>
    <t>நறுநிழல்</t>
  </si>
  <si>
    <t>ள்</t>
  </si>
  <si>
    <t>விளம்நேர்</t>
  </si>
  <si>
    <t>விளம்நிரை</t>
  </si>
  <si>
    <t>குறள் வெண்பா</t>
  </si>
  <si>
    <t>மு.சித்தநாத பூபதி</t>
  </si>
  <si>
    <t xml:space="preserve">   விரிவான பகுப்பாய்வு</t>
  </si>
  <si>
    <t xml:space="preserve">  கீழே உள்ள கட்டங்களில் சீர்களை உள்ளிடவும்</t>
  </si>
  <si>
    <t>சீர்கள்</t>
  </si>
  <si>
    <t>எழுத்து வகை</t>
  </si>
  <si>
    <t>முதலசை</t>
  </si>
  <si>
    <t>2-ஆம் அசை</t>
  </si>
  <si>
    <t>3-ஆம் அசை</t>
  </si>
  <si>
    <t>சீர்</t>
  </si>
  <si>
    <t>தளை</t>
  </si>
  <si>
    <t>அசைகள்</t>
  </si>
  <si>
    <t>நல்லார்</t>
  </si>
  <si>
    <t>உறவால்</t>
  </si>
  <si>
    <t>நலம்பெருகும்</t>
  </si>
  <si>
    <t>நாடோறும்</t>
  </si>
  <si>
    <t>அல்லார்</t>
  </si>
  <si>
    <t>அறந்தேயும்</t>
  </si>
  <si>
    <t>பொல்லார்</t>
  </si>
  <si>
    <t>தொடர்விடுதல்</t>
  </si>
  <si>
    <t>மேலாந்</t>
  </si>
  <si>
    <t>துணை</t>
  </si>
  <si>
    <t>இன்னிசைச் சிந்தியல் வெண்பா</t>
  </si>
  <si>
    <t>தேமாந்தண்ணிழல்</t>
  </si>
  <si>
    <t>புளிமாந்தண்ணிழல்</t>
  </si>
  <si>
    <t>கருவிளங்காய்</t>
  </si>
  <si>
    <t>கருவிழந்தண்ணிழல்</t>
  </si>
  <si>
    <t>கூவிளந்தண்ணிழல்</t>
  </si>
  <si>
    <t>நேரிசைச் சிந்தியல் வெண்பா</t>
  </si>
  <si>
    <t>தனிச்சொல்</t>
  </si>
  <si>
    <t>கக</t>
  </si>
  <si>
    <t>இன எதுகை</t>
  </si>
  <si>
    <t>கச</t>
  </si>
  <si>
    <t>கட</t>
  </si>
  <si>
    <t>கத</t>
  </si>
  <si>
    <t>கப</t>
  </si>
  <si>
    <t>கற</t>
  </si>
  <si>
    <t>ஙங</t>
  </si>
  <si>
    <t>ஙஞ</t>
  </si>
  <si>
    <t>ஙண</t>
  </si>
  <si>
    <t>ஙந</t>
  </si>
  <si>
    <t>ஙம</t>
  </si>
  <si>
    <t>ஙன</t>
  </si>
  <si>
    <t>சக</t>
  </si>
  <si>
    <t>சச</t>
  </si>
  <si>
    <t>சட</t>
  </si>
  <si>
    <t>சத</t>
  </si>
  <si>
    <t>சப</t>
  </si>
  <si>
    <t>சற</t>
  </si>
  <si>
    <t>ஞங</t>
  </si>
  <si>
    <t>ஞஞ</t>
  </si>
  <si>
    <t>ஞண</t>
  </si>
  <si>
    <t>ஞந</t>
  </si>
  <si>
    <t>ஞம</t>
  </si>
  <si>
    <t>ஞன</t>
  </si>
  <si>
    <t>டக</t>
  </si>
  <si>
    <t>டச</t>
  </si>
  <si>
    <t>டட</t>
  </si>
  <si>
    <t>டத</t>
  </si>
  <si>
    <t>டப</t>
  </si>
  <si>
    <t>டற</t>
  </si>
  <si>
    <t>ணங</t>
  </si>
  <si>
    <t>ணஞ</t>
  </si>
  <si>
    <t>ணண</t>
  </si>
  <si>
    <t>ணந</t>
  </si>
  <si>
    <t>ணம</t>
  </si>
  <si>
    <t>ணன</t>
  </si>
  <si>
    <t>தக</t>
  </si>
  <si>
    <t>தச</t>
  </si>
  <si>
    <t>தட</t>
  </si>
  <si>
    <t>தத</t>
  </si>
  <si>
    <t>தப</t>
  </si>
  <si>
    <t>தற</t>
  </si>
  <si>
    <t>நங</t>
  </si>
  <si>
    <t>நஞ</t>
  </si>
  <si>
    <t>நண</t>
  </si>
  <si>
    <t>நந</t>
  </si>
  <si>
    <t>நம</t>
  </si>
  <si>
    <t>நன</t>
  </si>
  <si>
    <t>பக</t>
  </si>
  <si>
    <t>பச</t>
  </si>
  <si>
    <t>பட</t>
  </si>
  <si>
    <t>பத</t>
  </si>
  <si>
    <t>பப</t>
  </si>
  <si>
    <t>பற</t>
  </si>
  <si>
    <t>மங</t>
  </si>
  <si>
    <t>மஞ</t>
  </si>
  <si>
    <t>மண</t>
  </si>
  <si>
    <t>மந</t>
  </si>
  <si>
    <t>மம</t>
  </si>
  <si>
    <t>மன</t>
  </si>
  <si>
    <t>யய</t>
  </si>
  <si>
    <t>யர</t>
  </si>
  <si>
    <t>யல</t>
  </si>
  <si>
    <t>யவ</t>
  </si>
  <si>
    <t>யழ</t>
  </si>
  <si>
    <t>யள</t>
  </si>
  <si>
    <t>ரய</t>
  </si>
  <si>
    <t>ரர</t>
  </si>
  <si>
    <t>ரல</t>
  </si>
  <si>
    <t>ரவ</t>
  </si>
  <si>
    <t>ரழ</t>
  </si>
  <si>
    <t>ரள</t>
  </si>
  <si>
    <t>லய</t>
  </si>
  <si>
    <t>லர</t>
  </si>
  <si>
    <t>லல</t>
  </si>
  <si>
    <t>லவ</t>
  </si>
  <si>
    <t>லழ</t>
  </si>
  <si>
    <t>லள</t>
  </si>
  <si>
    <t>வய</t>
  </si>
  <si>
    <t>வர</t>
  </si>
  <si>
    <t>வல</t>
  </si>
  <si>
    <t>வவ</t>
  </si>
  <si>
    <t>வழ</t>
  </si>
  <si>
    <t>வள</t>
  </si>
  <si>
    <t>ழய</t>
  </si>
  <si>
    <t>ழர</t>
  </si>
  <si>
    <t>ழல</t>
  </si>
  <si>
    <t>ழவ</t>
  </si>
  <si>
    <t>ழழ</t>
  </si>
  <si>
    <t>ழள</t>
  </si>
  <si>
    <t>ளய</t>
  </si>
  <si>
    <t>ளர</t>
  </si>
  <si>
    <t>ளல</t>
  </si>
  <si>
    <t>ளவ</t>
  </si>
  <si>
    <t>ளழ</t>
  </si>
  <si>
    <t>ளள</t>
  </si>
  <si>
    <t>றக</t>
  </si>
  <si>
    <t>றச</t>
  </si>
  <si>
    <t>றட</t>
  </si>
  <si>
    <t>றத</t>
  </si>
  <si>
    <t>றப</t>
  </si>
  <si>
    <t>றற</t>
  </si>
  <si>
    <t>னங</t>
  </si>
  <si>
    <t>னஞ</t>
  </si>
  <si>
    <t>னண</t>
  </si>
  <si>
    <t>னந</t>
  </si>
  <si>
    <t>னம</t>
  </si>
  <si>
    <t>னன</t>
  </si>
  <si>
    <t>அடிச்சீர்கள்</t>
  </si>
  <si>
    <t>இன்னிசை அளவியல் வெண்பா</t>
  </si>
  <si>
    <t>யாரேஎம்</t>
  </si>
  <si>
    <t>போல</t>
  </si>
  <si>
    <t>அருளுடையார்</t>
  </si>
  <si>
    <t>இன்கமலத்</t>
  </si>
  <si>
    <t>தாரேயுன்ஞ்</t>
  </si>
  <si>
    <t>சென்னித்</t>
  </si>
  <si>
    <t>தமிழ்விரகன்</t>
  </si>
  <si>
    <t>சீரேயும்</t>
  </si>
  <si>
    <t>கொச்சை</t>
  </si>
  <si>
    <t>வயன்தன்</t>
  </si>
  <si>
    <t>குரைகழற்கே</t>
  </si>
  <si>
    <t>மெச்சி</t>
  </si>
  <si>
    <t>பெற்றேன்</t>
  </si>
  <si>
    <t>அறிந்து</t>
  </si>
  <si>
    <t>அடிமைகைப்</t>
  </si>
  <si>
    <t>நேரிசை அளவியல் வெண்பா</t>
  </si>
  <si>
    <t xml:space="preserve">முதலெழுத்து </t>
  </si>
  <si>
    <t>2-ஆம் எழுத்துக்கள்</t>
  </si>
  <si>
    <t>2-ஆம் எழுத்து</t>
  </si>
  <si>
    <t>பாடல் முழுவதிலும் :-</t>
  </si>
  <si>
    <t>வெண்பாவுக்கு உரிய இலக்கணங்களின் படி இப்பாடல்</t>
  </si>
  <si>
    <t xml:space="preserve">   மு.சித்தநாத பூபதி</t>
  </si>
  <si>
    <t>2 மற்றும் 3-ஆம் அடிகளுக்கு இடையே :-</t>
  </si>
  <si>
    <t>நிரையொன்றாசிரியத்தளை</t>
  </si>
  <si>
    <t>A</t>
  </si>
  <si>
    <t>ஐகாரக் குறுக்கம்</t>
  </si>
  <si>
    <t>வைகையை</t>
  </si>
  <si>
    <t>எந்நன்றி</t>
  </si>
  <si>
    <t>உய்வுண்டாம்</t>
  </si>
  <si>
    <t>உய்வில்லை</t>
  </si>
  <si>
    <t>செய்நன்றி</t>
  </si>
  <si>
    <t>கொன்ற</t>
  </si>
  <si>
    <t>மகற்கு</t>
  </si>
  <si>
    <t>வரவால்</t>
  </si>
  <si>
    <t>அரிய</t>
  </si>
  <si>
    <t>வரைகீண்டு</t>
  </si>
  <si>
    <t>காட்டுவர்</t>
  </si>
  <si>
    <t>யாரே</t>
  </si>
  <si>
    <t>பெரிய</t>
  </si>
  <si>
    <t>வரைவயிரம்</t>
  </si>
  <si>
    <t>கொண்டு</t>
  </si>
  <si>
    <t>தெரியின்</t>
  </si>
  <si>
    <t>கரிய</t>
  </si>
  <si>
    <t>வரைநிலையார்</t>
  </si>
  <si>
    <t>காய்ந்தாலென்</t>
  </si>
  <si>
    <t>செய்வார்</t>
  </si>
  <si>
    <t>வரைவையிரம்</t>
  </si>
  <si>
    <t>இருகுறள் வெண்பா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</si>
</sst>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\ ;\(&quot;$&quot;#,##0\)"/>
  </numFmts>
  <fonts count="29" x14ac:knownFonts="1">
    <font>
      <sz val="11"/>
      <color theme="1"/>
      <name val="Calibri"/>
      <family val="2"/>
      <scheme val="minor"/>
    </font>
    <font>
      <sz val="12"/>
      <color theme="1"/>
      <name val="Arial Unicode MS"/>
      <family val="2"/>
    </font>
    <font>
      <sz val="12"/>
      <color rgb="FF000000"/>
      <name val="Arial Unicode MS"/>
      <family val="2"/>
    </font>
    <font>
      <sz val="10"/>
      <name val="Arial"/>
      <family val="2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Arial Unicode MS"/>
      <family val="2"/>
    </font>
    <font>
      <sz val="11"/>
      <color theme="1"/>
      <name val="Calibri"/>
      <family val="2"/>
      <scheme val="minor"/>
    </font>
    <font>
      <b/>
      <sz val="18"/>
      <color theme="0"/>
      <name val="Arial Unicode MS"/>
      <family val="2"/>
    </font>
    <font>
      <b/>
      <sz val="10"/>
      <name val="Arial Unicode MS"/>
      <family val="2"/>
    </font>
    <font>
      <b/>
      <sz val="10"/>
      <color theme="1"/>
      <name val="Arial Unicode MS"/>
      <family val="2"/>
    </font>
    <font>
      <sz val="10"/>
      <name val="Arial Unicode MS"/>
      <family val="2"/>
    </font>
    <font>
      <b/>
      <sz val="22"/>
      <color theme="0"/>
      <name val="Arial Unicode MS"/>
      <family val="2"/>
    </font>
    <font>
      <sz val="12"/>
      <name val="Arial Unicode MS"/>
      <family val="2"/>
    </font>
    <font>
      <sz val="14"/>
      <name val="Arial Unicode MS"/>
      <family val="2"/>
    </font>
    <font>
      <sz val="11"/>
      <name val="Arial Unicode MS"/>
      <family val="2"/>
    </font>
    <font>
      <sz val="40"/>
      <name val="Arial Unicode MS"/>
      <family val="2"/>
    </font>
    <font>
      <sz val="34"/>
      <name val="Arial Unicode MS"/>
      <family val="2"/>
    </font>
    <font>
      <sz val="8"/>
      <name val="Arial Unicode MS"/>
      <family val="2"/>
    </font>
    <font>
      <sz val="22"/>
      <name val="Arial Unicode MS"/>
      <family val="2"/>
    </font>
    <font>
      <sz val="11"/>
      <color rgb="FFFF0000"/>
      <name val="Arial Unicode MS"/>
      <family val="2"/>
    </font>
    <font>
      <sz val="30"/>
      <name val="Arial Unicode MS"/>
      <family val="2"/>
    </font>
    <font>
      <sz val="11"/>
      <color rgb="FF3333FF"/>
      <name val="Calibri"/>
      <family val="2"/>
    </font>
    <font>
      <sz val="11"/>
      <color theme="1"/>
      <name val="Arial Unicode MS"/>
      <family val="2"/>
    </font>
    <font>
      <b/>
      <sz val="12"/>
      <name val="Arial Unicode MS"/>
      <family val="2"/>
    </font>
    <font>
      <sz val="10"/>
      <name val="Arial"/>
    </font>
    <font>
      <sz val="10"/>
      <color indexed="24"/>
      <name val="Arial"/>
      <family val="2"/>
    </font>
    <font>
      <sz val="11"/>
      <color theme="0"/>
      <name val="Arial Unicode MS"/>
      <family val="2"/>
    </font>
    <font>
      <sz val="10"/>
      <color theme="0"/>
      <name val="Arial Unicode MS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42636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rgb="FF000000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medium">
        <color rgb="FF000000"/>
      </left>
      <right/>
      <top/>
      <bottom/>
      <diagonal/>
    </border>
  </borders>
  <cellStyleXfs count="9">
    <xf numFmtId="0" fontId="0" fillId="0" borderId="0"/>
    <xf numFmtId="0" fontId="3" fillId="0" borderId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5" fillId="0" borderId="0"/>
    <xf numFmtId="3" fontId="26" fillId="0" borderId="0" applyFont="0" applyFill="0" applyBorder="0" applyAlignment="0" applyProtection="0"/>
    <xf numFmtId="166" fontId="26" fillId="0" borderId="0" applyFont="0" applyFill="0" applyBorder="0" applyAlignment="0" applyProtection="0"/>
    <xf numFmtId="0" fontId="26" fillId="0" borderId="0" applyFont="0" applyFill="0" applyBorder="0" applyAlignment="0" applyProtection="0"/>
    <xf numFmtId="2" fontId="26" fillId="0" borderId="0" applyFont="0" applyFill="0" applyBorder="0" applyAlignment="0" applyProtection="0"/>
  </cellStyleXfs>
  <cellXfs count="215">
    <xf numFmtId="0" fontId="0" fillId="0" borderId="0" xfId="0"/>
    <xf numFmtId="0" fontId="1" fillId="0" borderId="0" xfId="0" applyFont="1"/>
    <xf numFmtId="0" fontId="2" fillId="0" borderId="6" xfId="0" applyFont="1" applyBorder="1" applyAlignment="1">
      <alignment vertical="top" wrapText="1"/>
    </xf>
    <xf numFmtId="0" fontId="1" fillId="0" borderId="1" xfId="0" applyFont="1" applyBorder="1"/>
    <xf numFmtId="0" fontId="2" fillId="0" borderId="7" xfId="0" applyFont="1" applyBorder="1" applyAlignment="1">
      <alignment vertical="top" wrapText="1"/>
    </xf>
    <xf numFmtId="0" fontId="1" fillId="2" borderId="1" xfId="0" applyFont="1" applyFill="1" applyBorder="1"/>
    <xf numFmtId="0" fontId="1" fillId="2" borderId="0" xfId="0" applyFont="1" applyFill="1"/>
    <xf numFmtId="0" fontId="2" fillId="0" borderId="8" xfId="0" applyFont="1" applyBorder="1" applyAlignment="1">
      <alignment vertical="top" wrapText="1"/>
    </xf>
    <xf numFmtId="0" fontId="1" fillId="0" borderId="0" xfId="0" applyFont="1" applyAlignment="1">
      <alignment horizontal="left"/>
    </xf>
    <xf numFmtId="0" fontId="1" fillId="0" borderId="13" xfId="0" applyFont="1" applyBorder="1" applyAlignment="1">
      <alignment horizontal="left"/>
    </xf>
    <xf numFmtId="0" fontId="4" fillId="0" borderId="0" xfId="0" applyFont="1"/>
    <xf numFmtId="0" fontId="0" fillId="5" borderId="0" xfId="0" applyFill="1"/>
    <xf numFmtId="0" fontId="1" fillId="4" borderId="1" xfId="0" applyFont="1" applyFill="1" applyBorder="1"/>
    <xf numFmtId="0" fontId="1" fillId="3" borderId="1" xfId="0" applyFont="1" applyFill="1" applyBorder="1"/>
    <xf numFmtId="0" fontId="1" fillId="6" borderId="1" xfId="0" applyFont="1" applyFill="1" applyBorder="1"/>
    <xf numFmtId="0" fontId="0" fillId="0" borderId="1" xfId="0" applyBorder="1"/>
    <xf numFmtId="0" fontId="5" fillId="0" borderId="0" xfId="0" applyFont="1"/>
    <xf numFmtId="0" fontId="6" fillId="0" borderId="0" xfId="0" applyFont="1"/>
    <xf numFmtId="0" fontId="8" fillId="7" borderId="16" xfId="0" applyFont="1" applyFill="1" applyBorder="1" applyAlignment="1">
      <alignment horizontal="left"/>
    </xf>
    <xf numFmtId="0" fontId="8" fillId="7" borderId="17" xfId="0" applyFont="1" applyFill="1" applyBorder="1" applyAlignment="1">
      <alignment horizontal="left"/>
    </xf>
    <xf numFmtId="0" fontId="8" fillId="7" borderId="0" xfId="0" applyFont="1" applyFill="1" applyAlignment="1">
      <alignment horizontal="left"/>
    </xf>
    <xf numFmtId="0" fontId="8" fillId="7" borderId="3" xfId="0" applyFont="1" applyFill="1" applyBorder="1" applyAlignment="1">
      <alignment horizontal="left"/>
    </xf>
    <xf numFmtId="0" fontId="8" fillId="7" borderId="18" xfId="0" applyFont="1" applyFill="1" applyBorder="1" applyAlignment="1">
      <alignment horizontal="left"/>
    </xf>
    <xf numFmtId="0" fontId="12" fillId="7" borderId="15" xfId="0" applyFont="1" applyFill="1" applyBorder="1" applyAlignment="1">
      <alignment horizontal="left"/>
    </xf>
    <xf numFmtId="0" fontId="8" fillId="7" borderId="0" xfId="0" applyFont="1" applyFill="1" applyAlignment="1">
      <alignment horizontal="right"/>
    </xf>
    <xf numFmtId="0" fontId="9" fillId="8" borderId="20" xfId="0" applyFont="1" applyFill="1" applyBorder="1" applyAlignment="1">
      <alignment horizontal="left"/>
    </xf>
    <xf numFmtId="0" fontId="9" fillId="8" borderId="20" xfId="0" applyFont="1" applyFill="1" applyBorder="1" applyAlignment="1">
      <alignment horizontal="center"/>
    </xf>
    <xf numFmtId="0" fontId="10" fillId="8" borderId="20" xfId="0" applyFont="1" applyFill="1" applyBorder="1" applyAlignment="1">
      <alignment horizontal="center"/>
    </xf>
    <xf numFmtId="0" fontId="1" fillId="0" borderId="20" xfId="0" applyFont="1" applyBorder="1"/>
    <xf numFmtId="0" fontId="1" fillId="0" borderId="0" xfId="0" applyFont="1" applyAlignment="1">
      <alignment horizontal="center" vertical="center"/>
    </xf>
    <xf numFmtId="0" fontId="13" fillId="9" borderId="1" xfId="0" applyFont="1" applyFill="1" applyBorder="1" applyAlignment="1">
      <alignment horizontal="center" vertical="center"/>
    </xf>
    <xf numFmtId="0" fontId="13" fillId="8" borderId="0" xfId="0" applyFont="1" applyFill="1"/>
    <xf numFmtId="164" fontId="13" fillId="8" borderId="0" xfId="3" applyNumberFormat="1" applyFont="1" applyFill="1" applyBorder="1" applyAlignment="1">
      <alignment horizontal="center"/>
    </xf>
    <xf numFmtId="164" fontId="1" fillId="8" borderId="0" xfId="0" applyNumberFormat="1" applyFont="1" applyFill="1"/>
    <xf numFmtId="0" fontId="13" fillId="8" borderId="0" xfId="0" applyFont="1" applyFill="1" applyAlignment="1">
      <alignment horizontal="center" vertical="center"/>
    </xf>
    <xf numFmtId="43" fontId="13" fillId="8" borderId="0" xfId="2" applyFont="1" applyFill="1" applyBorder="1" applyAlignment="1">
      <alignment horizontal="center" vertical="center"/>
    </xf>
    <xf numFmtId="165" fontId="1" fillId="8" borderId="0" xfId="2" applyNumberFormat="1" applyFont="1" applyFill="1" applyBorder="1" applyAlignment="1">
      <alignment horizontal="center" vertical="center"/>
    </xf>
    <xf numFmtId="165" fontId="13" fillId="8" borderId="0" xfId="2" applyNumberFormat="1" applyFont="1" applyFill="1" applyBorder="1" applyAlignment="1">
      <alignment horizontal="center" vertical="center"/>
    </xf>
    <xf numFmtId="43" fontId="13" fillId="8" borderId="0" xfId="2" applyFont="1" applyFill="1" applyBorder="1"/>
    <xf numFmtId="165" fontId="1" fillId="8" borderId="0" xfId="2" applyNumberFormat="1" applyFont="1" applyFill="1" applyBorder="1"/>
    <xf numFmtId="0" fontId="14" fillId="9" borderId="0" xfId="0" applyFont="1" applyFill="1"/>
    <xf numFmtId="0" fontId="1" fillId="0" borderId="0" xfId="0" applyFont="1" applyAlignment="1">
      <alignment horizontal="center"/>
    </xf>
    <xf numFmtId="0" fontId="13" fillId="9" borderId="0" xfId="0" applyFont="1" applyFill="1" applyAlignment="1">
      <alignment horizontal="center"/>
    </xf>
    <xf numFmtId="0" fontId="1" fillId="4" borderId="19" xfId="0" applyFont="1" applyFill="1" applyBorder="1"/>
    <xf numFmtId="0" fontId="9" fillId="8" borderId="22" xfId="0" applyFont="1" applyFill="1" applyBorder="1" applyAlignment="1">
      <alignment horizontal="left"/>
    </xf>
    <xf numFmtId="0" fontId="9" fillId="8" borderId="23" xfId="0" applyFont="1" applyFill="1" applyBorder="1" applyAlignment="1">
      <alignment horizontal="left"/>
    </xf>
    <xf numFmtId="0" fontId="14" fillId="9" borderId="3" xfId="0" applyFont="1" applyFill="1" applyBorder="1"/>
    <xf numFmtId="0" fontId="14" fillId="9" borderId="18" xfId="0" applyFont="1" applyFill="1" applyBorder="1"/>
    <xf numFmtId="0" fontId="13" fillId="8" borderId="3" xfId="0" applyFont="1" applyFill="1" applyBorder="1"/>
    <xf numFmtId="0" fontId="13" fillId="8" borderId="18" xfId="0" applyFont="1" applyFill="1" applyBorder="1"/>
    <xf numFmtId="0" fontId="13" fillId="8" borderId="3" xfId="0" applyFont="1" applyFill="1" applyBorder="1" applyAlignment="1">
      <alignment horizontal="center" vertical="center"/>
    </xf>
    <xf numFmtId="0" fontId="13" fillId="8" borderId="18" xfId="0" applyFont="1" applyFill="1" applyBorder="1" applyAlignment="1">
      <alignment horizontal="center" vertical="center"/>
    </xf>
    <xf numFmtId="0" fontId="14" fillId="9" borderId="3" xfId="0" applyFont="1" applyFill="1" applyBorder="1" applyAlignment="1">
      <alignment horizontal="center"/>
    </xf>
    <xf numFmtId="0" fontId="13" fillId="9" borderId="18" xfId="0" applyFont="1" applyFill="1" applyBorder="1" applyAlignment="1">
      <alignment horizontal="center"/>
    </xf>
    <xf numFmtId="0" fontId="13" fillId="8" borderId="26" xfId="0" applyFont="1" applyFill="1" applyBorder="1"/>
    <xf numFmtId="0" fontId="13" fillId="8" borderId="27" xfId="0" applyFont="1" applyFill="1" applyBorder="1"/>
    <xf numFmtId="0" fontId="13" fillId="8" borderId="28" xfId="0" applyFont="1" applyFill="1" applyBorder="1"/>
    <xf numFmtId="0" fontId="15" fillId="8" borderId="24" xfId="0" applyFont="1" applyFill="1" applyBorder="1"/>
    <xf numFmtId="0" fontId="15" fillId="8" borderId="1" xfId="0" applyFont="1" applyFill="1" applyBorder="1"/>
    <xf numFmtId="0" fontId="15" fillId="8" borderId="25" xfId="0" applyFont="1" applyFill="1" applyBorder="1"/>
    <xf numFmtId="0" fontId="15" fillId="9" borderId="24" xfId="0" applyFont="1" applyFill="1" applyBorder="1" applyAlignment="1">
      <alignment horizontal="left"/>
    </xf>
    <xf numFmtId="0" fontId="15" fillId="9" borderId="1" xfId="0" applyFont="1" applyFill="1" applyBorder="1" applyAlignment="1">
      <alignment horizontal="center"/>
    </xf>
    <xf numFmtId="0" fontId="15" fillId="9" borderId="25" xfId="0" applyFont="1" applyFill="1" applyBorder="1" applyAlignment="1">
      <alignment horizontal="center"/>
    </xf>
    <xf numFmtId="0" fontId="12" fillId="10" borderId="15" xfId="0" applyFont="1" applyFill="1" applyBorder="1" applyAlignment="1">
      <alignment horizontal="left"/>
    </xf>
    <xf numFmtId="0" fontId="8" fillId="10" borderId="16" xfId="0" applyFont="1" applyFill="1" applyBorder="1" applyAlignment="1">
      <alignment horizontal="left"/>
    </xf>
    <xf numFmtId="0" fontId="8" fillId="10" borderId="17" xfId="0" applyFont="1" applyFill="1" applyBorder="1" applyAlignment="1">
      <alignment horizontal="left"/>
    </xf>
    <xf numFmtId="0" fontId="8" fillId="10" borderId="3" xfId="0" applyFont="1" applyFill="1" applyBorder="1" applyAlignment="1">
      <alignment horizontal="left"/>
    </xf>
    <xf numFmtId="0" fontId="8" fillId="10" borderId="0" xfId="0" applyFont="1" applyFill="1" applyAlignment="1">
      <alignment horizontal="left"/>
    </xf>
    <xf numFmtId="0" fontId="8" fillId="10" borderId="0" xfId="0" applyFont="1" applyFill="1" applyAlignment="1">
      <alignment horizontal="right"/>
    </xf>
    <xf numFmtId="0" fontId="8" fillId="10" borderId="18" xfId="0" applyFont="1" applyFill="1" applyBorder="1" applyAlignment="1">
      <alignment horizontal="left"/>
    </xf>
    <xf numFmtId="0" fontId="14" fillId="4" borderId="3" xfId="0" applyFont="1" applyFill="1" applyBorder="1" applyAlignment="1">
      <alignment horizontal="center"/>
    </xf>
    <xf numFmtId="0" fontId="13" fillId="4" borderId="0" xfId="0" applyFont="1" applyFill="1" applyAlignment="1">
      <alignment horizontal="center"/>
    </xf>
    <xf numFmtId="0" fontId="13" fillId="4" borderId="18" xfId="0" applyFont="1" applyFill="1" applyBorder="1" applyAlignment="1">
      <alignment horizontal="center"/>
    </xf>
    <xf numFmtId="0" fontId="15" fillId="4" borderId="24" xfId="0" applyFont="1" applyFill="1" applyBorder="1" applyAlignment="1">
      <alignment horizontal="left"/>
    </xf>
    <xf numFmtId="0" fontId="15" fillId="4" borderId="1" xfId="0" applyFont="1" applyFill="1" applyBorder="1" applyAlignment="1">
      <alignment horizontal="center"/>
    </xf>
    <xf numFmtId="0" fontId="15" fillId="4" borderId="25" xfId="0" applyFont="1" applyFill="1" applyBorder="1" applyAlignment="1">
      <alignment horizontal="center"/>
    </xf>
    <xf numFmtId="0" fontId="13" fillId="4" borderId="1" xfId="0" applyFont="1" applyFill="1" applyBorder="1"/>
    <xf numFmtId="0" fontId="14" fillId="4" borderId="3" xfId="0" applyFont="1" applyFill="1" applyBorder="1"/>
    <xf numFmtId="0" fontId="14" fillId="4" borderId="0" xfId="0" applyFont="1" applyFill="1"/>
    <xf numFmtId="0" fontId="14" fillId="4" borderId="18" xfId="0" applyFont="1" applyFill="1" applyBorder="1"/>
    <xf numFmtId="0" fontId="1" fillId="11" borderId="1" xfId="0" applyFont="1" applyFill="1" applyBorder="1"/>
    <xf numFmtId="0" fontId="1" fillId="11" borderId="19" xfId="0" applyFont="1" applyFill="1" applyBorder="1"/>
    <xf numFmtId="0" fontId="1" fillId="11" borderId="0" xfId="0" applyFont="1" applyFill="1"/>
    <xf numFmtId="0" fontId="0" fillId="11" borderId="1" xfId="0" applyFill="1" applyBorder="1"/>
    <xf numFmtId="0" fontId="0" fillId="11" borderId="0" xfId="0" applyFill="1"/>
    <xf numFmtId="0" fontId="5" fillId="11" borderId="0" xfId="0" applyFont="1" applyFill="1"/>
    <xf numFmtId="0" fontId="4" fillId="11" borderId="0" xfId="0" applyFont="1" applyFill="1"/>
    <xf numFmtId="0" fontId="6" fillId="11" borderId="0" xfId="0" applyFont="1" applyFill="1"/>
    <xf numFmtId="0" fontId="1" fillId="11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/>
    </xf>
    <xf numFmtId="0" fontId="12" fillId="12" borderId="15" xfId="0" applyFont="1" applyFill="1" applyBorder="1" applyAlignment="1">
      <alignment horizontal="left"/>
    </xf>
    <xf numFmtId="0" fontId="8" fillId="12" borderId="16" xfId="0" applyFont="1" applyFill="1" applyBorder="1" applyAlignment="1">
      <alignment horizontal="left"/>
    </xf>
    <xf numFmtId="0" fontId="8" fillId="12" borderId="17" xfId="0" applyFont="1" applyFill="1" applyBorder="1" applyAlignment="1">
      <alignment horizontal="left"/>
    </xf>
    <xf numFmtId="0" fontId="8" fillId="12" borderId="3" xfId="0" applyFont="1" applyFill="1" applyBorder="1" applyAlignment="1">
      <alignment horizontal="left"/>
    </xf>
    <xf numFmtId="0" fontId="8" fillId="12" borderId="0" xfId="0" applyFont="1" applyFill="1" applyAlignment="1">
      <alignment horizontal="left"/>
    </xf>
    <xf numFmtId="0" fontId="8" fillId="12" borderId="0" xfId="0" applyFont="1" applyFill="1" applyAlignment="1">
      <alignment horizontal="right"/>
    </xf>
    <xf numFmtId="0" fontId="8" fillId="12" borderId="18" xfId="0" applyFont="1" applyFill="1" applyBorder="1" applyAlignment="1">
      <alignment horizontal="left"/>
    </xf>
    <xf numFmtId="0" fontId="13" fillId="8" borderId="0" xfId="0" applyFont="1" applyFill="1" applyAlignment="1">
      <alignment horizontal="center"/>
    </xf>
    <xf numFmtId="0" fontId="18" fillId="8" borderId="0" xfId="0" applyFont="1" applyFill="1" applyAlignment="1">
      <alignment horizontal="center"/>
    </xf>
    <xf numFmtId="0" fontId="13" fillId="4" borderId="1" xfId="0" applyFont="1" applyFill="1" applyBorder="1" applyAlignment="1">
      <alignment horizontal="center"/>
    </xf>
    <xf numFmtId="0" fontId="13" fillId="13" borderId="1" xfId="0" applyFont="1" applyFill="1" applyBorder="1" applyAlignment="1">
      <alignment horizontal="center"/>
    </xf>
    <xf numFmtId="0" fontId="9" fillId="8" borderId="29" xfId="0" applyFont="1" applyFill="1" applyBorder="1" applyAlignment="1">
      <alignment horizontal="left"/>
    </xf>
    <xf numFmtId="0" fontId="9" fillId="8" borderId="30" xfId="0" applyFont="1" applyFill="1" applyBorder="1" applyAlignment="1">
      <alignment horizontal="left"/>
    </xf>
    <xf numFmtId="0" fontId="14" fillId="4" borderId="29" xfId="0" applyFont="1" applyFill="1" applyBorder="1"/>
    <xf numFmtId="0" fontId="14" fillId="4" borderId="30" xfId="0" applyFont="1" applyFill="1" applyBorder="1"/>
    <xf numFmtId="0" fontId="0" fillId="2" borderId="1" xfId="0" applyFill="1" applyBorder="1"/>
    <xf numFmtId="0" fontId="3" fillId="0" borderId="1" xfId="0" applyFont="1" applyBorder="1"/>
    <xf numFmtId="0" fontId="17" fillId="8" borderId="3" xfId="0" applyFont="1" applyFill="1" applyBorder="1" applyAlignment="1">
      <alignment vertical="center"/>
    </xf>
    <xf numFmtId="0" fontId="19" fillId="8" borderId="3" xfId="0" applyFont="1" applyFill="1" applyBorder="1" applyAlignment="1">
      <alignment vertical="center"/>
    </xf>
    <xf numFmtId="0" fontId="15" fillId="8" borderId="3" xfId="0" applyFont="1" applyFill="1" applyBorder="1"/>
    <xf numFmtId="0" fontId="15" fillId="8" borderId="0" xfId="0" applyFont="1" applyFill="1"/>
    <xf numFmtId="0" fontId="15" fillId="8" borderId="18" xfId="0" applyFont="1" applyFill="1" applyBorder="1"/>
    <xf numFmtId="0" fontId="15" fillId="8" borderId="1" xfId="0" applyFont="1" applyFill="1" applyBorder="1" applyAlignment="1">
      <alignment horizontal="center" wrapText="1"/>
    </xf>
    <xf numFmtId="0" fontId="15" fillId="4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 wrapText="1"/>
    </xf>
    <xf numFmtId="0" fontId="1" fillId="11" borderId="21" xfId="0" applyFont="1" applyFill="1" applyBorder="1"/>
    <xf numFmtId="0" fontId="1" fillId="11" borderId="31" xfId="0" applyFont="1" applyFill="1" applyBorder="1"/>
    <xf numFmtId="0" fontId="1" fillId="0" borderId="15" xfId="0" applyFont="1" applyBorder="1"/>
    <xf numFmtId="0" fontId="1" fillId="0" borderId="16" xfId="0" applyFont="1" applyBorder="1"/>
    <xf numFmtId="0" fontId="1" fillId="0" borderId="3" xfId="0" applyFont="1" applyBorder="1"/>
    <xf numFmtId="0" fontId="6" fillId="0" borderId="3" xfId="0" applyFont="1" applyBorder="1"/>
    <xf numFmtId="0" fontId="1" fillId="0" borderId="3" xfId="0" applyFont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26" xfId="0" applyFont="1" applyBorder="1"/>
    <xf numFmtId="0" fontId="1" fillId="4" borderId="4" xfId="0" applyFont="1" applyFill="1" applyBorder="1"/>
    <xf numFmtId="0" fontId="1" fillId="6" borderId="4" xfId="0" applyFont="1" applyFill="1" applyBorder="1"/>
    <xf numFmtId="0" fontId="1" fillId="3" borderId="4" xfId="0" applyFont="1" applyFill="1" applyBorder="1"/>
    <xf numFmtId="0" fontId="1" fillId="2" borderId="4" xfId="0" applyFont="1" applyFill="1" applyBorder="1"/>
    <xf numFmtId="0" fontId="1" fillId="4" borderId="32" xfId="0" applyFont="1" applyFill="1" applyBorder="1"/>
    <xf numFmtId="0" fontId="14" fillId="4" borderId="33" xfId="0" applyFont="1" applyFill="1" applyBorder="1"/>
    <xf numFmtId="0" fontId="15" fillId="4" borderId="24" xfId="0" applyFont="1" applyFill="1" applyBorder="1" applyAlignment="1">
      <alignment horizontal="center" vertical="center"/>
    </xf>
    <xf numFmtId="0" fontId="15" fillId="8" borderId="24" xfId="0" applyFont="1" applyFill="1" applyBorder="1" applyAlignment="1">
      <alignment horizontal="center" vertical="center" wrapText="1"/>
    </xf>
    <xf numFmtId="0" fontId="17" fillId="8" borderId="0" xfId="0" applyFont="1" applyFill="1" applyAlignment="1">
      <alignment horizontal="center" vertical="center"/>
    </xf>
    <xf numFmtId="0" fontId="1" fillId="4" borderId="34" xfId="0" applyFont="1" applyFill="1" applyBorder="1"/>
    <xf numFmtId="0" fontId="1" fillId="6" borderId="34" xfId="0" applyFont="1" applyFill="1" applyBorder="1"/>
    <xf numFmtId="0" fontId="1" fillId="3" borderId="34" xfId="0" applyFont="1" applyFill="1" applyBorder="1"/>
    <xf numFmtId="0" fontId="1" fillId="2" borderId="34" xfId="0" applyFont="1" applyFill="1" applyBorder="1"/>
    <xf numFmtId="0" fontId="1" fillId="4" borderId="35" xfId="0" applyFont="1" applyFill="1" applyBorder="1"/>
    <xf numFmtId="0" fontId="15" fillId="8" borderId="36" xfId="0" applyFont="1" applyFill="1" applyBorder="1" applyAlignment="1">
      <alignment horizontal="center" vertical="center" wrapText="1"/>
    </xf>
    <xf numFmtId="0" fontId="15" fillId="8" borderId="2" xfId="0" applyFont="1" applyFill="1" applyBorder="1" applyAlignment="1">
      <alignment horizontal="center" vertical="center" wrapText="1"/>
    </xf>
    <xf numFmtId="0" fontId="15" fillId="8" borderId="37" xfId="0" applyFont="1" applyFill="1" applyBorder="1" applyAlignment="1">
      <alignment horizontal="center" vertical="center" wrapText="1"/>
    </xf>
    <xf numFmtId="0" fontId="15" fillId="8" borderId="4" xfId="0" applyFont="1" applyFill="1" applyBorder="1" applyAlignment="1">
      <alignment horizontal="center" vertical="center" wrapText="1"/>
    </xf>
    <xf numFmtId="0" fontId="15" fillId="8" borderId="41" xfId="0" applyFont="1" applyFill="1" applyBorder="1" applyAlignment="1">
      <alignment horizontal="center" vertical="center" wrapText="1"/>
    </xf>
    <xf numFmtId="0" fontId="15" fillId="8" borderId="19" xfId="0" applyFont="1" applyFill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4" borderId="42" xfId="0" applyFont="1" applyFill="1" applyBorder="1" applyAlignment="1">
      <alignment horizontal="center" vertical="center"/>
    </xf>
    <xf numFmtId="0" fontId="15" fillId="4" borderId="43" xfId="0" applyFont="1" applyFill="1" applyBorder="1" applyAlignment="1">
      <alignment horizontal="center" vertical="center"/>
    </xf>
    <xf numFmtId="0" fontId="15" fillId="8" borderId="44" xfId="0" applyFont="1" applyFill="1" applyBorder="1"/>
    <xf numFmtId="0" fontId="15" fillId="4" borderId="45" xfId="0" applyFont="1" applyFill="1" applyBorder="1" applyAlignment="1">
      <alignment horizontal="center" vertical="center"/>
    </xf>
    <xf numFmtId="0" fontId="15" fillId="8" borderId="40" xfId="0" applyFont="1" applyFill="1" applyBorder="1" applyAlignment="1">
      <alignment horizontal="center" vertical="center" wrapText="1"/>
    </xf>
    <xf numFmtId="0" fontId="15" fillId="8" borderId="46" xfId="0" applyFont="1" applyFill="1" applyBorder="1" applyAlignment="1">
      <alignment horizontal="center" vertical="center" wrapText="1"/>
    </xf>
    <xf numFmtId="0" fontId="15" fillId="8" borderId="47" xfId="0" applyFont="1" applyFill="1" applyBorder="1" applyAlignment="1">
      <alignment horizontal="center" wrapText="1"/>
    </xf>
    <xf numFmtId="0" fontId="15" fillId="8" borderId="47" xfId="0" applyFont="1" applyFill="1" applyBorder="1" applyAlignment="1">
      <alignment horizontal="center" vertical="center" wrapText="1"/>
    </xf>
    <xf numFmtId="0" fontId="15" fillId="8" borderId="38" xfId="0" applyFont="1" applyFill="1" applyBorder="1" applyAlignment="1">
      <alignment horizontal="center" vertical="center" wrapText="1"/>
    </xf>
    <xf numFmtId="0" fontId="15" fillId="8" borderId="39" xfId="0" applyFont="1" applyFill="1" applyBorder="1" applyAlignment="1">
      <alignment horizontal="center" vertical="center" wrapText="1"/>
    </xf>
    <xf numFmtId="0" fontId="15" fillId="4" borderId="43" xfId="0" applyFont="1" applyFill="1" applyBorder="1" applyAlignment="1">
      <alignment horizontal="center" vertical="center" wrapText="1"/>
    </xf>
    <xf numFmtId="0" fontId="15" fillId="4" borderId="43" xfId="0" applyFont="1" applyFill="1" applyBorder="1" applyAlignment="1">
      <alignment horizontal="right" vertical="center"/>
    </xf>
    <xf numFmtId="0" fontId="20" fillId="4" borderId="43" xfId="0" applyFont="1" applyFill="1" applyBorder="1" applyAlignment="1">
      <alignment horizontal="center" vertical="center" wrapText="1"/>
    </xf>
    <xf numFmtId="0" fontId="20" fillId="4" borderId="45" xfId="0" applyFont="1" applyFill="1" applyBorder="1" applyAlignment="1">
      <alignment horizontal="center" vertical="center"/>
    </xf>
    <xf numFmtId="0" fontId="15" fillId="4" borderId="33" xfId="0" applyFont="1" applyFill="1" applyBorder="1"/>
    <xf numFmtId="0" fontId="15" fillId="4" borderId="0" xfId="0" applyFont="1" applyFill="1"/>
    <xf numFmtId="0" fontId="15" fillId="4" borderId="29" xfId="0" applyFont="1" applyFill="1" applyBorder="1"/>
    <xf numFmtId="0" fontId="15" fillId="8" borderId="3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43" fontId="15" fillId="8" borderId="0" xfId="2" applyFont="1" applyFill="1" applyBorder="1" applyAlignment="1">
      <alignment horizontal="center" vertical="center"/>
    </xf>
    <xf numFmtId="165" fontId="23" fillId="8" borderId="0" xfId="2" applyNumberFormat="1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48" xfId="0" applyFont="1" applyFill="1" applyBorder="1"/>
    <xf numFmtId="0" fontId="23" fillId="0" borderId="3" xfId="0" applyFont="1" applyBorder="1" applyAlignment="1">
      <alignment horizontal="center" vertical="center"/>
    </xf>
    <xf numFmtId="165" fontId="15" fillId="8" borderId="0" xfId="2" applyNumberFormat="1" applyFont="1" applyFill="1" applyBorder="1" applyAlignment="1">
      <alignment horizontal="center" vertical="center"/>
    </xf>
    <xf numFmtId="0" fontId="15" fillId="8" borderId="3" xfId="0" applyFont="1" applyFill="1" applyBorder="1" applyAlignment="1">
      <alignment vertical="center"/>
    </xf>
    <xf numFmtId="43" fontId="15" fillId="8" borderId="0" xfId="2" applyFont="1" applyFill="1" applyBorder="1"/>
    <xf numFmtId="165" fontId="23" fillId="8" borderId="0" xfId="2" applyNumberFormat="1" applyFont="1" applyFill="1" applyBorder="1"/>
    <xf numFmtId="0" fontId="23" fillId="0" borderId="0" xfId="0" applyFont="1"/>
    <xf numFmtId="0" fontId="22" fillId="8" borderId="0" xfId="0" applyFont="1" applyFill="1" applyAlignment="1">
      <alignment horizontal="left"/>
    </xf>
    <xf numFmtId="0" fontId="11" fillId="8" borderId="0" xfId="0" applyFont="1" applyFill="1" applyAlignment="1">
      <alignment horizontal="center"/>
    </xf>
    <xf numFmtId="0" fontId="24" fillId="8" borderId="50" xfId="0" applyFont="1" applyFill="1" applyBorder="1" applyAlignment="1">
      <alignment horizontal="center" vertical="top"/>
    </xf>
    <xf numFmtId="0" fontId="23" fillId="8" borderId="0" xfId="0" applyFont="1" applyFill="1" applyAlignment="1">
      <alignment horizontal="center" vertical="center"/>
    </xf>
    <xf numFmtId="0" fontId="23" fillId="8" borderId="0" xfId="0" applyFont="1" applyFill="1"/>
    <xf numFmtId="0" fontId="8" fillId="12" borderId="18" xfId="0" applyFont="1" applyFill="1" applyBorder="1" applyAlignment="1">
      <alignment horizontal="right"/>
    </xf>
    <xf numFmtId="0" fontId="15" fillId="4" borderId="30" xfId="0" applyFont="1" applyFill="1" applyBorder="1"/>
    <xf numFmtId="0" fontId="15" fillId="8" borderId="18" xfId="0" applyFont="1" applyFill="1" applyBorder="1" applyAlignment="1">
      <alignment horizontal="center" vertical="center"/>
    </xf>
    <xf numFmtId="0" fontId="13" fillId="4" borderId="1" xfId="0" applyFont="1" applyFill="1" applyBorder="1" applyAlignment="1" applyProtection="1">
      <alignment horizontal="center"/>
      <protection locked="0"/>
    </xf>
    <xf numFmtId="0" fontId="13" fillId="13" borderId="1" xfId="0" applyFont="1" applyFill="1" applyBorder="1" applyAlignment="1" applyProtection="1">
      <alignment horizontal="center"/>
      <protection locked="0"/>
    </xf>
    <xf numFmtId="0" fontId="13" fillId="8" borderId="0" xfId="0" applyFont="1" applyFill="1" applyProtection="1">
      <protection locked="0"/>
    </xf>
    <xf numFmtId="0" fontId="25" fillId="0" borderId="0" xfId="4"/>
    <xf numFmtId="0" fontId="15" fillId="2" borderId="1" xfId="0" applyFont="1" applyFill="1" applyBorder="1"/>
    <xf numFmtId="0" fontId="1" fillId="14" borderId="1" xfId="0" applyFont="1" applyFill="1" applyBorder="1"/>
    <xf numFmtId="0" fontId="1" fillId="4" borderId="21" xfId="0" applyFont="1" applyFill="1" applyBorder="1"/>
    <xf numFmtId="0" fontId="1" fillId="6" borderId="21" xfId="0" applyFont="1" applyFill="1" applyBorder="1"/>
    <xf numFmtId="0" fontId="1" fillId="3" borderId="21" xfId="0" applyFont="1" applyFill="1" applyBorder="1"/>
    <xf numFmtId="0" fontId="1" fillId="2" borderId="21" xfId="0" applyFont="1" applyFill="1" applyBorder="1"/>
    <xf numFmtId="0" fontId="1" fillId="4" borderId="31" xfId="0" applyFont="1" applyFill="1" applyBorder="1"/>
    <xf numFmtId="0" fontId="15" fillId="8" borderId="23" xfId="0" applyFont="1" applyFill="1" applyBorder="1"/>
    <xf numFmtId="0" fontId="1" fillId="0" borderId="1" xfId="0" applyFont="1" applyBorder="1" applyAlignment="1">
      <alignment horizontal="left"/>
    </xf>
    <xf numFmtId="0" fontId="27" fillId="12" borderId="51" xfId="0" applyFont="1" applyFill="1" applyBorder="1" applyAlignment="1">
      <alignment horizontal="center" vertical="center"/>
    </xf>
    <xf numFmtId="0" fontId="28" fillId="12" borderId="52" xfId="0" applyFont="1" applyFill="1" applyBorder="1" applyAlignment="1">
      <alignment horizontal="center" vertical="center"/>
    </xf>
    <xf numFmtId="0" fontId="21" fillId="8" borderId="0" xfId="0" applyFont="1" applyFill="1" applyAlignment="1">
      <alignment horizontal="center" vertical="center"/>
    </xf>
    <xf numFmtId="0" fontId="1" fillId="0" borderId="10" xfId="0" applyFont="1" applyBorder="1" applyAlignment="1">
      <alignment horizontal="left"/>
    </xf>
    <xf numFmtId="0" fontId="1" fillId="0" borderId="14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0" fontId="2" fillId="0" borderId="12" xfId="0" applyFont="1" applyBorder="1" applyAlignment="1">
      <alignment horizontal="left" vertical="top" wrapText="1"/>
    </xf>
    <xf numFmtId="0" fontId="2" fillId="0" borderId="13" xfId="0" applyFont="1" applyBorder="1" applyAlignment="1">
      <alignment horizontal="left" vertical="top" wrapText="1"/>
    </xf>
    <xf numFmtId="0" fontId="2" fillId="0" borderId="10" xfId="0" applyFont="1" applyBorder="1" applyAlignment="1">
      <alignment horizontal="left" vertical="top" wrapText="1"/>
    </xf>
    <xf numFmtId="0" fontId="2" fillId="0" borderId="11" xfId="0" applyFont="1" applyBorder="1" applyAlignment="1">
      <alignment horizontal="left" vertical="top" wrapText="1"/>
    </xf>
    <xf numFmtId="0" fontId="2" fillId="0" borderId="6" xfId="0" applyFont="1" applyBorder="1" applyAlignment="1">
      <alignment vertical="top" wrapText="1"/>
    </xf>
    <xf numFmtId="0" fontId="2" fillId="0" borderId="5" xfId="0" applyFont="1" applyBorder="1" applyAlignment="1">
      <alignment vertical="top" wrapText="1"/>
    </xf>
    <xf numFmtId="0" fontId="2" fillId="0" borderId="53" xfId="0" applyFont="1" applyBorder="1" applyAlignment="1">
      <alignment vertical="top" wrapText="1"/>
    </xf>
    <xf numFmtId="0" fontId="2" fillId="0" borderId="9" xfId="0" applyFont="1" applyBorder="1" applyAlignment="1">
      <alignment vertical="top" wrapText="1"/>
    </xf>
    <xf numFmtId="0" fontId="2" fillId="0" borderId="7" xfId="0" applyFont="1" applyBorder="1" applyAlignment="1">
      <alignment vertical="top" wrapText="1"/>
    </xf>
    <xf numFmtId="0" fontId="2" fillId="0" borderId="8" xfId="0" applyFont="1" applyBorder="1" applyAlignment="1">
      <alignment vertical="top" wrapText="1"/>
    </xf>
    <xf numFmtId="0" fontId="16" fillId="8" borderId="0" xfId="0" applyFont="1" applyFill="1" applyAlignment="1">
      <alignment horizontal="center" vertical="center"/>
    </xf>
    <xf numFmtId="0" fontId="17" fillId="8" borderId="0" xfId="0" applyFont="1" applyFill="1" applyAlignment="1">
      <alignment horizontal="center" vertical="center"/>
    </xf>
    <xf numFmtId="0" fontId="15" fillId="8" borderId="49" xfId="0" applyFont="1" applyFill="1" applyBorder="1" applyAlignment="1">
      <alignment horizontal="center" vertical="center" wrapText="1"/>
    </xf>
    <xf numFmtId="0" fontId="15" fillId="8" borderId="50" xfId="0" applyFont="1" applyFill="1" applyBorder="1" applyAlignment="1">
      <alignment horizontal="center" vertical="center" wrapText="1"/>
    </xf>
  </cellXfs>
  <cellStyles count="9">
    <cellStyle name="Comma" xfId="2" builtinId="3"/>
    <cellStyle name="Comma0" xfId="5" xr:uid="{00000000-0005-0000-0000-000001000000}"/>
    <cellStyle name="Currency" xfId="3" builtinId="4"/>
    <cellStyle name="Currency0" xfId="6" xr:uid="{00000000-0005-0000-0000-000003000000}"/>
    <cellStyle name="Date" xfId="7" xr:uid="{00000000-0005-0000-0000-000004000000}"/>
    <cellStyle name="Fixed" xfId="8" xr:uid="{00000000-0005-0000-0000-000005000000}"/>
    <cellStyle name="Normal" xfId="0" builtinId="0"/>
    <cellStyle name="Normal 2" xfId="1" xr:uid="{00000000-0005-0000-0000-000007000000}"/>
    <cellStyle name="Normal 3" xfId="4" xr:uid="{00000000-0005-0000-0000-000008000000}"/>
  </cellStyles>
  <dxfs count="312"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</dxfs>
  <tableStyles count="0" defaultTableStyle="TableStyleMedium9" defaultPivotStyle="PivotStyleLight16"/>
  <colors>
    <mruColors>
      <color rgb="FF7BF97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93</xdr:col>
      <xdr:colOff>829236</xdr:colOff>
      <xdr:row>3</xdr:row>
      <xdr:rowOff>123264</xdr:rowOff>
    </xdr:from>
    <xdr:to>
      <xdr:col>96</xdr:col>
      <xdr:colOff>369795</xdr:colOff>
      <xdr:row>12</xdr:row>
      <xdr:rowOff>123265</xdr:rowOff>
    </xdr:to>
    <xdr:sp macro="" textlink="">
      <xdr:nvSpPr>
        <xdr:cNvPr id="2" name="Vertical Scroll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6880412" y="1098176"/>
          <a:ext cx="2039471" cy="2319618"/>
        </a:xfrm>
        <a:prstGeom prst="verticalScroll">
          <a:avLst/>
        </a:prstGeom>
        <a:noFill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boobathi\Desktop\Data\Wedl%20check%20-%20C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ction Properties"/>
      <sheetName val="r &amp; Er2"/>
      <sheetName val="TEMPLATE (2)"/>
      <sheetName val="TEMPLATE"/>
    </sheetNames>
    <sheetDataSet>
      <sheetData sheetId="0">
        <row r="6">
          <cell r="B6" t="str">
            <v>UB 1016x305x487</v>
          </cell>
        </row>
        <row r="7">
          <cell r="B7" t="str">
            <v>UB 1016x305x438</v>
          </cell>
        </row>
        <row r="8">
          <cell r="B8" t="str">
            <v>UB 1016x305x393</v>
          </cell>
        </row>
        <row r="9">
          <cell r="B9" t="str">
            <v>UB 1016x305x349</v>
          </cell>
        </row>
        <row r="10">
          <cell r="B10" t="str">
            <v>UB 1016x305x314</v>
          </cell>
        </row>
        <row r="11">
          <cell r="B11" t="str">
            <v>UB 1016x305x272</v>
          </cell>
        </row>
        <row r="12">
          <cell r="B12" t="str">
            <v>UB 1016x305x249</v>
          </cell>
        </row>
        <row r="13">
          <cell r="B13" t="str">
            <v>UB 1016x305x222</v>
          </cell>
        </row>
        <row r="15">
          <cell r="B15" t="str">
            <v>UB 914x419x388</v>
          </cell>
        </row>
        <row r="16">
          <cell r="B16" t="str">
            <v>UB 914x419x343</v>
          </cell>
        </row>
        <row r="18">
          <cell r="B18" t="str">
            <v>UB 914x305x289</v>
          </cell>
        </row>
        <row r="19">
          <cell r="B19" t="str">
            <v>UB 914x305x253</v>
          </cell>
        </row>
        <row r="20">
          <cell r="B20" t="str">
            <v>UB 914x305x224</v>
          </cell>
        </row>
        <row r="21">
          <cell r="B21" t="str">
            <v>UB 914x305x201</v>
          </cell>
        </row>
        <row r="23">
          <cell r="B23" t="str">
            <v>UB 838x292x226</v>
          </cell>
        </row>
        <row r="24">
          <cell r="B24" t="str">
            <v>UB 838x292x194</v>
          </cell>
        </row>
        <row r="25">
          <cell r="B25" t="str">
            <v>UB 838x292x176</v>
          </cell>
        </row>
        <row r="27">
          <cell r="B27" t="str">
            <v>UB 762x267x197</v>
          </cell>
        </row>
        <row r="28">
          <cell r="B28" t="str">
            <v>UB 762x267x173</v>
          </cell>
        </row>
        <row r="29">
          <cell r="B29" t="str">
            <v>UB 762x267x147</v>
          </cell>
        </row>
        <row r="30">
          <cell r="B30" t="str">
            <v>UB 762x267x134</v>
          </cell>
        </row>
        <row r="32">
          <cell r="B32" t="str">
            <v>UB 686x254x170</v>
          </cell>
        </row>
        <row r="33">
          <cell r="B33" t="str">
            <v>UB 686x254x152</v>
          </cell>
        </row>
        <row r="34">
          <cell r="B34" t="str">
            <v>UB 686x254x140</v>
          </cell>
        </row>
        <row r="35">
          <cell r="B35" t="str">
            <v>UB 686x254x125</v>
          </cell>
        </row>
        <row r="37">
          <cell r="B37" t="str">
            <v>UB 610x305x238</v>
          </cell>
        </row>
        <row r="38">
          <cell r="B38" t="str">
            <v>UB 610x305x179</v>
          </cell>
        </row>
        <row r="39">
          <cell r="B39" t="str">
            <v>UB 610x305x149</v>
          </cell>
        </row>
        <row r="41">
          <cell r="B41" t="str">
            <v>UB 610x229x140</v>
          </cell>
        </row>
        <row r="42">
          <cell r="B42" t="str">
            <v>UB 610x229x125</v>
          </cell>
        </row>
        <row r="43">
          <cell r="B43" t="str">
            <v>UB 610x229x113</v>
          </cell>
        </row>
        <row r="44">
          <cell r="B44" t="str">
            <v>UB 610x229x101</v>
          </cell>
        </row>
        <row r="46">
          <cell r="B46" t="str">
            <v>UB 533x210x122</v>
          </cell>
        </row>
        <row r="47">
          <cell r="B47" t="str">
            <v>UB 533x210x109</v>
          </cell>
        </row>
        <row r="48">
          <cell r="B48" t="str">
            <v>UB 533x210x101</v>
          </cell>
        </row>
        <row r="49">
          <cell r="B49" t="str">
            <v>UB 533x210x92</v>
          </cell>
        </row>
        <row r="50">
          <cell r="B50" t="str">
            <v>UB 533x210x82</v>
          </cell>
        </row>
        <row r="52">
          <cell r="B52" t="str">
            <v>UB 457x191x98</v>
          </cell>
        </row>
        <row r="53">
          <cell r="B53" t="str">
            <v>UB 457x191x89</v>
          </cell>
        </row>
        <row r="54">
          <cell r="B54" t="str">
            <v>UB 457x191x82</v>
          </cell>
        </row>
        <row r="55">
          <cell r="B55" t="str">
            <v>UB 457x191x74</v>
          </cell>
        </row>
        <row r="56">
          <cell r="B56" t="str">
            <v>UB 457x191x67</v>
          </cell>
        </row>
        <row r="58">
          <cell r="B58" t="str">
            <v>UB 457x152x82</v>
          </cell>
        </row>
        <row r="59">
          <cell r="B59" t="str">
            <v>UB 457x152x74</v>
          </cell>
        </row>
        <row r="60">
          <cell r="B60" t="str">
            <v>UB 457x152x67</v>
          </cell>
        </row>
        <row r="61">
          <cell r="B61" t="str">
            <v>UB 457x152x60</v>
          </cell>
        </row>
        <row r="62">
          <cell r="B62" t="str">
            <v>UB 457x152x52</v>
          </cell>
        </row>
        <row r="64">
          <cell r="B64" t="str">
            <v>UB 406x178x74</v>
          </cell>
        </row>
        <row r="65">
          <cell r="B65" t="str">
            <v>UB 406x178x67</v>
          </cell>
        </row>
        <row r="66">
          <cell r="B66" t="str">
            <v>UB 406x178x60</v>
          </cell>
        </row>
        <row r="67">
          <cell r="B67" t="str">
            <v>UB 406x178x54</v>
          </cell>
        </row>
        <row r="69">
          <cell r="B69" t="str">
            <v>UB 406x140x46</v>
          </cell>
        </row>
        <row r="70">
          <cell r="B70" t="str">
            <v>UB 406x140x39</v>
          </cell>
        </row>
        <row r="72">
          <cell r="B72" t="str">
            <v>UB 356x171x67</v>
          </cell>
        </row>
        <row r="73">
          <cell r="B73" t="str">
            <v>UB 356x171x57</v>
          </cell>
        </row>
        <row r="74">
          <cell r="B74" t="str">
            <v>UB 356x171x51</v>
          </cell>
        </row>
        <row r="75">
          <cell r="B75" t="str">
            <v>UB 356x171x45</v>
          </cell>
        </row>
        <row r="77">
          <cell r="B77" t="str">
            <v>UB 356x127x39</v>
          </cell>
        </row>
        <row r="78">
          <cell r="B78" t="str">
            <v>UB 356x127x33</v>
          </cell>
        </row>
        <row r="80">
          <cell r="B80" t="str">
            <v>UB 356x165x54</v>
          </cell>
        </row>
        <row r="81">
          <cell r="B81" t="str">
            <v>UB 356x165x46</v>
          </cell>
        </row>
        <row r="82">
          <cell r="B82" t="str">
            <v>UB 356x165x40</v>
          </cell>
        </row>
        <row r="84">
          <cell r="B84" t="str">
            <v>UB 305x127x48</v>
          </cell>
        </row>
        <row r="85">
          <cell r="B85" t="str">
            <v>UB 305x127x42</v>
          </cell>
        </row>
        <row r="86">
          <cell r="B86" t="str">
            <v>UB 305x127x37</v>
          </cell>
        </row>
        <row r="88">
          <cell r="B88" t="str">
            <v>UB 305x102x33</v>
          </cell>
        </row>
        <row r="89">
          <cell r="B89" t="str">
            <v>UB 305x102x28</v>
          </cell>
        </row>
        <row r="90">
          <cell r="B90" t="str">
            <v>UB 305x102x25</v>
          </cell>
        </row>
        <row r="92">
          <cell r="B92" t="str">
            <v>UB 254x146x43</v>
          </cell>
        </row>
        <row r="93">
          <cell r="B93" t="str">
            <v>UB 254x146x37</v>
          </cell>
        </row>
        <row r="94">
          <cell r="B94" t="str">
            <v>UB 254x146x31</v>
          </cell>
        </row>
        <row r="96">
          <cell r="B96" t="str">
            <v>UB 254x102x28</v>
          </cell>
        </row>
        <row r="97">
          <cell r="B97" t="str">
            <v>UB 254x102x25</v>
          </cell>
        </row>
        <row r="98">
          <cell r="B98" t="str">
            <v>UB 254x102x22</v>
          </cell>
        </row>
        <row r="100">
          <cell r="B100" t="str">
            <v>UB 203x133x30</v>
          </cell>
        </row>
        <row r="101">
          <cell r="B101" t="str">
            <v>UB 203x133x25</v>
          </cell>
        </row>
        <row r="103">
          <cell r="B103" t="str">
            <v>UB 203x102x23</v>
          </cell>
        </row>
        <row r="104">
          <cell r="B104" t="str">
            <v>UB 178x102x19</v>
          </cell>
        </row>
        <row r="105">
          <cell r="B105" t="str">
            <v>UB 152x89x16</v>
          </cell>
        </row>
        <row r="106">
          <cell r="B106" t="str">
            <v>UB 127x76x13</v>
          </cell>
        </row>
        <row r="111">
          <cell r="B111" t="str">
            <v>UC 356x406x634</v>
          </cell>
        </row>
        <row r="112">
          <cell r="B112" t="str">
            <v>UC 356x406x551</v>
          </cell>
        </row>
        <row r="113">
          <cell r="B113" t="str">
            <v>UC 356x406x467</v>
          </cell>
        </row>
        <row r="114">
          <cell r="B114" t="str">
            <v>UC 356x406x393</v>
          </cell>
        </row>
        <row r="115">
          <cell r="B115" t="str">
            <v>UC 356x406x340</v>
          </cell>
        </row>
        <row r="116">
          <cell r="B116" t="str">
            <v>UC 356x406x287</v>
          </cell>
        </row>
        <row r="117">
          <cell r="B117" t="str">
            <v>UC 356x406x235</v>
          </cell>
        </row>
        <row r="119">
          <cell r="B119" t="str">
            <v>UC 356x368x202</v>
          </cell>
        </row>
        <row r="120">
          <cell r="B120" t="str">
            <v>UC 356x368x177</v>
          </cell>
        </row>
        <row r="121">
          <cell r="B121" t="str">
            <v>UC 356x368x153</v>
          </cell>
        </row>
        <row r="122">
          <cell r="B122" t="str">
            <v>UC 356x368x129</v>
          </cell>
        </row>
        <row r="124">
          <cell r="B124" t="str">
            <v>UC 305x305x283</v>
          </cell>
        </row>
        <row r="125">
          <cell r="B125" t="str">
            <v>UC 305x305x240</v>
          </cell>
        </row>
        <row r="126">
          <cell r="B126" t="str">
            <v>UC 305x305x198</v>
          </cell>
        </row>
        <row r="127">
          <cell r="B127" t="str">
            <v>UC 305x305x158</v>
          </cell>
        </row>
        <row r="128">
          <cell r="B128" t="str">
            <v>UC 305x305x137</v>
          </cell>
        </row>
        <row r="129">
          <cell r="B129" t="str">
            <v>UC 305x305x118</v>
          </cell>
        </row>
        <row r="130">
          <cell r="B130" t="str">
            <v>UC 305x305x97</v>
          </cell>
        </row>
        <row r="132">
          <cell r="B132" t="str">
            <v>UC 254x254x167</v>
          </cell>
        </row>
        <row r="133">
          <cell r="B133" t="str">
            <v>UC 254x254x132</v>
          </cell>
        </row>
        <row r="134">
          <cell r="B134" t="str">
            <v>UC 254x254x107</v>
          </cell>
        </row>
        <row r="135">
          <cell r="B135" t="str">
            <v>UC 254x254x89</v>
          </cell>
        </row>
        <row r="136">
          <cell r="B136" t="str">
            <v>UC 254x254x73</v>
          </cell>
        </row>
        <row r="138">
          <cell r="B138" t="str">
            <v>UC 203x203x86</v>
          </cell>
        </row>
        <row r="139">
          <cell r="B139" t="str">
            <v>UC 203x203x71</v>
          </cell>
        </row>
        <row r="140">
          <cell r="B140" t="str">
            <v>UC 203x203x60</v>
          </cell>
        </row>
        <row r="141">
          <cell r="B141" t="str">
            <v>UC 203x203x52</v>
          </cell>
        </row>
        <row r="142">
          <cell r="B142" t="str">
            <v>UC 203x203x46</v>
          </cell>
        </row>
        <row r="144">
          <cell r="B144" t="str">
            <v>UC 152x152x37</v>
          </cell>
        </row>
        <row r="145">
          <cell r="B145" t="str">
            <v>UC 152x152x30</v>
          </cell>
        </row>
        <row r="146">
          <cell r="B146" t="str">
            <v>UC 152x152x23</v>
          </cell>
        </row>
        <row r="151">
          <cell r="B151" t="str">
            <v>W44X335</v>
          </cell>
        </row>
        <row r="152">
          <cell r="B152" t="str">
            <v>W44X290</v>
          </cell>
        </row>
        <row r="153">
          <cell r="B153" t="str">
            <v>W44X262</v>
          </cell>
        </row>
        <row r="154">
          <cell r="B154" t="str">
            <v>W44X230</v>
          </cell>
        </row>
        <row r="156">
          <cell r="B156" t="str">
            <v>W40X593</v>
          </cell>
        </row>
        <row r="157">
          <cell r="B157" t="str">
            <v>W40X503</v>
          </cell>
        </row>
        <row r="158">
          <cell r="B158" t="str">
            <v>W40X431</v>
          </cell>
        </row>
        <row r="159">
          <cell r="B159" t="str">
            <v>W40X397</v>
          </cell>
        </row>
        <row r="160">
          <cell r="B160" t="str">
            <v>W40X372</v>
          </cell>
        </row>
        <row r="161">
          <cell r="B161" t="str">
            <v>W40X362</v>
          </cell>
        </row>
        <row r="162">
          <cell r="B162" t="str">
            <v>W40X324</v>
          </cell>
        </row>
        <row r="163">
          <cell r="B163" t="str">
            <v>W40X297</v>
          </cell>
        </row>
        <row r="164">
          <cell r="B164" t="str">
            <v>W40X277</v>
          </cell>
        </row>
        <row r="165">
          <cell r="B165" t="str">
            <v>W40X249</v>
          </cell>
        </row>
        <row r="166">
          <cell r="B166" t="str">
            <v>W40X215</v>
          </cell>
        </row>
        <row r="167">
          <cell r="B167" t="str">
            <v>W40X199</v>
          </cell>
        </row>
        <row r="168">
          <cell r="B168" t="str">
            <v>W40X392</v>
          </cell>
        </row>
        <row r="169">
          <cell r="B169" t="str">
            <v>W40X331</v>
          </cell>
        </row>
        <row r="170">
          <cell r="B170" t="str">
            <v>W40X327</v>
          </cell>
        </row>
        <row r="171">
          <cell r="B171" t="str">
            <v>W40X294</v>
          </cell>
        </row>
        <row r="172">
          <cell r="B172" t="str">
            <v>W40X278</v>
          </cell>
        </row>
        <row r="173">
          <cell r="B173" t="str">
            <v>W40X264</v>
          </cell>
        </row>
        <row r="174">
          <cell r="B174" t="str">
            <v>W40X235</v>
          </cell>
        </row>
        <row r="175">
          <cell r="B175" t="str">
            <v>W40X211</v>
          </cell>
        </row>
        <row r="176">
          <cell r="B176" t="str">
            <v>W40X183</v>
          </cell>
        </row>
        <row r="177">
          <cell r="B177" t="str">
            <v>W40X167</v>
          </cell>
        </row>
        <row r="178">
          <cell r="B178" t="str">
            <v>W40X149</v>
          </cell>
        </row>
        <row r="180">
          <cell r="B180" t="str">
            <v>W36X800</v>
          </cell>
        </row>
        <row r="181">
          <cell r="B181" t="str">
            <v>W36X652</v>
          </cell>
        </row>
        <row r="182">
          <cell r="B182" t="str">
            <v>W36X529</v>
          </cell>
        </row>
        <row r="183">
          <cell r="B183" t="str">
            <v>W36X487</v>
          </cell>
        </row>
        <row r="184">
          <cell r="B184" t="str">
            <v>W36X441</v>
          </cell>
        </row>
        <row r="185">
          <cell r="B185" t="str">
            <v>W36X395</v>
          </cell>
        </row>
        <row r="186">
          <cell r="B186" t="str">
            <v>W36X361</v>
          </cell>
        </row>
        <row r="187">
          <cell r="B187" t="str">
            <v>W36X330</v>
          </cell>
        </row>
        <row r="188">
          <cell r="B188" t="str">
            <v>W36X302</v>
          </cell>
        </row>
        <row r="189">
          <cell r="B189" t="str">
            <v>W36X282</v>
          </cell>
        </row>
        <row r="190">
          <cell r="B190" t="str">
            <v>W36X262</v>
          </cell>
        </row>
        <row r="191">
          <cell r="B191" t="str">
            <v>W36X247</v>
          </cell>
        </row>
        <row r="192">
          <cell r="B192" t="str">
            <v>W36X231</v>
          </cell>
        </row>
        <row r="193">
          <cell r="B193" t="str">
            <v>W36X256</v>
          </cell>
        </row>
        <row r="194">
          <cell r="B194" t="str">
            <v>W36X232</v>
          </cell>
        </row>
        <row r="195">
          <cell r="B195" t="str">
            <v>W36X210</v>
          </cell>
        </row>
        <row r="196">
          <cell r="B196" t="str">
            <v>W36X194</v>
          </cell>
        </row>
        <row r="197">
          <cell r="B197" t="str">
            <v>W36X182</v>
          </cell>
        </row>
        <row r="198">
          <cell r="B198" t="str">
            <v>W36X170</v>
          </cell>
        </row>
        <row r="199">
          <cell r="B199" t="str">
            <v>W36X160</v>
          </cell>
        </row>
        <row r="200">
          <cell r="B200" t="str">
            <v>W36X150</v>
          </cell>
        </row>
        <row r="201">
          <cell r="B201" t="str">
            <v>W36X135</v>
          </cell>
        </row>
        <row r="203">
          <cell r="B203" t="str">
            <v>W33X387</v>
          </cell>
        </row>
        <row r="204">
          <cell r="B204" t="str">
            <v>W33X354</v>
          </cell>
        </row>
        <row r="205">
          <cell r="B205" t="str">
            <v>W33X318</v>
          </cell>
        </row>
        <row r="206">
          <cell r="B206" t="str">
            <v>W33X291</v>
          </cell>
        </row>
        <row r="207">
          <cell r="B207" t="str">
            <v>W33X263</v>
          </cell>
        </row>
        <row r="208">
          <cell r="B208" t="str">
            <v>W33X241</v>
          </cell>
        </row>
        <row r="209">
          <cell r="B209" t="str">
            <v>W33X221</v>
          </cell>
        </row>
        <row r="210">
          <cell r="B210" t="str">
            <v>W33X201</v>
          </cell>
        </row>
        <row r="211">
          <cell r="B211" t="str">
            <v>W33X169</v>
          </cell>
        </row>
        <row r="212">
          <cell r="B212" t="str">
            <v>W33X152</v>
          </cell>
        </row>
        <row r="213">
          <cell r="B213" t="str">
            <v>W33X141</v>
          </cell>
        </row>
        <row r="214">
          <cell r="B214" t="str">
            <v>W33X130</v>
          </cell>
        </row>
        <row r="215">
          <cell r="B215" t="str">
            <v>W33X118</v>
          </cell>
        </row>
        <row r="217">
          <cell r="B217" t="str">
            <v>W30X391</v>
          </cell>
        </row>
        <row r="218">
          <cell r="B218" t="str">
            <v>W30X357</v>
          </cell>
        </row>
        <row r="219">
          <cell r="B219" t="str">
            <v>W30X326</v>
          </cell>
        </row>
        <row r="220">
          <cell r="B220" t="str">
            <v>W30X292</v>
          </cell>
        </row>
        <row r="221">
          <cell r="B221" t="str">
            <v>W30X261</v>
          </cell>
        </row>
        <row r="222">
          <cell r="B222" t="str">
            <v>W30X235</v>
          </cell>
        </row>
        <row r="223">
          <cell r="B223" t="str">
            <v>W30X211</v>
          </cell>
        </row>
        <row r="224">
          <cell r="B224" t="str">
            <v>W30X191</v>
          </cell>
        </row>
        <row r="225">
          <cell r="B225" t="str">
            <v>W30X173</v>
          </cell>
        </row>
        <row r="226">
          <cell r="B226" t="str">
            <v>W30X148</v>
          </cell>
        </row>
        <row r="227">
          <cell r="B227" t="str">
            <v>W30X132</v>
          </cell>
        </row>
        <row r="228">
          <cell r="B228" t="str">
            <v>W30X124</v>
          </cell>
        </row>
        <row r="229">
          <cell r="B229" t="str">
            <v>W30X116</v>
          </cell>
        </row>
        <row r="230">
          <cell r="B230" t="str">
            <v>W30X108</v>
          </cell>
        </row>
        <row r="231">
          <cell r="B231" t="str">
            <v>W30X99</v>
          </cell>
        </row>
        <row r="232">
          <cell r="B232" t="str">
            <v>W30X90</v>
          </cell>
        </row>
        <row r="234">
          <cell r="B234" t="str">
            <v>W27X539</v>
          </cell>
        </row>
        <row r="235">
          <cell r="B235" t="str">
            <v>W27X368</v>
          </cell>
        </row>
        <row r="236">
          <cell r="B236" t="str">
            <v>W27X336</v>
          </cell>
        </row>
        <row r="237">
          <cell r="B237" t="str">
            <v>W27X307</v>
          </cell>
        </row>
        <row r="238">
          <cell r="B238" t="str">
            <v>W27X281</v>
          </cell>
        </row>
        <row r="239">
          <cell r="B239" t="str">
            <v>W27X258</v>
          </cell>
        </row>
        <row r="240">
          <cell r="B240" t="str">
            <v>W27X235</v>
          </cell>
        </row>
        <row r="241">
          <cell r="B241" t="str">
            <v>W27X217</v>
          </cell>
        </row>
        <row r="242">
          <cell r="B242" t="str">
            <v>W27X194</v>
          </cell>
        </row>
        <row r="243">
          <cell r="B243" t="str">
            <v>W27X178</v>
          </cell>
        </row>
        <row r="244">
          <cell r="B244" t="str">
            <v>W27X161</v>
          </cell>
        </row>
        <row r="245">
          <cell r="B245" t="str">
            <v>W27X146</v>
          </cell>
        </row>
        <row r="246">
          <cell r="B246" t="str">
            <v>W27X129</v>
          </cell>
        </row>
        <row r="247">
          <cell r="B247" t="str">
            <v>W27X114</v>
          </cell>
        </row>
        <row r="248">
          <cell r="B248" t="str">
            <v>W27X102</v>
          </cell>
        </row>
        <row r="249">
          <cell r="B249" t="str">
            <v>W27X94</v>
          </cell>
        </row>
        <row r="250">
          <cell r="B250" t="str">
            <v>W27X84</v>
          </cell>
        </row>
        <row r="252">
          <cell r="B252" t="str">
            <v>W24X370</v>
          </cell>
        </row>
        <row r="253">
          <cell r="B253" t="str">
            <v>W24X335</v>
          </cell>
        </row>
        <row r="254">
          <cell r="B254" t="str">
            <v>W24X306</v>
          </cell>
        </row>
        <row r="255">
          <cell r="B255" t="str">
            <v>W24X279</v>
          </cell>
        </row>
        <row r="256">
          <cell r="B256" t="str">
            <v>W24X250</v>
          </cell>
        </row>
        <row r="257">
          <cell r="B257" t="str">
            <v>W24X229</v>
          </cell>
        </row>
        <row r="258">
          <cell r="B258" t="str">
            <v>W24X207</v>
          </cell>
        </row>
        <row r="259">
          <cell r="B259" t="str">
            <v>W24X192</v>
          </cell>
        </row>
        <row r="260">
          <cell r="B260" t="str">
            <v>W24X176</v>
          </cell>
        </row>
        <row r="261">
          <cell r="B261" t="str">
            <v>W24X162</v>
          </cell>
        </row>
        <row r="262">
          <cell r="B262" t="str">
            <v>W24X146</v>
          </cell>
        </row>
        <row r="263">
          <cell r="B263" t="str">
            <v>W24X131</v>
          </cell>
        </row>
        <row r="264">
          <cell r="B264" t="str">
            <v>W24X117</v>
          </cell>
        </row>
        <row r="265">
          <cell r="B265" t="str">
            <v>W24X104</v>
          </cell>
        </row>
        <row r="266">
          <cell r="B266" t="str">
            <v>W24X103</v>
          </cell>
        </row>
        <row r="267">
          <cell r="B267" t="str">
            <v>W24X94</v>
          </cell>
        </row>
        <row r="268">
          <cell r="B268" t="str">
            <v>W24X84</v>
          </cell>
        </row>
        <row r="269">
          <cell r="B269" t="str">
            <v>W24X76</v>
          </cell>
        </row>
        <row r="270">
          <cell r="B270" t="str">
            <v>W24X68</v>
          </cell>
        </row>
        <row r="271">
          <cell r="B271" t="str">
            <v>W24X62</v>
          </cell>
        </row>
        <row r="272">
          <cell r="B272" t="str">
            <v>W24X55</v>
          </cell>
        </row>
        <row r="274">
          <cell r="B274" t="str">
            <v>W21X201</v>
          </cell>
        </row>
        <row r="275">
          <cell r="B275" t="str">
            <v>W21X182</v>
          </cell>
        </row>
        <row r="276">
          <cell r="B276" t="str">
            <v>W21X166</v>
          </cell>
        </row>
        <row r="277">
          <cell r="B277" t="str">
            <v>W21X147</v>
          </cell>
        </row>
        <row r="278">
          <cell r="B278" t="str">
            <v>W21X132</v>
          </cell>
        </row>
        <row r="279">
          <cell r="B279" t="str">
            <v>W21X122</v>
          </cell>
        </row>
        <row r="280">
          <cell r="B280" t="str">
            <v>W21X111</v>
          </cell>
        </row>
        <row r="281">
          <cell r="B281" t="str">
            <v>W21X101</v>
          </cell>
        </row>
        <row r="282">
          <cell r="B282" t="str">
            <v>W21X93</v>
          </cell>
        </row>
        <row r="283">
          <cell r="B283" t="str">
            <v>W21X83</v>
          </cell>
        </row>
        <row r="284">
          <cell r="B284" t="str">
            <v>W21X73</v>
          </cell>
        </row>
        <row r="285">
          <cell r="B285" t="str">
            <v>W21X68</v>
          </cell>
        </row>
        <row r="286">
          <cell r="B286" t="str">
            <v>W21X62</v>
          </cell>
        </row>
        <row r="287">
          <cell r="B287" t="str">
            <v>W21X55</v>
          </cell>
        </row>
        <row r="288">
          <cell r="B288" t="str">
            <v>W21X48</v>
          </cell>
        </row>
        <row r="289">
          <cell r="B289" t="str">
            <v>W21X57</v>
          </cell>
        </row>
        <row r="290">
          <cell r="B290" t="str">
            <v>W21X50</v>
          </cell>
        </row>
        <row r="291">
          <cell r="B291" t="str">
            <v>W21X44</v>
          </cell>
        </row>
        <row r="293">
          <cell r="B293" t="str">
            <v>W18x311</v>
          </cell>
        </row>
        <row r="294">
          <cell r="B294" t="str">
            <v>W18x283</v>
          </cell>
        </row>
        <row r="295">
          <cell r="B295" t="str">
            <v>W18x258</v>
          </cell>
        </row>
        <row r="296">
          <cell r="B296" t="str">
            <v>W18x234</v>
          </cell>
        </row>
        <row r="297">
          <cell r="B297" t="str">
            <v>W18x211</v>
          </cell>
        </row>
        <row r="298">
          <cell r="B298" t="str">
            <v>W18x192</v>
          </cell>
        </row>
        <row r="299">
          <cell r="B299" t="str">
            <v>W18X175</v>
          </cell>
        </row>
        <row r="300">
          <cell r="B300" t="str">
            <v>W18X158</v>
          </cell>
        </row>
        <row r="301">
          <cell r="B301" t="str">
            <v>W18X143</v>
          </cell>
        </row>
        <row r="302">
          <cell r="B302" t="str">
            <v>W18X130</v>
          </cell>
        </row>
        <row r="303">
          <cell r="B303" t="str">
            <v>W18X119</v>
          </cell>
        </row>
        <row r="304">
          <cell r="B304" t="str">
            <v>W18X106</v>
          </cell>
        </row>
        <row r="305">
          <cell r="B305" t="str">
            <v>W18X97</v>
          </cell>
        </row>
        <row r="306">
          <cell r="B306" t="str">
            <v>W18X86</v>
          </cell>
        </row>
        <row r="307">
          <cell r="B307" t="str">
            <v>W18X76</v>
          </cell>
        </row>
        <row r="308">
          <cell r="B308" t="str">
            <v>W18X71</v>
          </cell>
        </row>
        <row r="309">
          <cell r="B309" t="str">
            <v>W18X65</v>
          </cell>
        </row>
        <row r="310">
          <cell r="B310" t="str">
            <v>W18X60</v>
          </cell>
        </row>
        <row r="311">
          <cell r="B311" t="str">
            <v>W18X55</v>
          </cell>
        </row>
        <row r="312">
          <cell r="B312" t="str">
            <v>W18X50</v>
          </cell>
        </row>
        <row r="313">
          <cell r="B313" t="str">
            <v>W18X46</v>
          </cell>
        </row>
        <row r="314">
          <cell r="B314" t="str">
            <v>W18X40</v>
          </cell>
        </row>
        <row r="315">
          <cell r="B315" t="str">
            <v>W18X35</v>
          </cell>
        </row>
        <row r="317">
          <cell r="B317" t="str">
            <v>W16X100</v>
          </cell>
        </row>
        <row r="318">
          <cell r="B318" t="str">
            <v>W16X89</v>
          </cell>
        </row>
        <row r="319">
          <cell r="B319" t="str">
            <v>W16X77</v>
          </cell>
        </row>
        <row r="320">
          <cell r="B320" t="str">
            <v>W16X67</v>
          </cell>
        </row>
        <row r="321">
          <cell r="B321" t="str">
            <v>W16X57</v>
          </cell>
        </row>
        <row r="322">
          <cell r="B322" t="str">
            <v>W16X50</v>
          </cell>
        </row>
        <row r="323">
          <cell r="B323" t="str">
            <v>W16X45</v>
          </cell>
        </row>
        <row r="324">
          <cell r="B324" t="str">
            <v>W16X40</v>
          </cell>
        </row>
        <row r="325">
          <cell r="B325" t="str">
            <v>W16X36</v>
          </cell>
        </row>
        <row r="326">
          <cell r="B326" t="str">
            <v>W16X31</v>
          </cell>
        </row>
        <row r="327">
          <cell r="B327" t="str">
            <v>W16X26</v>
          </cell>
        </row>
        <row r="329">
          <cell r="B329" t="str">
            <v>W14X730</v>
          </cell>
        </row>
        <row r="330">
          <cell r="B330" t="str">
            <v>W14X665</v>
          </cell>
        </row>
        <row r="331">
          <cell r="B331" t="str">
            <v>W14X605</v>
          </cell>
        </row>
        <row r="332">
          <cell r="B332" t="str">
            <v>W14X550</v>
          </cell>
        </row>
        <row r="333">
          <cell r="B333" t="str">
            <v>W14X500</v>
          </cell>
        </row>
        <row r="334">
          <cell r="B334" t="str">
            <v>W14X455</v>
          </cell>
        </row>
        <row r="335">
          <cell r="B335" t="str">
            <v>W14X426</v>
          </cell>
        </row>
        <row r="336">
          <cell r="B336" t="str">
            <v>W14X398</v>
          </cell>
        </row>
        <row r="337">
          <cell r="B337" t="str">
            <v>W14X370</v>
          </cell>
        </row>
        <row r="338">
          <cell r="B338" t="str">
            <v>W14X342</v>
          </cell>
        </row>
        <row r="339">
          <cell r="B339" t="str">
            <v>W14X311</v>
          </cell>
        </row>
        <row r="340">
          <cell r="B340" t="str">
            <v>W14X283</v>
          </cell>
        </row>
        <row r="341">
          <cell r="B341" t="str">
            <v>W14X257</v>
          </cell>
        </row>
        <row r="342">
          <cell r="B342" t="str">
            <v>W14X233</v>
          </cell>
        </row>
        <row r="343">
          <cell r="B343" t="str">
            <v>W14X211</v>
          </cell>
        </row>
        <row r="344">
          <cell r="B344" t="str">
            <v>W14X193</v>
          </cell>
        </row>
        <row r="345">
          <cell r="B345" t="str">
            <v>W14X176</v>
          </cell>
        </row>
        <row r="346">
          <cell r="B346" t="str">
            <v>W14X159</v>
          </cell>
        </row>
        <row r="347">
          <cell r="B347" t="str">
            <v>W14X145</v>
          </cell>
        </row>
        <row r="348">
          <cell r="B348" t="str">
            <v>W14X132</v>
          </cell>
        </row>
        <row r="349">
          <cell r="B349" t="str">
            <v>W14X120</v>
          </cell>
        </row>
        <row r="350">
          <cell r="B350" t="str">
            <v>W14X109</v>
          </cell>
        </row>
        <row r="351">
          <cell r="B351" t="str">
            <v>W14X99</v>
          </cell>
        </row>
        <row r="352">
          <cell r="B352" t="str">
            <v>W14X90</v>
          </cell>
        </row>
        <row r="353">
          <cell r="B353" t="str">
            <v>W14X82</v>
          </cell>
        </row>
        <row r="354">
          <cell r="B354" t="str">
            <v>W14X74</v>
          </cell>
        </row>
        <row r="355">
          <cell r="B355" t="str">
            <v>W14X68</v>
          </cell>
        </row>
        <row r="356">
          <cell r="B356" t="str">
            <v>W14X61</v>
          </cell>
        </row>
        <row r="357">
          <cell r="B357" t="str">
            <v>W14X53</v>
          </cell>
        </row>
        <row r="358">
          <cell r="B358" t="str">
            <v>W14X48</v>
          </cell>
        </row>
        <row r="359">
          <cell r="B359" t="str">
            <v>W14X43</v>
          </cell>
        </row>
        <row r="360">
          <cell r="B360" t="str">
            <v>W14X38</v>
          </cell>
        </row>
        <row r="361">
          <cell r="B361" t="str">
            <v>W14X34</v>
          </cell>
        </row>
        <row r="362">
          <cell r="B362" t="str">
            <v>W14X30</v>
          </cell>
        </row>
        <row r="363">
          <cell r="B363" t="str">
            <v>W14X26</v>
          </cell>
        </row>
        <row r="364">
          <cell r="B364" t="str">
            <v>W14X22</v>
          </cell>
        </row>
        <row r="366">
          <cell r="B366" t="str">
            <v>W12X336</v>
          </cell>
        </row>
        <row r="367">
          <cell r="B367" t="str">
            <v>W12X305</v>
          </cell>
        </row>
        <row r="368">
          <cell r="B368" t="str">
            <v>W12X279</v>
          </cell>
        </row>
        <row r="369">
          <cell r="B369" t="str">
            <v>W12X252</v>
          </cell>
        </row>
        <row r="370">
          <cell r="B370" t="str">
            <v>W12X230</v>
          </cell>
        </row>
        <row r="371">
          <cell r="B371" t="str">
            <v>W12X210</v>
          </cell>
        </row>
        <row r="372">
          <cell r="B372" t="str">
            <v>W12X190</v>
          </cell>
        </row>
        <row r="373">
          <cell r="B373" t="str">
            <v>W12X170</v>
          </cell>
        </row>
        <row r="374">
          <cell r="B374" t="str">
            <v>W12X152</v>
          </cell>
        </row>
        <row r="375">
          <cell r="B375" t="str">
            <v>W12X136</v>
          </cell>
        </row>
        <row r="376">
          <cell r="B376" t="str">
            <v>W12X120</v>
          </cell>
        </row>
        <row r="377">
          <cell r="B377" t="str">
            <v>W12X106</v>
          </cell>
        </row>
        <row r="378">
          <cell r="B378" t="str">
            <v>W12X96</v>
          </cell>
        </row>
        <row r="379">
          <cell r="B379" t="str">
            <v>W12X87</v>
          </cell>
        </row>
        <row r="380">
          <cell r="B380" t="str">
            <v>W12X79</v>
          </cell>
        </row>
        <row r="381">
          <cell r="B381" t="str">
            <v>W12X72</v>
          </cell>
        </row>
        <row r="382">
          <cell r="B382" t="str">
            <v>W12X65</v>
          </cell>
        </row>
        <row r="383">
          <cell r="B383" t="str">
            <v>W12X58</v>
          </cell>
        </row>
        <row r="384">
          <cell r="B384" t="str">
            <v>W12X53</v>
          </cell>
        </row>
        <row r="385">
          <cell r="B385" t="str">
            <v>W12X50</v>
          </cell>
        </row>
        <row r="386">
          <cell r="B386" t="str">
            <v>W12X45</v>
          </cell>
        </row>
        <row r="387">
          <cell r="B387" t="str">
            <v>W12X40</v>
          </cell>
        </row>
        <row r="388">
          <cell r="B388" t="str">
            <v>W12X35</v>
          </cell>
        </row>
        <row r="389">
          <cell r="B389" t="str">
            <v>W12X30</v>
          </cell>
        </row>
        <row r="390">
          <cell r="B390" t="str">
            <v>W12X26</v>
          </cell>
        </row>
        <row r="391">
          <cell r="B391" t="str">
            <v>W12X22</v>
          </cell>
        </row>
        <row r="392">
          <cell r="B392" t="str">
            <v>W12X19</v>
          </cell>
        </row>
        <row r="393">
          <cell r="B393" t="str">
            <v>W12X16</v>
          </cell>
        </row>
        <row r="394">
          <cell r="B394" t="str">
            <v>W12X14</v>
          </cell>
        </row>
        <row r="396">
          <cell r="B396" t="str">
            <v>W10X112</v>
          </cell>
        </row>
        <row r="397">
          <cell r="B397" t="str">
            <v>W10X100</v>
          </cell>
        </row>
        <row r="398">
          <cell r="B398" t="str">
            <v>W10X88</v>
          </cell>
        </row>
        <row r="399">
          <cell r="B399" t="str">
            <v>W10X77</v>
          </cell>
        </row>
        <row r="400">
          <cell r="B400" t="str">
            <v>W10X68</v>
          </cell>
        </row>
        <row r="401">
          <cell r="B401" t="str">
            <v>W10X60</v>
          </cell>
        </row>
        <row r="402">
          <cell r="B402" t="str">
            <v>W10X54</v>
          </cell>
        </row>
        <row r="403">
          <cell r="B403" t="str">
            <v>W10X49</v>
          </cell>
        </row>
        <row r="404">
          <cell r="B404" t="str">
            <v>W10X45</v>
          </cell>
        </row>
        <row r="405">
          <cell r="B405" t="str">
            <v>W10X39</v>
          </cell>
        </row>
        <row r="406">
          <cell r="B406" t="str">
            <v>W10X33</v>
          </cell>
        </row>
        <row r="407">
          <cell r="B407" t="str">
            <v>W10X30</v>
          </cell>
        </row>
        <row r="408">
          <cell r="B408" t="str">
            <v>W10X26</v>
          </cell>
        </row>
        <row r="409">
          <cell r="B409" t="str">
            <v>W10X22</v>
          </cell>
        </row>
        <row r="410">
          <cell r="B410" t="str">
            <v>W10X19</v>
          </cell>
        </row>
        <row r="411">
          <cell r="B411" t="str">
            <v>W10X17</v>
          </cell>
        </row>
        <row r="412">
          <cell r="B412" t="str">
            <v>W10X15</v>
          </cell>
        </row>
        <row r="413">
          <cell r="B413" t="str">
            <v>W10X12</v>
          </cell>
        </row>
        <row r="415">
          <cell r="B415" t="str">
            <v>W8X67</v>
          </cell>
        </row>
        <row r="416">
          <cell r="B416" t="str">
            <v>W8X58</v>
          </cell>
        </row>
        <row r="417">
          <cell r="B417" t="str">
            <v>W8X48</v>
          </cell>
        </row>
        <row r="418">
          <cell r="B418" t="str">
            <v>W8X40</v>
          </cell>
        </row>
        <row r="419">
          <cell r="B419" t="str">
            <v>W8X35</v>
          </cell>
        </row>
        <row r="420">
          <cell r="B420" t="str">
            <v>W8X31</v>
          </cell>
        </row>
        <row r="421">
          <cell r="B421" t="str">
            <v>W8X28</v>
          </cell>
        </row>
        <row r="422">
          <cell r="B422" t="str">
            <v>W8X24</v>
          </cell>
        </row>
        <row r="423">
          <cell r="B423" t="str">
            <v>W8X21</v>
          </cell>
        </row>
        <row r="424">
          <cell r="B424" t="str">
            <v>W8X18</v>
          </cell>
        </row>
        <row r="425">
          <cell r="B425" t="str">
            <v>W8X15</v>
          </cell>
        </row>
        <row r="426">
          <cell r="B426" t="str">
            <v>W8X13</v>
          </cell>
        </row>
        <row r="427">
          <cell r="B427" t="str">
            <v>W8X10</v>
          </cell>
        </row>
        <row r="429">
          <cell r="B429" t="str">
            <v>W6X25</v>
          </cell>
        </row>
        <row r="430">
          <cell r="B430" t="str">
            <v>W6X20</v>
          </cell>
        </row>
        <row r="431">
          <cell r="B431" t="str">
            <v>W6X15</v>
          </cell>
        </row>
        <row r="432">
          <cell r="B432" t="str">
            <v>W6X16</v>
          </cell>
        </row>
        <row r="433">
          <cell r="B433" t="str">
            <v>W6X12</v>
          </cell>
        </row>
        <row r="434">
          <cell r="B434" t="str">
            <v>W6X9</v>
          </cell>
        </row>
        <row r="435">
          <cell r="B435" t="str">
            <v>W6X8.5</v>
          </cell>
        </row>
        <row r="437">
          <cell r="B437" t="str">
            <v>W5X19</v>
          </cell>
        </row>
        <row r="438">
          <cell r="B438" t="str">
            <v>W5X16</v>
          </cell>
        </row>
        <row r="439">
          <cell r="B439" t="str">
            <v>W4X13</v>
          </cell>
        </row>
      </sheetData>
      <sheetData sheetId="1"/>
      <sheetData sheetId="2"/>
      <sheetData sheetId="3">
        <row r="6">
          <cell r="CV6" t="str">
            <v>Bearing Connection</v>
          </cell>
        </row>
        <row r="7">
          <cell r="CV7" t="str">
            <v>Slip Critical Connection</v>
          </cell>
        </row>
        <row r="8">
          <cell r="CN8" t="str">
            <v>A307-1</v>
          </cell>
        </row>
        <row r="9">
          <cell r="CN9" t="str">
            <v>A325-N</v>
          </cell>
        </row>
        <row r="10">
          <cell r="CV10">
            <v>16</v>
          </cell>
        </row>
        <row r="11">
          <cell r="CV11">
            <v>20</v>
          </cell>
        </row>
        <row r="12">
          <cell r="CN12" t="str">
            <v>A325-X</v>
          </cell>
          <cell r="CV12">
            <v>22</v>
          </cell>
        </row>
        <row r="13">
          <cell r="CV13">
            <v>24</v>
          </cell>
        </row>
        <row r="14">
          <cell r="CV14">
            <v>27</v>
          </cell>
        </row>
        <row r="15">
          <cell r="CN15" t="str">
            <v>A490-N</v>
          </cell>
          <cell r="CV15">
            <v>30</v>
          </cell>
        </row>
        <row r="16">
          <cell r="CV16">
            <v>36</v>
          </cell>
        </row>
        <row r="18">
          <cell r="CN18" t="str">
            <v>A490-X</v>
          </cell>
        </row>
        <row r="21">
          <cell r="CN21" t="str">
            <v>Bolt-1</v>
          </cell>
        </row>
        <row r="26">
          <cell r="CN26" t="str">
            <v>Bolt-2</v>
          </cell>
        </row>
        <row r="36">
          <cell r="CO36" t="str">
            <v>Grade 42</v>
          </cell>
          <cell r="CQ36" t="str">
            <v>Standard Size Holes</v>
          </cell>
        </row>
        <row r="37">
          <cell r="CO37" t="str">
            <v>Grade 50</v>
          </cell>
          <cell r="CQ37" t="str">
            <v>Oversized Holes</v>
          </cell>
        </row>
        <row r="38">
          <cell r="CO38" t="str">
            <v>Grade 55</v>
          </cell>
          <cell r="CQ38" t="str">
            <v>Short-Slotted Holes</v>
          </cell>
        </row>
        <row r="39">
          <cell r="CO39" t="str">
            <v>Grade 60</v>
          </cell>
          <cell r="CQ39" t="str">
            <v>Long-Slotted Holes</v>
          </cell>
        </row>
        <row r="40">
          <cell r="CO40" t="str">
            <v>Grade 65</v>
          </cell>
        </row>
        <row r="45">
          <cell r="CQ45" t="str">
            <v>Class A</v>
          </cell>
        </row>
        <row r="46">
          <cell r="CQ46" t="str">
            <v>Class B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B050"/>
  </sheetPr>
  <dimension ref="A1:DQ296"/>
  <sheetViews>
    <sheetView topLeftCell="BF9" zoomScaleSheetLayoutView="85" workbookViewId="0">
      <selection activeCell="BU17" sqref="BU17"/>
    </sheetView>
  </sheetViews>
  <sheetFormatPr defaultColWidth="9.109375" defaultRowHeight="20.399999999999999" x14ac:dyDescent="0.45"/>
  <cols>
    <col min="1" max="22" width="8.109375" style="1" customWidth="1"/>
    <col min="23" max="27" width="5.109375" style="1" customWidth="1"/>
    <col min="28" max="31" width="2.5546875" style="1" customWidth="1"/>
    <col min="32" max="37" width="8.109375" style="1" customWidth="1"/>
    <col min="38" max="38" width="2.5546875" style="1" customWidth="1"/>
    <col min="39" max="39" width="2.44140625" style="1" customWidth="1"/>
    <col min="40" max="40" width="2.5546875" style="1" customWidth="1"/>
    <col min="41" max="41" width="2.44140625" style="1" customWidth="1"/>
    <col min="42" max="51" width="2.5546875" style="1" customWidth="1"/>
    <col min="52" max="56" width="8.109375" style="1" customWidth="1"/>
    <col min="57" max="57" width="11.109375" style="1" customWidth="1"/>
    <col min="58" max="60" width="9.109375" style="1" customWidth="1"/>
    <col min="61" max="61" width="25.6640625" style="17" bestFit="1" customWidth="1"/>
    <col min="62" max="63" width="4" style="1" customWidth="1"/>
    <col min="64" max="64" width="4.5546875" style="1" customWidth="1"/>
    <col min="65" max="65" width="3" style="1" customWidth="1"/>
    <col min="66" max="71" width="2.6640625" style="1" customWidth="1"/>
    <col min="72" max="81" width="4.33203125" style="1" customWidth="1"/>
    <col min="82" max="85" width="17.44140625" style="1" customWidth="1"/>
    <col min="86" max="86" width="7.6640625" style="1" customWidth="1"/>
    <col min="87" max="92" width="4.44140625" style="1" customWidth="1"/>
    <col min="93" max="93" width="21.5546875" style="1" customWidth="1"/>
    <col min="94" max="94" width="15.5546875" style="1" customWidth="1"/>
    <col min="95" max="95" width="9.109375" style="1" customWidth="1"/>
    <col min="96" max="96" width="16.33203125" style="1" customWidth="1"/>
    <col min="97" max="97" width="23.88671875" style="1" bestFit="1" customWidth="1"/>
    <col min="98" max="98" width="26" style="1" bestFit="1" customWidth="1"/>
    <col min="99" max="99" width="9.109375" style="1"/>
    <col min="100" max="100" width="7.109375" style="1" customWidth="1"/>
    <col min="101" max="101" width="9.109375" style="82" customWidth="1"/>
    <col min="102" max="102" width="9.109375" style="82"/>
    <col min="103" max="103" width="10.88671875" style="82" bestFit="1" customWidth="1"/>
    <col min="104" max="121" width="9.109375" style="82"/>
    <col min="122" max="16384" width="9.109375" style="1"/>
  </cols>
  <sheetData>
    <row r="1" spans="61:121" ht="32.4" x14ac:dyDescent="0.7">
      <c r="BI1" s="63" t="s">
        <v>485</v>
      </c>
      <c r="BJ1" s="64"/>
      <c r="BK1" s="64"/>
      <c r="BL1" s="64"/>
      <c r="BM1" s="64"/>
      <c r="BN1" s="64"/>
      <c r="BO1" s="64"/>
      <c r="BP1" s="64"/>
      <c r="BQ1" s="64"/>
      <c r="BR1" s="64"/>
      <c r="BS1" s="64"/>
      <c r="BT1" s="64"/>
      <c r="BU1" s="64"/>
      <c r="BV1" s="64"/>
      <c r="BW1" s="64"/>
      <c r="BX1" s="64"/>
      <c r="BY1" s="64"/>
      <c r="BZ1" s="64"/>
      <c r="CA1" s="64"/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4"/>
      <c r="CU1" s="64"/>
      <c r="CV1" s="65"/>
    </row>
    <row r="2" spans="61:121" ht="25.8" x14ac:dyDescent="0.55000000000000004">
      <c r="BI2" s="66"/>
      <c r="BJ2" s="67"/>
      <c r="BK2" s="67"/>
      <c r="BL2" s="67"/>
      <c r="BM2" s="67"/>
      <c r="BN2" s="67"/>
      <c r="BO2" s="67"/>
      <c r="BP2" s="67"/>
      <c r="BQ2" s="67"/>
      <c r="BR2" s="67"/>
      <c r="BS2" s="67"/>
      <c r="BT2" s="67"/>
      <c r="BU2" s="67"/>
      <c r="BV2" s="67"/>
      <c r="BW2" s="67"/>
      <c r="BX2" s="67"/>
      <c r="BY2" s="67"/>
      <c r="BZ2" s="67"/>
      <c r="CA2" s="67"/>
      <c r="CB2" s="67"/>
      <c r="CC2" s="67"/>
      <c r="CD2" s="67"/>
      <c r="CE2" s="67"/>
      <c r="CF2" s="67"/>
      <c r="CG2" s="67"/>
      <c r="CH2" s="67"/>
      <c r="CI2" s="67"/>
      <c r="CJ2" s="67"/>
      <c r="CK2" s="67"/>
      <c r="CL2" s="67"/>
      <c r="CM2" s="67"/>
      <c r="CN2" s="67"/>
      <c r="CO2" s="67"/>
      <c r="CP2" s="67"/>
      <c r="CQ2" s="67"/>
      <c r="CR2" s="67"/>
      <c r="CS2" s="67"/>
      <c r="CT2" s="67"/>
      <c r="CU2" s="68" t="s">
        <v>346</v>
      </c>
      <c r="CV2" s="69"/>
    </row>
    <row r="3" spans="61:121" ht="16.8" x14ac:dyDescent="0.35">
      <c r="BI3" s="44"/>
      <c r="BJ3" s="25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7"/>
      <c r="BX3" s="28"/>
      <c r="BY3" s="28"/>
      <c r="BZ3" s="28"/>
      <c r="CA3" s="28"/>
      <c r="CB3" s="28"/>
      <c r="CC3" s="28"/>
      <c r="CD3" s="25"/>
      <c r="CE3" s="25"/>
      <c r="CF3" s="25"/>
      <c r="CG3" s="25"/>
      <c r="CH3" s="25"/>
      <c r="CI3" s="25"/>
      <c r="CJ3" s="25"/>
      <c r="CK3" s="25"/>
      <c r="CL3" s="25"/>
      <c r="CM3" s="25"/>
      <c r="CN3" s="25"/>
      <c r="CO3" s="25"/>
      <c r="CP3" s="25"/>
      <c r="CQ3" s="25"/>
      <c r="CR3" s="25"/>
      <c r="CS3" s="25"/>
      <c r="CT3" s="25"/>
      <c r="CU3" s="25"/>
      <c r="CV3" s="45"/>
    </row>
    <row r="4" spans="61:121" s="17" customFormat="1" x14ac:dyDescent="0.45">
      <c r="BI4" s="77" t="s">
        <v>348</v>
      </c>
      <c r="BJ4" s="78"/>
      <c r="BK4" s="78"/>
      <c r="BL4" s="78"/>
      <c r="BM4" s="78"/>
      <c r="BN4" s="78"/>
      <c r="BO4" s="78"/>
      <c r="BP4" s="78"/>
      <c r="BQ4" s="78"/>
      <c r="BR4" s="78"/>
      <c r="BS4" s="78"/>
      <c r="BT4" s="78"/>
      <c r="BU4" s="78"/>
      <c r="BV4" s="78"/>
      <c r="BW4" s="78"/>
      <c r="BX4" s="78"/>
      <c r="BY4" s="78"/>
      <c r="BZ4" s="78"/>
      <c r="CA4" s="78"/>
      <c r="CB4" s="78"/>
      <c r="CC4" s="78"/>
      <c r="CD4" s="78"/>
      <c r="CE4" s="78"/>
      <c r="CF4" s="78"/>
      <c r="CG4" s="78"/>
      <c r="CH4" s="78"/>
      <c r="CI4" s="78"/>
      <c r="CJ4" s="78"/>
      <c r="CK4" s="78"/>
      <c r="CL4" s="78"/>
      <c r="CM4" s="78"/>
      <c r="CN4" s="78"/>
      <c r="CO4" s="78"/>
      <c r="CP4" s="78"/>
      <c r="CQ4" s="78"/>
      <c r="CR4" s="78"/>
      <c r="CS4" s="78"/>
      <c r="CT4" s="78"/>
      <c r="CU4" s="78"/>
      <c r="CV4" s="79"/>
      <c r="CW4" s="87"/>
      <c r="CX4" s="87"/>
      <c r="CY4" s="87"/>
      <c r="CZ4" s="87"/>
      <c r="DA4" s="87"/>
      <c r="DB4" s="87"/>
      <c r="DC4" s="87"/>
      <c r="DD4" s="87"/>
      <c r="DE4" s="87"/>
      <c r="DF4" s="87"/>
      <c r="DG4" s="87"/>
      <c r="DH4" s="87"/>
      <c r="DI4" s="87"/>
      <c r="DJ4" s="87"/>
      <c r="DK4" s="87"/>
      <c r="DL4" s="87"/>
      <c r="DM4" s="87"/>
      <c r="DN4" s="87"/>
      <c r="DO4" s="87"/>
      <c r="DP4" s="87"/>
      <c r="DQ4" s="87"/>
    </row>
    <row r="5" spans="61:121" ht="18.75" customHeight="1" x14ac:dyDescent="0.35">
      <c r="BI5" s="48"/>
      <c r="BJ5" s="31"/>
      <c r="BK5" s="32"/>
      <c r="BL5" s="32"/>
      <c r="BM5" s="32"/>
      <c r="BN5" s="32"/>
      <c r="BO5" s="32"/>
      <c r="BP5" s="32"/>
      <c r="BQ5" s="32"/>
      <c r="BR5" s="32"/>
      <c r="BS5" s="32"/>
      <c r="BT5" s="32"/>
      <c r="BU5" s="32"/>
      <c r="BV5" s="32"/>
      <c r="BW5" s="33"/>
      <c r="CD5" s="31"/>
      <c r="CE5" s="31"/>
      <c r="CF5" s="31"/>
      <c r="CG5" s="31"/>
      <c r="CH5" s="31"/>
      <c r="CI5" s="31"/>
      <c r="CJ5" s="31"/>
      <c r="CK5" s="31"/>
      <c r="CL5" s="31"/>
      <c r="CM5" s="31"/>
      <c r="CN5" s="31"/>
      <c r="CO5" s="31"/>
      <c r="CP5" s="31"/>
      <c r="CQ5" s="31"/>
      <c r="CR5" s="31"/>
      <c r="CS5" s="31"/>
      <c r="CT5" s="31"/>
      <c r="CU5" s="31"/>
      <c r="CV5" s="49"/>
    </row>
    <row r="6" spans="61:121" s="29" customFormat="1" ht="18.75" customHeight="1" x14ac:dyDescent="0.35">
      <c r="BI6" s="50"/>
      <c r="BJ6" s="34"/>
      <c r="BK6" s="35"/>
      <c r="BL6" s="35"/>
      <c r="BM6" s="35"/>
      <c r="BN6" s="35"/>
      <c r="BO6" s="35"/>
      <c r="BP6" s="35"/>
      <c r="BQ6" s="35"/>
      <c r="BR6" s="35"/>
      <c r="BS6" s="35"/>
      <c r="BT6" s="35"/>
      <c r="BU6" s="35"/>
      <c r="BV6" s="35"/>
      <c r="BW6" s="36"/>
      <c r="CD6" s="76" t="s">
        <v>486</v>
      </c>
      <c r="CE6" s="76" t="s">
        <v>487</v>
      </c>
      <c r="CF6" s="76" t="s">
        <v>488</v>
      </c>
      <c r="CG6" s="76" t="s">
        <v>489</v>
      </c>
      <c r="CH6" s="34"/>
      <c r="CI6" s="34"/>
      <c r="CJ6" s="34"/>
      <c r="CK6" s="34"/>
      <c r="CL6" s="34"/>
      <c r="CM6" s="34"/>
      <c r="CN6" s="34"/>
      <c r="CO6" s="34"/>
      <c r="CP6" s="31"/>
      <c r="CQ6" s="34"/>
      <c r="CR6" s="197" t="str">
        <f>IF((CONCATENATE(CU17,CU18,CU19,CU20,CU21,CU22,CU23,CU24,CU25,CU26,CU27,CU28,CU29,CU30,CU31))="சரிசரிசரிசரிசரிசரிசரிசரிசரிசரிசரிசரிசரிசரிசரி","சரி","பிழை")</f>
        <v>சரி</v>
      </c>
      <c r="CS6" s="34"/>
      <c r="CT6" s="34"/>
      <c r="CU6" s="34"/>
      <c r="CV6" s="51"/>
      <c r="CW6" s="88"/>
      <c r="CX6" s="82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</row>
    <row r="7" spans="61:121" s="29" customFormat="1" ht="18.75" customHeight="1" x14ac:dyDescent="0.35">
      <c r="BI7" s="50"/>
      <c r="BJ7" s="34"/>
      <c r="BK7" s="37"/>
      <c r="BL7" s="37"/>
      <c r="BM7" s="37"/>
      <c r="BN7" s="37"/>
      <c r="BO7" s="37"/>
      <c r="BP7" s="37"/>
      <c r="BQ7" s="37"/>
      <c r="BR7" s="37"/>
      <c r="BS7" s="37"/>
      <c r="BT7" s="37"/>
      <c r="BU7" s="37"/>
      <c r="BV7" s="37"/>
      <c r="BW7" s="36"/>
      <c r="CD7" s="34"/>
      <c r="CE7" s="34"/>
      <c r="CF7" s="34"/>
      <c r="CG7" s="34"/>
      <c r="CH7" s="34"/>
      <c r="CI7" s="34"/>
      <c r="CJ7" s="34"/>
      <c r="CK7" s="34"/>
      <c r="CL7" s="34"/>
      <c r="CM7" s="34"/>
      <c r="CN7" s="34"/>
      <c r="CO7" s="34"/>
      <c r="CP7" s="31"/>
      <c r="CQ7" s="34"/>
      <c r="CR7" s="197"/>
      <c r="CS7" s="34"/>
      <c r="CT7" s="34"/>
      <c r="CU7" s="34"/>
      <c r="CV7" s="51"/>
      <c r="CW7" s="88"/>
      <c r="CX7" s="82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</row>
    <row r="8" spans="61:121" s="29" customFormat="1" ht="18.75" customHeight="1" x14ac:dyDescent="0.35">
      <c r="BI8" s="50"/>
      <c r="BJ8" s="34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6"/>
      <c r="CD8" s="76" t="s">
        <v>490</v>
      </c>
      <c r="CE8" s="76" t="s">
        <v>491</v>
      </c>
      <c r="CF8" s="76" t="s">
        <v>492</v>
      </c>
      <c r="CG8" s="76" t="s">
        <v>493</v>
      </c>
      <c r="CH8" s="34"/>
      <c r="CI8" s="34"/>
      <c r="CJ8" s="34"/>
      <c r="CK8" s="34"/>
      <c r="CL8" s="34"/>
      <c r="CM8" s="34"/>
      <c r="CN8" s="34"/>
      <c r="CO8" s="34"/>
      <c r="CP8" s="31"/>
      <c r="CQ8" s="34"/>
      <c r="CR8" s="197"/>
      <c r="CS8" s="34"/>
      <c r="CT8" s="34"/>
      <c r="CU8" s="34"/>
      <c r="CV8" s="51"/>
      <c r="CW8" s="88"/>
      <c r="CX8" s="82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</row>
    <row r="9" spans="61:121" s="29" customFormat="1" ht="18.75" customHeight="1" x14ac:dyDescent="0.35">
      <c r="BI9" s="50"/>
      <c r="BJ9" s="34"/>
      <c r="BK9" s="35"/>
      <c r="BL9" s="35"/>
      <c r="BM9" s="35"/>
      <c r="BN9" s="35"/>
      <c r="BO9" s="35"/>
      <c r="BP9" s="35"/>
      <c r="BQ9" s="35"/>
      <c r="BR9" s="35"/>
      <c r="BS9" s="35"/>
      <c r="BT9" s="35"/>
      <c r="BU9" s="35"/>
      <c r="BV9" s="35"/>
      <c r="BW9" s="36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1"/>
      <c r="CQ9" s="34"/>
      <c r="CR9" s="197"/>
      <c r="CS9" s="34"/>
      <c r="CT9" s="34"/>
      <c r="CU9" s="34"/>
      <c r="CV9" s="51"/>
      <c r="CW9" s="88"/>
      <c r="CX9" s="82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</row>
    <row r="10" spans="61:121" s="29" customFormat="1" ht="18.75" customHeight="1" x14ac:dyDescent="0.35">
      <c r="BI10" s="50"/>
      <c r="BJ10" s="34"/>
      <c r="BK10" s="35"/>
      <c r="BL10" s="35"/>
      <c r="BM10" s="35"/>
      <c r="BN10" s="35"/>
      <c r="BO10" s="35"/>
      <c r="BP10" s="35"/>
      <c r="BQ10" s="35"/>
      <c r="BR10" s="35"/>
      <c r="BS10" s="35"/>
      <c r="BT10" s="35"/>
      <c r="BU10" s="35"/>
      <c r="BV10" s="35"/>
      <c r="BW10" s="36"/>
      <c r="CD10" s="76" t="s">
        <v>494</v>
      </c>
      <c r="CE10" s="76" t="s">
        <v>495</v>
      </c>
      <c r="CF10" s="76" t="s">
        <v>496</v>
      </c>
      <c r="CG10" s="76" t="s">
        <v>497</v>
      </c>
      <c r="CH10" s="34"/>
      <c r="CI10" s="34"/>
      <c r="CJ10" s="34"/>
      <c r="CK10" s="34"/>
      <c r="CL10" s="34"/>
      <c r="CM10" s="34"/>
      <c r="CN10" s="34"/>
      <c r="CO10" s="34"/>
      <c r="CP10" s="31"/>
      <c r="CQ10" s="34"/>
      <c r="CR10" s="132"/>
      <c r="CS10" s="34"/>
      <c r="CT10" s="34"/>
      <c r="CU10" s="34"/>
      <c r="CV10" s="51"/>
      <c r="CW10" s="88"/>
      <c r="CX10" s="82"/>
      <c r="CY10" s="88"/>
      <c r="CZ10" s="88"/>
      <c r="DA10" s="88"/>
      <c r="DB10" s="88"/>
      <c r="DC10" s="88"/>
      <c r="DD10" s="88"/>
      <c r="DE10" s="88"/>
      <c r="DF10" s="88"/>
      <c r="DG10" s="88"/>
      <c r="DH10" s="88"/>
      <c r="DI10" s="88"/>
      <c r="DJ10" s="88"/>
      <c r="DK10" s="88"/>
      <c r="DL10" s="88"/>
      <c r="DM10" s="88"/>
      <c r="DN10" s="88"/>
      <c r="DO10" s="88"/>
      <c r="DP10" s="88"/>
      <c r="DQ10" s="88"/>
    </row>
    <row r="11" spans="61:121" ht="18.75" customHeight="1" x14ac:dyDescent="0.35">
      <c r="BI11" s="48"/>
      <c r="BJ11" s="31"/>
      <c r="BK11" s="38"/>
      <c r="BL11" s="38"/>
      <c r="BM11" s="38"/>
      <c r="BN11" s="38"/>
      <c r="BO11" s="38"/>
      <c r="BP11" s="38"/>
      <c r="BQ11" s="38"/>
      <c r="BR11" s="38"/>
      <c r="BS11" s="38"/>
      <c r="BT11" s="38"/>
      <c r="BU11" s="38"/>
      <c r="BV11" s="38"/>
      <c r="BW11" s="39"/>
      <c r="CD11" s="31"/>
      <c r="CE11" s="31"/>
      <c r="CF11" s="31"/>
      <c r="CG11" s="31"/>
      <c r="CH11" s="31"/>
      <c r="CI11" s="31"/>
      <c r="CJ11" s="31"/>
      <c r="CK11" s="31"/>
      <c r="CL11" s="31"/>
      <c r="CM11" s="31"/>
      <c r="CN11" s="31"/>
      <c r="CO11" s="31"/>
      <c r="CP11" s="31"/>
      <c r="CQ11" s="31"/>
      <c r="CR11" s="31"/>
      <c r="CS11" s="31"/>
      <c r="CT11" s="31"/>
      <c r="CU11" s="31"/>
      <c r="CV11" s="49"/>
    </row>
    <row r="12" spans="61:121" ht="18.75" customHeight="1" x14ac:dyDescent="0.35">
      <c r="BI12" s="48"/>
      <c r="BJ12" s="31"/>
      <c r="BK12" s="38"/>
      <c r="BL12" s="38"/>
      <c r="BM12" s="38"/>
      <c r="BN12" s="38"/>
      <c r="BO12" s="38"/>
      <c r="BP12" s="38"/>
      <c r="BQ12" s="38"/>
      <c r="BR12" s="38"/>
      <c r="BS12" s="38"/>
      <c r="BT12" s="38"/>
      <c r="BU12" s="38"/>
      <c r="BV12" s="38"/>
      <c r="BW12" s="39"/>
      <c r="CD12" s="76" t="s">
        <v>500</v>
      </c>
      <c r="CE12" s="76" t="s">
        <v>498</v>
      </c>
      <c r="CF12" s="76" t="s">
        <v>499</v>
      </c>
      <c r="CG12" s="31"/>
      <c r="CH12" s="31"/>
      <c r="CI12" s="31"/>
      <c r="CJ12" s="31"/>
      <c r="CK12" s="31"/>
      <c r="CL12" s="31"/>
      <c r="CM12" s="31"/>
      <c r="CN12" s="31"/>
      <c r="CO12" s="31"/>
      <c r="CP12" s="31"/>
      <c r="CQ12" s="31"/>
      <c r="CR12" s="31"/>
      <c r="CS12" s="31"/>
      <c r="CT12" s="31"/>
      <c r="CU12" s="31"/>
      <c r="CV12" s="49"/>
    </row>
    <row r="13" spans="61:121" ht="16.8" x14ac:dyDescent="0.35">
      <c r="BI13" s="48"/>
      <c r="BJ13" s="31"/>
      <c r="BK13" s="31"/>
      <c r="BL13" s="31"/>
      <c r="BM13" s="31"/>
      <c r="BN13" s="31"/>
      <c r="BO13" s="31"/>
      <c r="BP13" s="31"/>
      <c r="BQ13" s="31"/>
      <c r="BR13" s="31"/>
      <c r="BS13" s="31"/>
      <c r="BT13" s="31"/>
      <c r="BU13" s="31"/>
      <c r="BV13" s="31"/>
      <c r="BW13" s="31"/>
      <c r="BX13" s="31"/>
      <c r="BY13" s="31"/>
      <c r="BZ13" s="31"/>
      <c r="CA13" s="31"/>
      <c r="CB13" s="31"/>
      <c r="CC13" s="31"/>
      <c r="CD13" s="31"/>
      <c r="CE13" s="31"/>
      <c r="CF13" s="31"/>
      <c r="CG13" s="31"/>
      <c r="CH13" s="31"/>
      <c r="CI13" s="31"/>
      <c r="CJ13" s="31"/>
      <c r="CK13" s="31"/>
      <c r="CL13" s="31"/>
      <c r="CM13" s="31"/>
      <c r="CN13" s="31"/>
      <c r="CO13" s="31"/>
      <c r="CP13" s="31"/>
      <c r="CQ13" s="31"/>
      <c r="CR13" s="31"/>
      <c r="CS13" s="31"/>
      <c r="CT13" s="31"/>
      <c r="CU13" s="31"/>
      <c r="CV13" s="49"/>
    </row>
    <row r="14" spans="61:121" ht="16.8" x14ac:dyDescent="0.35">
      <c r="BI14" s="48"/>
      <c r="BJ14" s="31"/>
      <c r="BK14" s="31"/>
      <c r="BL14" s="31"/>
      <c r="BM14" s="31"/>
      <c r="BN14" s="31"/>
      <c r="BO14" s="31"/>
      <c r="BP14" s="31"/>
      <c r="BQ14" s="31"/>
      <c r="BR14" s="31"/>
      <c r="BS14" s="31"/>
      <c r="BT14" s="31"/>
      <c r="BU14" s="31"/>
      <c r="BV14" s="31"/>
      <c r="BW14" s="31"/>
      <c r="BX14" s="31"/>
      <c r="BY14" s="31"/>
      <c r="BZ14" s="31"/>
      <c r="CA14" s="31"/>
      <c r="CB14" s="31"/>
      <c r="CC14" s="31"/>
      <c r="CD14" s="31"/>
      <c r="CE14" s="31"/>
      <c r="CF14" s="31"/>
      <c r="CG14" s="31"/>
      <c r="CH14" s="31"/>
      <c r="CI14" s="31"/>
      <c r="CJ14" s="31"/>
      <c r="CK14" s="31"/>
      <c r="CL14" s="31"/>
      <c r="CM14" s="31"/>
      <c r="CN14" s="31"/>
      <c r="CO14" s="31"/>
      <c r="CP14" s="31"/>
      <c r="CQ14" s="31"/>
      <c r="CR14" s="31"/>
      <c r="CS14" s="31"/>
      <c r="CT14" s="31"/>
      <c r="CU14" s="31"/>
      <c r="CV14" s="49"/>
    </row>
    <row r="15" spans="61:121" s="41" customFormat="1" x14ac:dyDescent="0.45">
      <c r="BI15" s="70" t="s">
        <v>347</v>
      </c>
      <c r="BJ15" s="71"/>
      <c r="BK15" s="71"/>
      <c r="BL15" s="71"/>
      <c r="BM15" s="71"/>
      <c r="BN15" s="71"/>
      <c r="BO15" s="71"/>
      <c r="BP15" s="71"/>
      <c r="BQ15" s="71"/>
      <c r="BR15" s="71"/>
      <c r="BS15" s="71"/>
      <c r="BT15" s="71"/>
      <c r="BU15" s="71"/>
      <c r="BV15" s="71"/>
      <c r="BW15" s="71"/>
      <c r="BX15" s="71"/>
      <c r="BY15" s="71"/>
      <c r="BZ15" s="71"/>
      <c r="CA15" s="71"/>
      <c r="CB15" s="71"/>
      <c r="CC15" s="71"/>
      <c r="CD15" s="71"/>
      <c r="CE15" s="71"/>
      <c r="CF15" s="71"/>
      <c r="CG15" s="71"/>
      <c r="CH15" s="71"/>
      <c r="CI15" s="71"/>
      <c r="CJ15" s="71"/>
      <c r="CK15" s="71"/>
      <c r="CL15" s="71"/>
      <c r="CM15" s="71"/>
      <c r="CN15" s="71"/>
      <c r="CO15" s="71"/>
      <c r="CP15" s="71"/>
      <c r="CQ15" s="71"/>
      <c r="CR15" s="71"/>
      <c r="CS15" s="71"/>
      <c r="CT15" s="71"/>
      <c r="CU15" s="71"/>
      <c r="CV15" s="72"/>
      <c r="CW15" s="89"/>
      <c r="CX15" s="89"/>
      <c r="CY15" s="89"/>
      <c r="CZ15" s="89"/>
      <c r="DA15" s="89"/>
      <c r="DB15" s="89"/>
      <c r="DC15" s="89"/>
      <c r="DD15" s="89"/>
      <c r="DE15" s="89"/>
      <c r="DF15" s="89"/>
      <c r="DG15" s="89"/>
      <c r="DH15" s="89"/>
      <c r="DI15" s="89"/>
      <c r="DJ15" s="89"/>
      <c r="DK15" s="89"/>
      <c r="DL15" s="89"/>
      <c r="DM15" s="89"/>
      <c r="DN15" s="89"/>
      <c r="DO15" s="89"/>
      <c r="DP15" s="89"/>
      <c r="DQ15" s="89"/>
    </row>
    <row r="16" spans="61:121" s="41" customFormat="1" ht="16.8" x14ac:dyDescent="0.35">
      <c r="BI16" s="73" t="s">
        <v>349</v>
      </c>
      <c r="BJ16" s="74"/>
      <c r="BK16" s="74"/>
      <c r="BL16" s="74"/>
      <c r="BM16" s="74"/>
      <c r="BN16" s="74"/>
      <c r="BO16" s="74"/>
      <c r="BP16" s="74"/>
      <c r="BQ16" s="74"/>
      <c r="BR16" s="74"/>
      <c r="BS16" s="74"/>
      <c r="BT16" s="74"/>
      <c r="BU16" s="74"/>
      <c r="BV16" s="74"/>
      <c r="BW16" s="74"/>
      <c r="BX16" s="74"/>
      <c r="BY16" s="74"/>
      <c r="BZ16" s="74"/>
      <c r="CA16" s="74"/>
      <c r="CB16" s="74"/>
      <c r="CC16" s="74"/>
      <c r="CD16" s="74" t="s">
        <v>350</v>
      </c>
      <c r="CE16" s="74" t="s">
        <v>351</v>
      </c>
      <c r="CF16" s="74" t="s">
        <v>352</v>
      </c>
      <c r="CG16" s="74" t="s">
        <v>353</v>
      </c>
      <c r="CH16" s="74"/>
      <c r="CI16" s="74"/>
      <c r="CJ16" s="74"/>
      <c r="CK16" s="74"/>
      <c r="CL16" s="74"/>
      <c r="CM16" s="74"/>
      <c r="CN16" s="74"/>
      <c r="CO16" s="74"/>
      <c r="CP16" s="74" t="s">
        <v>354</v>
      </c>
      <c r="CQ16" s="74"/>
      <c r="CR16" s="74" t="s">
        <v>355</v>
      </c>
      <c r="CS16" s="74" t="s">
        <v>355</v>
      </c>
      <c r="CT16" s="74" t="s">
        <v>356</v>
      </c>
      <c r="CU16" s="74"/>
      <c r="CV16" s="75"/>
      <c r="CW16" s="89"/>
      <c r="CX16" s="89"/>
      <c r="CY16" s="89"/>
      <c r="CZ16" s="89"/>
      <c r="DA16" s="89"/>
      <c r="DB16" s="89"/>
      <c r="DC16" s="89"/>
      <c r="DD16" s="89"/>
      <c r="DE16" s="89"/>
      <c r="DF16" s="89"/>
      <c r="DG16" s="89"/>
      <c r="DH16" s="89"/>
      <c r="DI16" s="89"/>
      <c r="DJ16" s="89"/>
      <c r="DK16" s="89"/>
      <c r="DL16" s="89"/>
      <c r="DM16" s="89"/>
      <c r="DN16" s="89"/>
      <c r="DO16" s="89"/>
      <c r="DP16" s="89"/>
      <c r="DQ16" s="89"/>
    </row>
    <row r="17" spans="1:100" ht="16.8" x14ac:dyDescent="0.35">
      <c r="A17" s="119"/>
      <c r="B17" s="12">
        <f>IFERROR(VLOOKUP((LEFT(L17,4)),BASE!$E$12:$F$23,1,0),IFERROR(VLOOKUP((LEFT(L17,3)),BASE!$E$12:$F$23,1,0),IFERROR(VLOOKUP((LEFT(L17,2)),BASE!$E$12:$F$23,1,0),IFERROR(VLOOKUP((LEFT(L17,1)),BASE!$E$12:$F$23,1,0),100))))</f>
        <v>100</v>
      </c>
      <c r="C17" s="12">
        <f>IFERROR(VLOOKUP((LEFT(M17,4)),BASE!$E$12:$F$23,1,0),IFERROR(VLOOKUP((LEFT(M17,3)),BASE!$E$12:$F$23,1,0),IFERROR(VLOOKUP((LEFT(M17,2)),BASE!$E$12:$F$23,1,0),IFERROR(VLOOKUP((LEFT(M17,1)),BASE!$E$12:$F$23,1,0),100))))</f>
        <v>100</v>
      </c>
      <c r="D17" s="12">
        <f>IFERROR(VLOOKUP((LEFT(N17,4)),BASE!$E$12:$F$23,1,0),IFERROR(VLOOKUP((LEFT(N17,3)),BASE!$E$12:$F$23,1,0),IFERROR(VLOOKUP((LEFT(N17,2)),BASE!$E$12:$F$23,1,0),IFERROR(VLOOKUP((LEFT(N17,1)),BASE!$E$12:$F$23,1,0),100))))</f>
        <v>100</v>
      </c>
      <c r="E17" s="12">
        <f>IFERROR(VLOOKUP((LEFT(O17,4)),BASE!$E$12:$F$23,1,0),IFERROR(VLOOKUP((LEFT(O17,3)),BASE!$E$12:$F$23,1,0),IFERROR(VLOOKUP((LEFT(O17,2)),BASE!$E$12:$F$23,1,0),IFERROR(VLOOKUP((LEFT(O17,1)),BASE!$E$12:$F$23,1,0),100))))</f>
        <v>100</v>
      </c>
      <c r="F17" s="12">
        <f>IFERROR(VLOOKUP((LEFT(P17,4)),BASE!$E$12:$F$23,1,0),IFERROR(VLOOKUP((LEFT(P17,3)),BASE!$E$12:$F$23,1,0),IFERROR(VLOOKUP((LEFT(P17,2)),BASE!$E$12:$F$23,1,0),IFERROR(VLOOKUP((LEFT(P17,1)),BASE!$E$12:$F$23,1,0),100))))</f>
        <v>100</v>
      </c>
      <c r="G17" s="12">
        <f>IFERROR(VLOOKUP((LEFT(Q17,4)),BASE!$E$12:$F$23,1,0),IFERROR(VLOOKUP((LEFT(Q17,3)),BASE!$E$12:$F$23,1,0),IFERROR(VLOOKUP((LEFT(Q17,2)),BASE!$E$12:$F$23,1,0),IFERROR(VLOOKUP((LEFT(Q17,1)),BASE!$E$12:$F$23,1,0),100))))</f>
        <v>100</v>
      </c>
      <c r="H17" s="12">
        <f>IFERROR(VLOOKUP((LEFT(R17,4)),BASE!$E$12:$F$23,1,0),IFERROR(VLOOKUP((LEFT(R17,3)),BASE!$E$12:$F$23,1,0),IFERROR(VLOOKUP((LEFT(R17,2)),BASE!$E$12:$F$23,1,0),IFERROR(VLOOKUP((LEFT(R17,1)),BASE!$E$12:$F$23,1,0),100))))</f>
        <v>100</v>
      </c>
      <c r="I17" s="12" t="str">
        <f>IFERROR(VLOOKUP((LEFT(S17,4)),BASE!$E$12:$F$23,1,0),IFERROR(VLOOKUP((LEFT(S17,3)),BASE!$E$12:$F$23,1,0),IFERROR(VLOOKUP((LEFT(S17,2)),BASE!$E$12:$F$23,1,0),IFERROR(VLOOKUP((LEFT(S17,1)),BASE!$E$12:$F$23,1,0),100))))</f>
        <v>ko</v>
      </c>
      <c r="J17" s="12" t="str">
        <f>IFERROR(VLOOKUP((LEFT(T17,4)),BASE!$E$12:$F$24,1,0),IFERROR(VLOOKUP((LEFT(T17,3)),BASE!$E$12:$F$24,1,0),IFERROR(VLOOKUP((LEFT(T17,2)),BASE!$E$12:$F$24,1,0),IFERROR(VLOOKUP((LEFT(T17,1)),BASE!$E$12:$F$24,1,0),100))))</f>
        <v>n</v>
      </c>
      <c r="K17" s="12" t="str">
        <f>IFERROR(VLOOKUP((LEFT(U17,4)),BASE!$E$12:$F$23,1,0),IFERROR(VLOOKUP((LEFT(U17,3)),BASE!$E$12:$F$23,1,0),IFERROR(VLOOKUP((LEFT(U17,2)),BASE!$E$12:$F$23,1,0),IFERROR(VLOOKUP((LEFT(U17,1)),BASE!$E$12:$F$23,1,0),100))))</f>
        <v>n</v>
      </c>
      <c r="L17" s="14" t="str">
        <f t="shared" ref="L17:T31" si="0">MID(M17,LEN(C17)+1,(LEN(M17)))</f>
        <v/>
      </c>
      <c r="M17" s="14" t="str">
        <f t="shared" si="0"/>
        <v/>
      </c>
      <c r="N17" s="14" t="str">
        <f t="shared" si="0"/>
        <v/>
      </c>
      <c r="O17" s="14" t="str">
        <f t="shared" si="0"/>
        <v/>
      </c>
      <c r="P17" s="14" t="str">
        <f t="shared" si="0"/>
        <v/>
      </c>
      <c r="Q17" s="14" t="str">
        <f t="shared" si="0"/>
        <v/>
      </c>
      <c r="R17" s="14" t="str">
        <f t="shared" si="0"/>
        <v/>
      </c>
      <c r="S17" s="14" t="str">
        <f t="shared" si="0"/>
        <v>ko</v>
      </c>
      <c r="T17" s="14" t="str">
        <f t="shared" si="0"/>
        <v>nko</v>
      </c>
      <c r="U17" s="14" t="str">
        <f t="shared" ref="U17:U31" si="1">AO17&amp;AN17&amp;AM17&amp;AL17&amp;AK17&amp;AJ17&amp;AI17&amp;AH17&amp;AG17&amp;AF17</f>
        <v>nnko</v>
      </c>
      <c r="V17" s="13">
        <f>IFERROR(VLOOKUP(LEFT(AZ17,2),BASE!$C$96:$E$342,3,0),IFERROR(VLOOKUP(LEFT(AZ17,1),BASE!$C$96:$E$342,3,0),100))</f>
        <v>100</v>
      </c>
      <c r="W17" s="13">
        <f>IFERROR(VLOOKUP(LEFT(BA17,2),BASE!$C$96:$E$342,3,0),IFERROR(VLOOKUP(LEFT(BA17,1),BASE!$C$96:$E$342,3,0),100))</f>
        <v>100</v>
      </c>
      <c r="X17" s="13">
        <f>IFERROR(VLOOKUP(LEFT(BB17,2),BASE!$C$96:$E$342,3,0),IFERROR(VLOOKUP(LEFT(BB17,1),BASE!$C$96:$E$342,3,0),100))</f>
        <v>100</v>
      </c>
      <c r="Y17" s="13">
        <f>IFERROR(VLOOKUP(LEFT(BC17,2),BASE!$C$96:$E$342,3,0),IFERROR(VLOOKUP(LEFT(BC17,1),BASE!$C$96:$E$342,3,0),100))</f>
        <v>100</v>
      </c>
      <c r="Z17" s="13">
        <f>IFERROR(VLOOKUP(LEFT(BD17,2),BASE!$C$96:$E$342,3,0),IFERROR(VLOOKUP(LEFT(BD17,1),BASE!$C$96:$E$342,3,0),100))</f>
        <v>100</v>
      </c>
      <c r="AA17" s="13">
        <f>IFERROR(VLOOKUP(LEFT(BE17,2),BASE!$C$96:$E$342,3,0),IFERROR(VLOOKUP(LEFT(BE17,1),BASE!$C$96:$E$342,3,0),100))</f>
        <v>100</v>
      </c>
      <c r="AB17" s="13">
        <f>IFERROR(VLOOKUP(LEFT(BF17,2),BASE!$C$96:$E$342,3,0),IFERROR(VLOOKUP(LEFT(BF17,1),BASE!$C$96:$E$342,3,0),100))</f>
        <v>2</v>
      </c>
      <c r="AC17" s="13">
        <f>IFERROR(VLOOKUP(LEFT(BG17,2),BASE!$C$96:$E$342,3,0),IFERROR(VLOOKUP(LEFT(BG17,1),BASE!$C$96:$E$342,3,0),100))</f>
        <v>1</v>
      </c>
      <c r="AD17" s="13">
        <f>IFERROR(VLOOKUP(LEFT(BH17,2),BASE!$C$96:$E$342,3,0),IFERROR(VLOOKUP(LEFT(BH17,1),BASE!$C$96:$E$342,3,0),100))</f>
        <v>2</v>
      </c>
      <c r="AE17" s="13">
        <f>IFERROR(VLOOKUP(LEFT(BI17,2),BASE!$C$96:$E$342,3,0),IFERROR(VLOOKUP(LEFT(BI17,1),BASE!$C$96:$E$342,3,0),100))</f>
        <v>2</v>
      </c>
      <c r="AF17" s="187" t="str">
        <f>IF(AND(BS17=BR17,AG17="o"),"A", (IFERROR(VLOOKUP(LEFT(AZ17,2),BASE!$C$346:$D$592,2,0),IFERROR(VLOOKUP(LEFT(AZ17,1),BASE!$C$346:$D$5922,2,0),AZ17))))</f>
        <v/>
      </c>
      <c r="AG17" s="187" t="str">
        <f>IF(AND(BR17=BQ17,AH17="o"),"A", (IFERROR(VLOOKUP(LEFT(BA17,2),BASE!$C$346:$D$592,2,0),IFERROR(VLOOKUP(LEFT(BA17,1),BASE!$C$346:$D$592,2,0),BA17))))</f>
        <v/>
      </c>
      <c r="AH17" s="187" t="str">
        <f>IF(AND(BQ17=BP17,AI17="o"),"A", (IFERROR(VLOOKUP(LEFT(BB17,2),BASE!$C$346:$D$592,2,0),IFERROR(VLOOKUP(LEFT(BB17,1),BASE!$C$346:$D$592,2,0),BB17))))</f>
        <v/>
      </c>
      <c r="AI17" s="187" t="str">
        <f>IF(AND(BP17=BO17,AJ17="o"),"A", (IFERROR(VLOOKUP(LEFT(BC17,2),BASE!$C$346:$D$592,2,0),IFERROR(VLOOKUP(LEFT(BC17,1),BASE!$C$346:$D$592,2,0),BC17))))</f>
        <v/>
      </c>
      <c r="AJ17" s="187" t="str">
        <f>IF(AND(BO17=BN17,AK17="o"),"A", (IFERROR(VLOOKUP(LEFT(BD17,2),BASE!$C$346:$D$592,2,0),IFERROR(VLOOKUP(LEFT(BD17,1),BASE!$C$346:$D$592,2,0),BD17))))</f>
        <v/>
      </c>
      <c r="AK17" s="187" t="str">
        <f>IF(AND(BN17=BM17,AL17="o"),"A", (IFERROR(VLOOKUP(LEFT(BE17,2),BASE!$C$346:$D$592,2,0),IFERROR(VLOOKUP(LEFT(BE17,1),BASE!$C$346:$D$592,2,0),BE17))))</f>
        <v/>
      </c>
      <c r="AL17" s="187" t="str">
        <f>IF(AND(BM17=BL17,AM17="o"),"A", (IFERROR(VLOOKUP(LEFT(BF17,2),BASE!$C$346:$D$592,2,0),IFERROR(VLOOKUP(LEFT(BF17,1),BASE!$C$346:$D$592,2,0),BF17))))</f>
        <v>o</v>
      </c>
      <c r="AM17" s="187" t="str">
        <f>IF(AND(BL17=BK17,AN17="o"),"A",(IFERROR(VLOOKUP(LEFT(BG17,2),BASE!$C$346:$D$592,2,0),IFERROR(VLOOKUP(LEFT(BG17,1),BASE!$C$346:$D$592,2,0),BG17))))</f>
        <v>k</v>
      </c>
      <c r="AN17" s="187" t="str">
        <f>(IFERROR(VLOOKUP(LEFT(BH17,2),BASE!$C$346:$D$592,2,0),IFERROR(VLOOKUP(LEFT(BH17,1),BASE!$C$346:$D$592,2,0),BH17)))</f>
        <v>n</v>
      </c>
      <c r="AO17" s="187" t="str">
        <f>(IFERROR(VLOOKUP(LEFT(BI17,2),BASE!$C$96:$D$342,2,0),IFERROR(VLOOKUP(LEFT(BI17,1),BASE!$C$96:$D$342,2,0),BI17)))</f>
        <v>n</v>
      </c>
      <c r="AP17" s="5">
        <f t="shared" ref="AP17:AX31" si="2">AQ17</f>
        <v>7</v>
      </c>
      <c r="AQ17" s="5">
        <f t="shared" si="2"/>
        <v>7</v>
      </c>
      <c r="AR17" s="5">
        <f t="shared" si="2"/>
        <v>7</v>
      </c>
      <c r="AS17" s="5">
        <f t="shared" si="2"/>
        <v>7</v>
      </c>
      <c r="AT17" s="5">
        <f t="shared" si="2"/>
        <v>7</v>
      </c>
      <c r="AU17" s="5">
        <f t="shared" si="2"/>
        <v>7</v>
      </c>
      <c r="AV17" s="5">
        <f t="shared" si="2"/>
        <v>7</v>
      </c>
      <c r="AW17" s="5">
        <f t="shared" si="2"/>
        <v>7</v>
      </c>
      <c r="AX17" s="5">
        <f t="shared" si="2"/>
        <v>7</v>
      </c>
      <c r="AY17" s="5">
        <f t="shared" ref="AY17:AY31" si="3">LEN(BI17)</f>
        <v>7</v>
      </c>
      <c r="AZ17" s="12" t="str">
        <f t="shared" ref="AZ17:BH31" si="4">MID(BA17,W17+1,AQ17)</f>
        <v/>
      </c>
      <c r="BA17" s="12" t="str">
        <f t="shared" si="4"/>
        <v/>
      </c>
      <c r="BB17" s="12" t="str">
        <f t="shared" si="4"/>
        <v/>
      </c>
      <c r="BC17" s="12" t="str">
        <f t="shared" si="4"/>
        <v/>
      </c>
      <c r="BD17" s="12" t="str">
        <f t="shared" si="4"/>
        <v/>
      </c>
      <c r="BE17" s="12" t="str">
        <f t="shared" si="4"/>
        <v/>
      </c>
      <c r="BF17" s="12" t="str">
        <f t="shared" si="4"/>
        <v>ம்</v>
      </c>
      <c r="BG17" s="12" t="str">
        <f t="shared" si="4"/>
        <v>எம்</v>
      </c>
      <c r="BH17" s="43" t="str">
        <f t="shared" si="4"/>
        <v>ரேஎம்</v>
      </c>
      <c r="BI17" s="57" t="str">
        <f>CD6</f>
        <v>யாரேஎம்</v>
      </c>
      <c r="BJ17" s="58" t="str">
        <f>IFERROR(VLOOKUP(LEFT(BI17,2),BASE!$C$96:$F$342,1,0),IFERROR(VLOOKUP(LEFT(BI17,1),BASE!$C$96:$F$342,1,0),BI17))</f>
        <v>யா</v>
      </c>
      <c r="BK17" s="58" t="str">
        <f>IFERROR(VLOOKUP(LEFT(BH17,2),BASE!$C$96:$D$342,1,0),IFERROR(VLOOKUP(LEFT(BH17,1),BASE!$C$96:$D$342,1,0),BH17))</f>
        <v>ரே</v>
      </c>
      <c r="BL17" s="58" t="str">
        <f>IFERROR(VLOOKUP(LEFT(BG17,2),BASE!$C$96:$D$342,1,0),IFERROR(VLOOKUP(LEFT(BG17,1),BASE!$C$96:$D$342,1,0),BG17))</f>
        <v>எ</v>
      </c>
      <c r="BM17" s="58" t="str">
        <f>IFERROR(VLOOKUP(LEFT(BF17,2),BASE!$C$96:$D$342,1,0),IFERROR(VLOOKUP(LEFT(BF17,1),BASE!$C$96:$D$342,1,0),BF17))</f>
        <v>ம்</v>
      </c>
      <c r="BN17" s="58" t="str">
        <f>IFERROR(VLOOKUP(LEFT(BE17,2),BASE!$C$96:$D$342,1,0),IFERROR(VLOOKUP(LEFT(BE17,1),BASE!$C$96:$D$342,1,0),BE17))</f>
        <v/>
      </c>
      <c r="BO17" s="58" t="str">
        <f>IFERROR(VLOOKUP(LEFT(BD17,2),BASE!$C$96:$D$342,1,0),IFERROR(VLOOKUP(LEFT(BD17,1),BASE!$C$96:$D$342,1,0),BD17))</f>
        <v/>
      </c>
      <c r="BP17" s="58" t="str">
        <f>IFERROR(VLOOKUP(LEFT(BC17,2),BASE!$C$96:$D$342,1,0),IFERROR(VLOOKUP(LEFT(BC17,1),BASE!$C$96:$D$342,1,0),BC17))</f>
        <v/>
      </c>
      <c r="BQ17" s="58" t="str">
        <f>IFERROR(VLOOKUP(LEFT(BB17,2),BASE!$C$96:$D$342,1,0),IFERROR(VLOOKUP(LEFT(BB17,1),BASE!$C$96:$D$342,1,0),BB17))</f>
        <v/>
      </c>
      <c r="BR17" s="58" t="str">
        <f>IFERROR(VLOOKUP(LEFT(BA17,2),BASE!$C$96:$D$342,1,0),IFERROR(VLOOKUP(LEFT(BA17,1),BASE!$C$96:$D$342,1,0),BA17))</f>
        <v/>
      </c>
      <c r="BS17" s="58" t="str">
        <f>IFERROR(VLOOKUP(LEFT(AZ17,2),BASE!$C$96:$D$342,1,0),IFERROR(VLOOKUP(LEFT(AZ17,1),BASE!$C$96:$D$342,1,0),AZ17))</f>
        <v/>
      </c>
      <c r="BT17" s="186" t="str">
        <f>(IFERROR(VLOOKUP(LEFT(BI17,2),BASE!$C$96:$F$342,4,0),IFERROR(VLOOKUP(LEFT(BI17,1),BASE!$C$96:$F$342,4,0),BI17)))</f>
        <v>நெ</v>
      </c>
      <c r="BU17" s="186" t="str">
        <f>(IFERROR(VLOOKUP(LEFT(BH17,2),BASE!$C$346:$F$592,4,0),IFERROR(VLOOKUP(LEFT(BH17,1),BASE!$C$346:$F$592,4,0),BH17)))</f>
        <v>நெ</v>
      </c>
      <c r="BV17" s="186" t="str">
        <f>(IFERROR(VLOOKUP(LEFT(BG17,2),BASE!$C$346:$F$592,4,0),IFERROR(VLOOKUP(LEFT(BG17,1),BASE!$C$346:$F$592,4,0),BG17)))</f>
        <v>கு</v>
      </c>
      <c r="BW17" s="186" t="str">
        <f>(IFERROR(VLOOKUP(LEFT(BF17,2),BASE!$C$346:$F$592,4,0),IFERROR(VLOOKUP(LEFT(BF17,1),BASE!$C$346:$F$592,4,0),BF17)))</f>
        <v>ஒ</v>
      </c>
      <c r="BX17" s="186" t="str">
        <f>(IFERROR(VLOOKUP(LEFT(BE17,2),BASE!$C$346:$F$592,4,0),IFERROR(VLOOKUP(LEFT(BE17,1),BASE!$C$346:$F$592,4,0),BE17)))</f>
        <v/>
      </c>
      <c r="BY17" s="186" t="str">
        <f>(IFERROR(VLOOKUP(LEFT(BD17,2),BASE!$C$346:$F$592,4,0),IFERROR(VLOOKUP(LEFT(BD17,1),BASE!$C$346:$F$592,4,0),BD17)))</f>
        <v/>
      </c>
      <c r="BZ17" s="186" t="str">
        <f>(IFERROR(VLOOKUP(LEFT(BC17,2),BASE!$C$346:$F$592,4,0),IFERROR(VLOOKUP(LEFT(BC17,1),BASE!$C$346:$F$592,4,0),BC17)))</f>
        <v/>
      </c>
      <c r="CA17" s="186" t="str">
        <f>(IFERROR(VLOOKUP(LEFT(BB17,2),BASE!$C$346:$F$592,4,0),IFERROR(VLOOKUP(LEFT(BB17,1),BASE!$C$346:$F$592,4,0),BB17)))</f>
        <v/>
      </c>
      <c r="CB17" s="186" t="str">
        <f>(IFERROR(VLOOKUP(LEFT(BA17,2),BASE!$C$346:$F$592,4,0),IFERROR(VLOOKUP(LEFT(BA17,1),BASE!$C$346:$F$592,4,0),BA17)))</f>
        <v/>
      </c>
      <c r="CC17" s="186" t="str">
        <f>(IFERROR(VLOOKUP(LEFT(AZ17,2),BASE!$C$346:$F$592,4,0),IFERROR(VLOOKUP(LEFT(AZ17,1),BASE!$C$346:$F$592,4,0),AZ17)))</f>
        <v/>
      </c>
      <c r="CD17" s="58" t="str">
        <f t="shared" ref="CD17:CD31" si="5">BT17&amp;BU17&amp;BV17&amp;BW17&amp;BX17&amp;BY17&amp;BZ17&amp;CA17&amp;CB17&amp;CC17</f>
        <v>நெநெகுஒ</v>
      </c>
      <c r="CE17" s="58" t="str">
        <f>IFERROR(VLOOKUP((LEFT(U17,4)),BASE!$E$12:$F$23,2,0),IFERROR(VLOOKUP((LEFT(U17,3)),BASE!$E$12:$F$23,2,0),IFERROR(VLOOKUP((LEFT(U17,2)),BASE!$E$12:$F$23,2,0),IFERROR(VLOOKUP((LEFT(U17,1)),BASE!$E$12:$F$23,2,0),U17))))</f>
        <v>நேர்</v>
      </c>
      <c r="CF17" s="58" t="str">
        <f>IFERROR(VLOOKUP((LEFT(T17,4)),BASE!$E$12:$F$24,2,0),IFERROR(VLOOKUP((LEFT(T17,3)),BASE!$E$12:$F$24,2,0),IFERROR(VLOOKUP((LEFT(T17,2)),BASE!$E$12:$F$24,2,0),IFERROR(VLOOKUP((LEFT(T17,1)),BASE!$E$12:$F$24,2,0),T17))))</f>
        <v>நேர்</v>
      </c>
      <c r="CG17" s="58" t="str">
        <f>IFERROR(VLOOKUP((LEFT(S17,4)),BASE!$E$12:$F$23,2,0),IFERROR(VLOOKUP((LEFT(S17,3)),BASE!$E$12:$F$23,2,0),IFERROR(VLOOKUP((LEFT(S17,2)),BASE!$E$12:$F$23,2,0),IFERROR(VLOOKUP((LEFT(S17,1)),BASE!$E$12:$F$23,2,0),S17))))</f>
        <v>நேர்</v>
      </c>
      <c r="CH17" s="58" t="str">
        <f>IFERROR(VLOOKUP((LEFT(R17,4)),BASE!$E$12:$F$23,2,0),IFERROR(VLOOKUP((LEFT(R17,3)),BASE!$E$12:$F$23,2,0),IFERROR(VLOOKUP((LEFT(R17,2)),BASE!$E$12:$F$23,2,0),IFERROR(VLOOKUP((LEFT(R17,1)),BASE!$E$12:$F$23,2,0),R17))))</f>
        <v/>
      </c>
      <c r="CI17" s="58" t="str">
        <f>IFERROR(VLOOKUP((LEFT(Q17,4)),BASE!$E$12:$F$23,2,0),IFERROR(VLOOKUP((LEFT(Q17,3)),BASE!$E$12:$F$23,2,0),IFERROR(VLOOKUP((LEFT(Q17,2)),BASE!$E$12:$F$23,2,0),IFERROR(VLOOKUP((LEFT(Q17,1)),BASE!$E$12:$F$23,2,0),Q17))))</f>
        <v/>
      </c>
      <c r="CJ17" s="58" t="str">
        <f>IFERROR(VLOOKUP((LEFT(P17,4)),BASE!$E$12:$F$23,2,0),IFERROR(VLOOKUP((LEFT(P17,3)),BASE!$E$12:$F$23,2,0),IFERROR(VLOOKUP((LEFT(P17,2)),BASE!$E$12:$F$23,2,0),IFERROR(VLOOKUP((LEFT(P17,1)),BASE!$E$12:$F$23,2,0),P17))))</f>
        <v/>
      </c>
      <c r="CK17" s="58" t="str">
        <f>IFERROR(VLOOKUP((LEFT(O17,4)),BASE!$E$12:$F$23,2,0),IFERROR(VLOOKUP((LEFT(O17,3)),BASE!$E$12:$F$23,2,0),IFERROR(VLOOKUP((LEFT(O17,2)),BASE!$E$12:$F$23,2,0),IFERROR(VLOOKUP((LEFT(O17,1)),BASE!$E$12:$F$23,2,0),O17))))</f>
        <v/>
      </c>
      <c r="CL17" s="58" t="str">
        <f>IFERROR(VLOOKUP((LEFT(N17,4)),BASE!$E$12:$F$23,2,0),IFERROR(VLOOKUP((LEFT(N17,3)),BASE!$E$12:$F$23,2,0),IFERROR(VLOOKUP((LEFT(N17,2)),BASE!$E$12:$F$23,2,0),IFERROR(VLOOKUP((LEFT(N17,1)),BASE!$E$12:$F$23,2,0),N17))))</f>
        <v/>
      </c>
      <c r="CM17" s="58" t="str">
        <f>IFERROR(VLOOKUP((LEFT(M17,4)),BASE!$E$12:$F$23,2,0),IFERROR(VLOOKUP((LEFT(M17,3)),BASE!$E$12:$F$23,2,0),IFERROR(VLOOKUP((LEFT(M17,2)),BASE!$E$12:$F$23,2,0),IFERROR(VLOOKUP((LEFT(M17,1)),BASE!$E$12:$F$23,2,0),M17))))</f>
        <v/>
      </c>
      <c r="CN17" s="58" t="str">
        <f>IFERROR(VLOOKUP((LEFT(L17,4)),BASE!$E$12:$F$23,2,0),IFERROR(VLOOKUP((LEFT(L17,3)),BASE!$E$12:$F$23,2,0),IFERROR(VLOOKUP((LEFT(L17,2)),BASE!$E$12:$F$23,2,0),IFERROR(VLOOKUP((LEFT(L17,1)),BASE!$E$12:$F$23,2,0),L17))))</f>
        <v/>
      </c>
      <c r="CO17" s="58" t="str">
        <f t="shared" ref="CO17:CO31" si="6">CE17&amp;CF17&amp;CG17&amp;CH17</f>
        <v>நேர்நேர்நேர்</v>
      </c>
      <c r="CP17" s="58" t="str">
        <f>VLOOKUP(CO17,BASE!$E$25:$F$79,2,0)</f>
        <v>தேமாங்காய்</v>
      </c>
      <c r="CQ17" s="58" t="str">
        <f>VLOOKUP(CO17,BASE!$E$25:$G$79,3,0)&amp;CE18</f>
        <v>காய்நேர்</v>
      </c>
      <c r="CR17" s="58" t="str">
        <f>VLOOKUP(CQ17,BASE!$E$86:$G$93,2,0)</f>
        <v>காய் முன் நேர்</v>
      </c>
      <c r="CS17" s="58" t="str">
        <f>VLOOKUP(CQ17,BASE!$E$86:$G$93,3,0)</f>
        <v>வெண்சீர் வெண்டளை</v>
      </c>
      <c r="CT17" s="58" t="str">
        <f t="shared" ref="CT17:CT30" si="7">IF((OR(CH17="நிரை",CH17="நேர்")),"மூவசைக்கு மிகக்கூடாது","மூவசைக்கு மிகவில்லை")</f>
        <v>மூவசைக்கு மிகவில்லை</v>
      </c>
      <c r="CU17" s="58" t="str">
        <f t="shared" ref="CU17:CU30" si="8">IF((OR(CS17="இயற்சீர் வெண்டளை",CS17="வெண்சீர் வெண்டளை")),"சரி","தளை தட்டுகிறது")</f>
        <v>சரி</v>
      </c>
      <c r="CV17" s="193"/>
    </row>
    <row r="18" spans="1:100" ht="19.5" customHeight="1" x14ac:dyDescent="0.35">
      <c r="A18" s="119"/>
      <c r="B18" s="12">
        <f>IFERROR(VLOOKUP((LEFT(L18,4)),BASE!$E$12:$F$23,1,0),IFERROR(VLOOKUP((LEFT(L18,3)),BASE!$E$12:$F$23,1,0),IFERROR(VLOOKUP((LEFT(L18,2)),BASE!$E$12:$F$23,1,0),IFERROR(VLOOKUP((LEFT(L18,1)),BASE!$E$12:$F$23,1,0),100))))</f>
        <v>100</v>
      </c>
      <c r="C18" s="12">
        <f>IFERROR(VLOOKUP((LEFT(M18,4)),BASE!$E$12:$F$23,1,0),IFERROR(VLOOKUP((LEFT(M18,3)),BASE!$E$12:$F$23,1,0),IFERROR(VLOOKUP((LEFT(M18,2)),BASE!$E$12:$F$23,1,0),IFERROR(VLOOKUP((LEFT(M18,1)),BASE!$E$12:$F$23,1,0),100))))</f>
        <v>100</v>
      </c>
      <c r="D18" s="12">
        <f>IFERROR(VLOOKUP((LEFT(N18,4)),BASE!$E$12:$F$23,1,0),IFERROR(VLOOKUP((LEFT(N18,3)),BASE!$E$12:$F$23,1,0),IFERROR(VLOOKUP((LEFT(N18,2)),BASE!$E$12:$F$23,1,0),IFERROR(VLOOKUP((LEFT(N18,1)),BASE!$E$12:$F$23,1,0),100))))</f>
        <v>100</v>
      </c>
      <c r="E18" s="12">
        <f>IFERROR(VLOOKUP((LEFT(O18,4)),BASE!$E$12:$F$23,1,0),IFERROR(VLOOKUP((LEFT(O18,3)),BASE!$E$12:$F$23,1,0),IFERROR(VLOOKUP((LEFT(O18,2)),BASE!$E$12:$F$23,1,0),IFERROR(VLOOKUP((LEFT(O18,1)),BASE!$E$12:$F$23,1,0),100))))</f>
        <v>100</v>
      </c>
      <c r="F18" s="12">
        <f>IFERROR(VLOOKUP((LEFT(P18,4)),BASE!$E$12:$F$23,1,0),IFERROR(VLOOKUP((LEFT(P18,3)),BASE!$E$12:$F$23,1,0),IFERROR(VLOOKUP((LEFT(P18,2)),BASE!$E$12:$F$23,1,0),IFERROR(VLOOKUP((LEFT(P18,1)),BASE!$E$12:$F$23,1,0),100))))</f>
        <v>100</v>
      </c>
      <c r="G18" s="12">
        <f>IFERROR(VLOOKUP((LEFT(Q18,4)),BASE!$E$12:$F$23,1,0),IFERROR(VLOOKUP((LEFT(Q18,3)),BASE!$E$12:$F$23,1,0),IFERROR(VLOOKUP((LEFT(Q18,2)),BASE!$E$12:$F$23,1,0),IFERROR(VLOOKUP((LEFT(Q18,1)),BASE!$E$12:$F$23,1,0),100))))</f>
        <v>100</v>
      </c>
      <c r="H18" s="12">
        <f>IFERROR(VLOOKUP((LEFT(R18,4)),BASE!$E$12:$F$23,1,0),IFERROR(VLOOKUP((LEFT(R18,3)),BASE!$E$12:$F$23,1,0),IFERROR(VLOOKUP((LEFT(R18,2)),BASE!$E$12:$F$23,1,0),IFERROR(VLOOKUP((LEFT(R18,1)),BASE!$E$12:$F$23,1,0),100))))</f>
        <v>100</v>
      </c>
      <c r="I18" s="12">
        <f>IFERROR(VLOOKUP((LEFT(S18,4)),BASE!$E$12:$F$23,1,0),IFERROR(VLOOKUP((LEFT(S18,3)),BASE!$E$12:$F$23,1,0),IFERROR(VLOOKUP((LEFT(S18,2)),BASE!$E$12:$F$23,1,0),IFERROR(VLOOKUP((LEFT(S18,1)),BASE!$E$12:$F$23,1,0),100))))</f>
        <v>100</v>
      </c>
      <c r="J18" s="12" t="str">
        <f>IFERROR(VLOOKUP((LEFT(T18,4)),BASE!$E$12:$F$24,1,0),IFERROR(VLOOKUP((LEFT(T18,3)),BASE!$E$12:$F$24,1,0),IFERROR(VLOOKUP((LEFT(T18,2)),BASE!$E$12:$F$24,1,0),IFERROR(VLOOKUP((LEFT(T18,1)),BASE!$E$12:$F$24,1,0),100))))</f>
        <v>k</v>
      </c>
      <c r="K18" s="12" t="str">
        <f>IFERROR(VLOOKUP((LEFT(U18,4)),BASE!$E$12:$F$23,1,0),IFERROR(VLOOKUP((LEFT(U18,3)),BASE!$E$12:$F$23,1,0),IFERROR(VLOOKUP((LEFT(U18,2)),BASE!$E$12:$F$23,1,0),IFERROR(VLOOKUP((LEFT(U18,1)),BASE!$E$12:$F$23,1,0),100))))</f>
        <v>n</v>
      </c>
      <c r="L18" s="14" t="str">
        <f t="shared" si="0"/>
        <v/>
      </c>
      <c r="M18" s="14" t="str">
        <f t="shared" si="0"/>
        <v/>
      </c>
      <c r="N18" s="14" t="str">
        <f t="shared" si="0"/>
        <v/>
      </c>
      <c r="O18" s="14" t="str">
        <f t="shared" si="0"/>
        <v/>
      </c>
      <c r="P18" s="14" t="str">
        <f t="shared" si="0"/>
        <v/>
      </c>
      <c r="Q18" s="14" t="str">
        <f t="shared" si="0"/>
        <v/>
      </c>
      <c r="R18" s="14" t="str">
        <f t="shared" si="0"/>
        <v/>
      </c>
      <c r="S18" s="14" t="str">
        <f t="shared" si="0"/>
        <v/>
      </c>
      <c r="T18" s="14" t="str">
        <f t="shared" si="0"/>
        <v>k</v>
      </c>
      <c r="U18" s="14" t="str">
        <f t="shared" si="1"/>
        <v>nk</v>
      </c>
      <c r="V18" s="13">
        <f>IFERROR(VLOOKUP(LEFT(AZ18,2),BASE!$C$96:$E$342,3,0),IFERROR(VLOOKUP(LEFT(AZ18,1),BASE!$C$96:$E$342,3,0),100))</f>
        <v>100</v>
      </c>
      <c r="W18" s="13">
        <f>IFERROR(VLOOKUP(LEFT(BA18,2),BASE!$C$96:$E$342,3,0),IFERROR(VLOOKUP(LEFT(BA18,1),BASE!$C$96:$E$342,3,0),100))</f>
        <v>100</v>
      </c>
      <c r="X18" s="13">
        <f>IFERROR(VLOOKUP(LEFT(BB18,2),BASE!$C$96:$E$342,3,0),IFERROR(VLOOKUP(LEFT(BB18,1),BASE!$C$96:$E$342,3,0),100))</f>
        <v>100</v>
      </c>
      <c r="Y18" s="13">
        <f>IFERROR(VLOOKUP(LEFT(BC18,2),BASE!$C$96:$E$342,3,0),IFERROR(VLOOKUP(LEFT(BC18,1),BASE!$C$96:$E$342,3,0),100))</f>
        <v>100</v>
      </c>
      <c r="Z18" s="13">
        <f>IFERROR(VLOOKUP(LEFT(BD18,2),BASE!$C$96:$E$342,3,0),IFERROR(VLOOKUP(LEFT(BD18,1),BASE!$C$96:$E$342,3,0),100))</f>
        <v>100</v>
      </c>
      <c r="AA18" s="13">
        <f>IFERROR(VLOOKUP(LEFT(BE18,2),BASE!$C$96:$E$342,3,0),IFERROR(VLOOKUP(LEFT(BE18,1),BASE!$C$96:$E$342,3,0),100))</f>
        <v>100</v>
      </c>
      <c r="AB18" s="13">
        <f>IFERROR(VLOOKUP(LEFT(BF18,2),BASE!$C$96:$E$342,3,0),IFERROR(VLOOKUP(LEFT(BF18,1),BASE!$C$96:$E$342,3,0),100))</f>
        <v>100</v>
      </c>
      <c r="AC18" s="13">
        <f>IFERROR(VLOOKUP(LEFT(BG18,2),BASE!$C$96:$E$342,3,0),IFERROR(VLOOKUP(LEFT(BG18,1),BASE!$C$96:$E$342,3,0),100))</f>
        <v>100</v>
      </c>
      <c r="AD18" s="13">
        <f>IFERROR(VLOOKUP(LEFT(BH18,2),BASE!$C$96:$E$342,3,0),IFERROR(VLOOKUP(LEFT(BH18,1),BASE!$C$96:$E$342,3,0),100))</f>
        <v>1</v>
      </c>
      <c r="AE18" s="13">
        <f>IFERROR(VLOOKUP(LEFT(BI18,2),BASE!$C$96:$E$342,3,0),IFERROR(VLOOKUP(LEFT(BI18,1),BASE!$C$96:$E$342,3,0),100))</f>
        <v>2</v>
      </c>
      <c r="AF18" s="187" t="str">
        <f>IF(AND(BS18=BR18,AG18="o"),"A", (IFERROR(VLOOKUP(LEFT(AZ18,2),BASE!$C$346:$D$592,2,0),IFERROR(VLOOKUP(LEFT(AZ18,1),BASE!$C$346:$D$5922,2,0),AZ18))))</f>
        <v/>
      </c>
      <c r="AG18" s="187" t="str">
        <f>IF(AND(BR18=BQ18,AH18="o"),"A", (IFERROR(VLOOKUP(LEFT(BA18,2),BASE!$C$346:$D$592,2,0),IFERROR(VLOOKUP(LEFT(BA18,1),BASE!$C$346:$D$592,2,0),BA18))))</f>
        <v/>
      </c>
      <c r="AH18" s="187" t="str">
        <f>IF(AND(BQ18=BP18,AI18="o"),"A", (IFERROR(VLOOKUP(LEFT(BB18,2),BASE!$C$346:$D$592,2,0),IFERROR(VLOOKUP(LEFT(BB18,1),BASE!$C$346:$D$592,2,0),BB18))))</f>
        <v/>
      </c>
      <c r="AI18" s="187" t="str">
        <f>IF(AND(BP18=BO18,AJ18="o"),"A", (IFERROR(VLOOKUP(LEFT(BC18,2),BASE!$C$346:$D$592,2,0),IFERROR(VLOOKUP(LEFT(BC18,1),BASE!$C$346:$D$592,2,0),BC18))))</f>
        <v/>
      </c>
      <c r="AJ18" s="187" t="str">
        <f>IF(AND(BO18=BN18,AK18="o"),"A", (IFERROR(VLOOKUP(LEFT(BD18,2),BASE!$C$346:$D$592,2,0),IFERROR(VLOOKUP(LEFT(BD18,1),BASE!$C$346:$D$592,2,0),BD18))))</f>
        <v/>
      </c>
      <c r="AK18" s="187" t="str">
        <f>IF(AND(BN18=BM18,AL18="o"),"A", (IFERROR(VLOOKUP(LEFT(BE18,2),BASE!$C$346:$D$592,2,0),IFERROR(VLOOKUP(LEFT(BE18,1),BASE!$C$346:$D$592,2,0),BE18))))</f>
        <v/>
      </c>
      <c r="AL18" s="187" t="str">
        <f>IF(AND(BM18=BL18,AM18="o"),"A", (IFERROR(VLOOKUP(LEFT(BF18,2),BASE!$C$346:$D$592,2,0),IFERROR(VLOOKUP(LEFT(BF18,1),BASE!$C$346:$D$592,2,0),BF18))))</f>
        <v/>
      </c>
      <c r="AM18" s="187" t="str">
        <f>IF(AND(BL18=BK18,AN18="o"),"A",(IFERROR(VLOOKUP(LEFT(BG18,2),BASE!$C$346:$D$592,2,0),IFERROR(VLOOKUP(LEFT(BG18,1),BASE!$C$346:$D$592,2,0),BG18))))</f>
        <v/>
      </c>
      <c r="AN18" s="187" t="str">
        <f>(IFERROR(VLOOKUP(LEFT(BH18,2),BASE!$C$346:$D$592,2,0),IFERROR(VLOOKUP(LEFT(BH18,1),BASE!$C$346:$D$592,2,0),BH18)))</f>
        <v>k</v>
      </c>
      <c r="AO18" s="187" t="str">
        <f>(IFERROR(VLOOKUP(LEFT(BI18,2),BASE!$C$96:$D$342,2,0),IFERROR(VLOOKUP(LEFT(BI18,1),BASE!$C$96:$D$342,2,0),BI18)))</f>
        <v>n</v>
      </c>
      <c r="AP18" s="5">
        <f t="shared" si="2"/>
        <v>3</v>
      </c>
      <c r="AQ18" s="5">
        <f t="shared" si="2"/>
        <v>3</v>
      </c>
      <c r="AR18" s="5">
        <f t="shared" si="2"/>
        <v>3</v>
      </c>
      <c r="AS18" s="5">
        <f t="shared" si="2"/>
        <v>3</v>
      </c>
      <c r="AT18" s="5">
        <f t="shared" si="2"/>
        <v>3</v>
      </c>
      <c r="AU18" s="5">
        <f t="shared" si="2"/>
        <v>3</v>
      </c>
      <c r="AV18" s="5">
        <f t="shared" si="2"/>
        <v>3</v>
      </c>
      <c r="AW18" s="5">
        <f t="shared" si="2"/>
        <v>3</v>
      </c>
      <c r="AX18" s="5">
        <f t="shared" si="2"/>
        <v>3</v>
      </c>
      <c r="AY18" s="5">
        <f t="shared" si="3"/>
        <v>3</v>
      </c>
      <c r="AZ18" s="12" t="str">
        <f t="shared" si="4"/>
        <v/>
      </c>
      <c r="BA18" s="12" t="str">
        <f t="shared" si="4"/>
        <v/>
      </c>
      <c r="BB18" s="12" t="str">
        <f t="shared" si="4"/>
        <v/>
      </c>
      <c r="BC18" s="12" t="str">
        <f t="shared" si="4"/>
        <v/>
      </c>
      <c r="BD18" s="12" t="str">
        <f t="shared" si="4"/>
        <v/>
      </c>
      <c r="BE18" s="12" t="str">
        <f t="shared" si="4"/>
        <v/>
      </c>
      <c r="BF18" s="12" t="str">
        <f t="shared" si="4"/>
        <v/>
      </c>
      <c r="BG18" s="12" t="str">
        <f t="shared" si="4"/>
        <v/>
      </c>
      <c r="BH18" s="43" t="str">
        <f t="shared" si="4"/>
        <v>ல</v>
      </c>
      <c r="BI18" s="57" t="str">
        <f>CE6</f>
        <v>போல</v>
      </c>
      <c r="BJ18" s="58" t="str">
        <f>IFERROR(VLOOKUP(LEFT(BI18,2),BASE!$C$96:$F$342,1,0),IFERROR(VLOOKUP(LEFT(BI18,1),BASE!$C$96:$F$342,1,0),BI18))</f>
        <v>போ</v>
      </c>
      <c r="BK18" s="58" t="str">
        <f>IFERROR(VLOOKUP(LEFT(BH18,2),BASE!$C$96:$D$342,1,0),IFERROR(VLOOKUP(LEFT(BH18,1),BASE!$C$96:$D$342,1,0),BH18))</f>
        <v>ல</v>
      </c>
      <c r="BL18" s="58" t="str">
        <f>IFERROR(VLOOKUP(LEFT(BG18,2),BASE!$C$96:$D$342,1,0),IFERROR(VLOOKUP(LEFT(BG18,1),BASE!$C$96:$D$342,1,0),BG18))</f>
        <v/>
      </c>
      <c r="BM18" s="58" t="str">
        <f>IFERROR(VLOOKUP(LEFT(BF18,2),BASE!$C$96:$D$342,1,0),IFERROR(VLOOKUP(LEFT(BF18,1),BASE!$C$96:$D$342,1,0),BF18))</f>
        <v/>
      </c>
      <c r="BN18" s="58" t="str">
        <f>IFERROR(VLOOKUP(LEFT(BE18,2),BASE!$C$96:$D$342,1,0),IFERROR(VLOOKUP(LEFT(BE18,1),BASE!$C$96:$D$342,1,0),BE18))</f>
        <v/>
      </c>
      <c r="BO18" s="58" t="str">
        <f>IFERROR(VLOOKUP(LEFT(BD18,2),BASE!$C$96:$D$342,1,0),IFERROR(VLOOKUP(LEFT(BD18,1),BASE!$C$96:$D$342,1,0),BD18))</f>
        <v/>
      </c>
      <c r="BP18" s="58" t="str">
        <f>IFERROR(VLOOKUP(LEFT(BC18,2),BASE!$C$96:$D$342,1,0),IFERROR(VLOOKUP(LEFT(BC18,1),BASE!$C$96:$D$342,1,0),BC18))</f>
        <v/>
      </c>
      <c r="BQ18" s="58" t="str">
        <f>IFERROR(VLOOKUP(LEFT(BB18,2),BASE!$C$96:$D$342,1,0),IFERROR(VLOOKUP(LEFT(BB18,1),BASE!$C$96:$D$342,1,0),BB18))</f>
        <v/>
      </c>
      <c r="BR18" s="58" t="str">
        <f>IFERROR(VLOOKUP(LEFT(BA18,2),BASE!$C$96:$D$342,1,0),IFERROR(VLOOKUP(LEFT(BA18,1),BASE!$C$96:$D$342,1,0),BA18))</f>
        <v/>
      </c>
      <c r="BS18" s="58" t="str">
        <f>IFERROR(VLOOKUP(LEFT(AZ18,2),BASE!$C$96:$D$342,1,0),IFERROR(VLOOKUP(LEFT(AZ18,1),BASE!$C$96:$D$342,1,0),AZ18))</f>
        <v/>
      </c>
      <c r="BT18" s="186" t="str">
        <f>(IFERROR(VLOOKUP(LEFT(BI18,2),BASE!$C$96:$F$342,4,0),IFERROR(VLOOKUP(LEFT(BI18,1),BASE!$C$96:$F$342,4,0),BI18)))</f>
        <v>நெ</v>
      </c>
      <c r="BU18" s="186" t="str">
        <f>(IFERROR(VLOOKUP(LEFT(BH18,2),BASE!$C$346:$F$592,4,0),IFERROR(VLOOKUP(LEFT(BH18,1),BASE!$C$346:$F$592,4,0),BH18)))</f>
        <v>கு</v>
      </c>
      <c r="BV18" s="186" t="str">
        <f>(IFERROR(VLOOKUP(LEFT(BG18,2),BASE!$C$346:$F$592,4,0),IFERROR(VLOOKUP(LEFT(BG18,1),BASE!$C$346:$F$592,4,0),BG18)))</f>
        <v/>
      </c>
      <c r="BW18" s="186" t="str">
        <f>(IFERROR(VLOOKUP(LEFT(BF18,2),BASE!$C$346:$F$592,4,0),IFERROR(VLOOKUP(LEFT(BF18,1),BASE!$C$346:$F$592,4,0),BF18)))</f>
        <v/>
      </c>
      <c r="BX18" s="186" t="str">
        <f>(IFERROR(VLOOKUP(LEFT(BE18,2),BASE!$C$346:$F$592,4,0),IFERROR(VLOOKUP(LEFT(BE18,1),BASE!$C$346:$F$592,4,0),BE18)))</f>
        <v/>
      </c>
      <c r="BY18" s="186" t="str">
        <f>(IFERROR(VLOOKUP(LEFT(BD18,2),BASE!$C$346:$F$592,4,0),IFERROR(VLOOKUP(LEFT(BD18,1),BASE!$C$346:$F$592,4,0),BD18)))</f>
        <v/>
      </c>
      <c r="BZ18" s="186" t="str">
        <f>(IFERROR(VLOOKUP(LEFT(BC18,2),BASE!$C$346:$F$592,4,0),IFERROR(VLOOKUP(LEFT(BC18,1),BASE!$C$346:$F$592,4,0),BC18)))</f>
        <v/>
      </c>
      <c r="CA18" s="186" t="str">
        <f>(IFERROR(VLOOKUP(LEFT(BB18,2),BASE!$C$346:$F$592,4,0),IFERROR(VLOOKUP(LEFT(BB18,1),BASE!$C$346:$F$592,4,0),BB18)))</f>
        <v/>
      </c>
      <c r="CB18" s="186" t="str">
        <f>(IFERROR(VLOOKUP(LEFT(BA18,2),BASE!$C$346:$F$592,4,0),IFERROR(VLOOKUP(LEFT(BA18,1),BASE!$C$346:$F$592,4,0),BA18)))</f>
        <v/>
      </c>
      <c r="CC18" s="186" t="str">
        <f>(IFERROR(VLOOKUP(LEFT(AZ18,2),BASE!$C$346:$F$592,4,0),IFERROR(VLOOKUP(LEFT(AZ18,1),BASE!$C$346:$F$592,4,0),AZ18)))</f>
        <v/>
      </c>
      <c r="CD18" s="58" t="str">
        <f t="shared" si="5"/>
        <v>நெகு</v>
      </c>
      <c r="CE18" s="58" t="str">
        <f>IFERROR(VLOOKUP((LEFT(U18,4)),BASE!$E$12:$F$23,2,0),IFERROR(VLOOKUP((LEFT(U18,3)),BASE!$E$12:$F$23,2,0),IFERROR(VLOOKUP((LEFT(U18,2)),BASE!$E$12:$F$23,2,0),IFERROR(VLOOKUP((LEFT(U18,1)),BASE!$E$12:$F$23,2,0),U18))))</f>
        <v>நேர்</v>
      </c>
      <c r="CF18" s="58" t="str">
        <f>IFERROR(VLOOKUP((LEFT(T18,4)),BASE!$E$12:$F$24,2,0),IFERROR(VLOOKUP((LEFT(T18,3)),BASE!$E$12:$F$24,2,0),IFERROR(VLOOKUP((LEFT(T18,2)),BASE!$E$12:$F$24,2,0),IFERROR(VLOOKUP((LEFT(T18,1)),BASE!$E$12:$F$24,2,0),T18))))</f>
        <v>நேர்</v>
      </c>
      <c r="CG18" s="58" t="str">
        <f>IFERROR(VLOOKUP((LEFT(S18,4)),BASE!$E$12:$F$23,2,0),IFERROR(VLOOKUP((LEFT(S18,3)),BASE!$E$12:$F$23,2,0),IFERROR(VLOOKUP((LEFT(S18,2)),BASE!$E$12:$F$23,2,0),IFERROR(VLOOKUP((LEFT(S18,1)),BASE!$E$12:$F$23,2,0),S18))))</f>
        <v/>
      </c>
      <c r="CH18" s="58" t="str">
        <f>IFERROR(VLOOKUP((LEFT(R18,4)),BASE!$E$12:$F$23,2,0),IFERROR(VLOOKUP((LEFT(R18,3)),BASE!$E$12:$F$23,2,0),IFERROR(VLOOKUP((LEFT(R18,2)),BASE!$E$12:$F$23,2,0),IFERROR(VLOOKUP((LEFT(R18,1)),BASE!$E$12:$F$23,2,0),R18))))</f>
        <v/>
      </c>
      <c r="CI18" s="58" t="str">
        <f>IFERROR(VLOOKUP((LEFT(Q18,4)),BASE!$E$12:$F$23,2,0),IFERROR(VLOOKUP((LEFT(Q18,3)),BASE!$E$12:$F$23,2,0),IFERROR(VLOOKUP((LEFT(Q18,2)),BASE!$E$12:$F$23,2,0),IFERROR(VLOOKUP((LEFT(Q18,1)),BASE!$E$12:$F$23,2,0),Q18))))</f>
        <v/>
      </c>
      <c r="CJ18" s="58" t="str">
        <f>IFERROR(VLOOKUP((LEFT(P18,4)),BASE!$E$12:$F$23,2,0),IFERROR(VLOOKUP((LEFT(P18,3)),BASE!$E$12:$F$23,2,0),IFERROR(VLOOKUP((LEFT(P18,2)),BASE!$E$12:$F$23,2,0),IFERROR(VLOOKUP((LEFT(P18,1)),BASE!$E$12:$F$23,2,0),P18))))</f>
        <v/>
      </c>
      <c r="CK18" s="58" t="str">
        <f>IFERROR(VLOOKUP((LEFT(O18,4)),BASE!$E$12:$F$23,2,0),IFERROR(VLOOKUP((LEFT(O18,3)),BASE!$E$12:$F$23,2,0),IFERROR(VLOOKUP((LEFT(O18,2)),BASE!$E$12:$F$23,2,0),IFERROR(VLOOKUP((LEFT(O18,1)),BASE!$E$12:$F$23,2,0),O18))))</f>
        <v/>
      </c>
      <c r="CL18" s="58" t="str">
        <f>IFERROR(VLOOKUP((LEFT(N18,4)),BASE!$E$12:$F$23,2,0),IFERROR(VLOOKUP((LEFT(N18,3)),BASE!$E$12:$F$23,2,0),IFERROR(VLOOKUP((LEFT(N18,2)),BASE!$E$12:$F$23,2,0),IFERROR(VLOOKUP((LEFT(N18,1)),BASE!$E$12:$F$23,2,0),N18))))</f>
        <v/>
      </c>
      <c r="CM18" s="58" t="str">
        <f>IFERROR(VLOOKUP((LEFT(M18,4)),BASE!$E$12:$F$23,2,0),IFERROR(VLOOKUP((LEFT(M18,3)),BASE!$E$12:$F$23,2,0),IFERROR(VLOOKUP((LEFT(M18,2)),BASE!$E$12:$F$23,2,0),IFERROR(VLOOKUP((LEFT(M18,1)),BASE!$E$12:$F$23,2,0),M18))))</f>
        <v/>
      </c>
      <c r="CN18" s="58" t="str">
        <f>IFERROR(VLOOKUP((LEFT(L18,4)),BASE!$E$12:$F$23,2,0),IFERROR(VLOOKUP((LEFT(L18,3)),BASE!$E$12:$F$23,2,0),IFERROR(VLOOKUP((LEFT(L18,2)),BASE!$E$12:$F$23,2,0),IFERROR(VLOOKUP((LEFT(L18,1)),BASE!$E$12:$F$23,2,0),L18))))</f>
        <v/>
      </c>
      <c r="CO18" s="58" t="str">
        <f t="shared" si="6"/>
        <v>நேர்நேர்</v>
      </c>
      <c r="CP18" s="58" t="str">
        <f>VLOOKUP(CO18,BASE!$E$25:$F$79,2,0)</f>
        <v>தேமா</v>
      </c>
      <c r="CQ18" s="58" t="str">
        <f>VLOOKUP(CO18,BASE!$E$25:$G$79,3,0)&amp;CE19</f>
        <v>மாநிரை</v>
      </c>
      <c r="CR18" s="58" t="str">
        <f>VLOOKUP(CQ18,BASE!$E$86:$G$93,2,0)</f>
        <v>மாமுன் நிரை</v>
      </c>
      <c r="CS18" s="58" t="str">
        <f>VLOOKUP(CQ18,BASE!$E$86:$G$93,3,0)</f>
        <v>இயற்சீர் வெண்டளை</v>
      </c>
      <c r="CT18" s="58" t="str">
        <f t="shared" si="7"/>
        <v>மூவசைக்கு மிகவில்லை</v>
      </c>
      <c r="CU18" s="58" t="str">
        <f t="shared" si="8"/>
        <v>சரி</v>
      </c>
      <c r="CV18" s="193"/>
    </row>
    <row r="19" spans="1:100" ht="19.5" customHeight="1" x14ac:dyDescent="0.35">
      <c r="A19" s="119"/>
      <c r="B19" s="12">
        <f>IFERROR(VLOOKUP((LEFT(L19,4)),BASE!$E$12:$F$23,1,0),IFERROR(VLOOKUP((LEFT(L19,3)),BASE!$E$12:$F$23,1,0),IFERROR(VLOOKUP((LEFT(L19,2)),BASE!$E$12:$F$23,1,0),IFERROR(VLOOKUP((LEFT(L19,1)),BASE!$E$12:$F$23,1,0),100))))</f>
        <v>100</v>
      </c>
      <c r="C19" s="12">
        <f>IFERROR(VLOOKUP((LEFT(M19,4)),BASE!$E$12:$F$23,1,0),IFERROR(VLOOKUP((LEFT(M19,3)),BASE!$E$12:$F$23,1,0),IFERROR(VLOOKUP((LEFT(M19,2)),BASE!$E$12:$F$23,1,0),IFERROR(VLOOKUP((LEFT(M19,1)),BASE!$E$12:$F$23,1,0),100))))</f>
        <v>100</v>
      </c>
      <c r="D19" s="12">
        <f>IFERROR(VLOOKUP((LEFT(N19,4)),BASE!$E$12:$F$23,1,0),IFERROR(VLOOKUP((LEFT(N19,3)),BASE!$E$12:$F$23,1,0),IFERROR(VLOOKUP((LEFT(N19,2)),BASE!$E$12:$F$23,1,0),IFERROR(VLOOKUP((LEFT(N19,1)),BASE!$E$12:$F$23,1,0),100))))</f>
        <v>100</v>
      </c>
      <c r="E19" s="12">
        <f>IFERROR(VLOOKUP((LEFT(O19,4)),BASE!$E$12:$F$23,1,0),IFERROR(VLOOKUP((LEFT(O19,3)),BASE!$E$12:$F$23,1,0),IFERROR(VLOOKUP((LEFT(O19,2)),BASE!$E$12:$F$23,1,0),IFERROR(VLOOKUP((LEFT(O19,1)),BASE!$E$12:$F$23,1,0),100))))</f>
        <v>100</v>
      </c>
      <c r="F19" s="12">
        <f>IFERROR(VLOOKUP((LEFT(P19,4)),BASE!$E$12:$F$23,1,0),IFERROR(VLOOKUP((LEFT(P19,3)),BASE!$E$12:$F$23,1,0),IFERROR(VLOOKUP((LEFT(P19,2)),BASE!$E$12:$F$23,1,0),IFERROR(VLOOKUP((LEFT(P19,1)),BASE!$E$12:$F$23,1,0),100))))</f>
        <v>100</v>
      </c>
      <c r="G19" s="12">
        <f>IFERROR(VLOOKUP((LEFT(Q19,4)),BASE!$E$12:$F$23,1,0),IFERROR(VLOOKUP((LEFT(Q19,3)),BASE!$E$12:$F$23,1,0),IFERROR(VLOOKUP((LEFT(Q19,2)),BASE!$E$12:$F$23,1,0),IFERROR(VLOOKUP((LEFT(Q19,1)),BASE!$E$12:$F$23,1,0),100))))</f>
        <v>100</v>
      </c>
      <c r="H19" s="12">
        <f>IFERROR(VLOOKUP((LEFT(R19,4)),BASE!$E$12:$F$23,1,0),IFERROR(VLOOKUP((LEFT(R19,3)),BASE!$E$12:$F$23,1,0),IFERROR(VLOOKUP((LEFT(R19,2)),BASE!$E$12:$F$23,1,0),IFERROR(VLOOKUP((LEFT(R19,1)),BASE!$E$12:$F$23,1,0),100))))</f>
        <v>100</v>
      </c>
      <c r="I19" s="12" t="str">
        <f>IFERROR(VLOOKUP((LEFT(S19,4)),BASE!$E$12:$F$23,1,0),IFERROR(VLOOKUP((LEFT(S19,3)),BASE!$E$12:$F$23,1,0),IFERROR(VLOOKUP((LEFT(S19,2)),BASE!$E$12:$F$23,1,0),IFERROR(VLOOKUP((LEFT(S19,1)),BASE!$E$12:$F$23,1,0),100))))</f>
        <v>no</v>
      </c>
      <c r="J19" s="12" t="str">
        <f>IFERROR(VLOOKUP((LEFT(T19,4)),BASE!$E$12:$F$24,1,0),IFERROR(VLOOKUP((LEFT(T19,3)),BASE!$E$12:$F$24,1,0),IFERROR(VLOOKUP((LEFT(T19,2)),BASE!$E$12:$F$24,1,0),IFERROR(VLOOKUP((LEFT(T19,1)),BASE!$E$12:$F$24,1,0),100))))</f>
        <v>kk</v>
      </c>
      <c r="K19" s="12" t="str">
        <f>IFERROR(VLOOKUP((LEFT(U19,4)),BASE!$E$12:$F$23,1,0),IFERROR(VLOOKUP((LEFT(U19,3)),BASE!$E$12:$F$23,1,0),IFERROR(VLOOKUP((LEFT(U19,2)),BASE!$E$12:$F$23,1,0),IFERROR(VLOOKUP((LEFT(U19,1)),BASE!$E$12:$F$23,1,0),100))))</f>
        <v>kk</v>
      </c>
      <c r="L19" s="14" t="str">
        <f t="shared" si="0"/>
        <v/>
      </c>
      <c r="M19" s="14" t="str">
        <f t="shared" si="0"/>
        <v/>
      </c>
      <c r="N19" s="14" t="str">
        <f t="shared" si="0"/>
        <v/>
      </c>
      <c r="O19" s="14" t="str">
        <f t="shared" si="0"/>
        <v/>
      </c>
      <c r="P19" s="14" t="str">
        <f t="shared" si="0"/>
        <v/>
      </c>
      <c r="Q19" s="14" t="str">
        <f t="shared" si="0"/>
        <v/>
      </c>
      <c r="R19" s="14" t="str">
        <f t="shared" si="0"/>
        <v/>
      </c>
      <c r="S19" s="14" t="str">
        <f t="shared" si="0"/>
        <v>no</v>
      </c>
      <c r="T19" s="14" t="str">
        <f t="shared" si="0"/>
        <v>kkno</v>
      </c>
      <c r="U19" s="14" t="str">
        <f t="shared" si="1"/>
        <v>kkkkno</v>
      </c>
      <c r="V19" s="13">
        <f>IFERROR(VLOOKUP(LEFT(AZ19,2),BASE!$C$96:$E$342,3,0),IFERROR(VLOOKUP(LEFT(AZ19,1),BASE!$C$96:$E$342,3,0),100))</f>
        <v>100</v>
      </c>
      <c r="W19" s="13">
        <f>IFERROR(VLOOKUP(LEFT(BA19,2),BASE!$C$96:$E$342,3,0),IFERROR(VLOOKUP(LEFT(BA19,1),BASE!$C$96:$E$342,3,0),100))</f>
        <v>100</v>
      </c>
      <c r="X19" s="13">
        <f>IFERROR(VLOOKUP(LEFT(BB19,2),BASE!$C$96:$E$342,3,0),IFERROR(VLOOKUP(LEFT(BB19,1),BASE!$C$96:$E$342,3,0),100))</f>
        <v>100</v>
      </c>
      <c r="Y19" s="13">
        <f>IFERROR(VLOOKUP(LEFT(BC19,2),BASE!$C$96:$E$342,3,0),IFERROR(VLOOKUP(LEFT(BC19,1),BASE!$C$96:$E$342,3,0),100))</f>
        <v>100</v>
      </c>
      <c r="Z19" s="13">
        <f>IFERROR(VLOOKUP(LEFT(BD19,2),BASE!$C$96:$E$342,3,0),IFERROR(VLOOKUP(LEFT(BD19,1),BASE!$C$96:$E$342,3,0),100))</f>
        <v>2</v>
      </c>
      <c r="AA19" s="13">
        <f>IFERROR(VLOOKUP(LEFT(BE19,2),BASE!$C$96:$E$342,3,0),IFERROR(VLOOKUP(LEFT(BE19,1),BASE!$C$96:$E$342,3,0),100))</f>
        <v>2</v>
      </c>
      <c r="AB19" s="13">
        <f>IFERROR(VLOOKUP(LEFT(BF19,2),BASE!$C$96:$E$342,3,0),IFERROR(VLOOKUP(LEFT(BF19,1),BASE!$C$96:$E$342,3,0),100))</f>
        <v>2</v>
      </c>
      <c r="AC19" s="13">
        <f>IFERROR(VLOOKUP(LEFT(BG19,2),BASE!$C$96:$E$342,3,0),IFERROR(VLOOKUP(LEFT(BG19,1),BASE!$C$96:$E$342,3,0),100))</f>
        <v>2</v>
      </c>
      <c r="AD19" s="13">
        <f>IFERROR(VLOOKUP(LEFT(BH19,2),BASE!$C$96:$E$342,3,0),IFERROR(VLOOKUP(LEFT(BH19,1),BASE!$C$96:$E$342,3,0),100))</f>
        <v>2</v>
      </c>
      <c r="AE19" s="13">
        <f>IFERROR(VLOOKUP(LEFT(BI19,2),BASE!$C$96:$E$342,3,0),IFERROR(VLOOKUP(LEFT(BI19,1),BASE!$C$96:$E$342,3,0),100))</f>
        <v>1</v>
      </c>
      <c r="AF19" s="187" t="str">
        <f>IF(AND(BS19=BR19,AG19="o"),"A", (IFERROR(VLOOKUP(LEFT(AZ19,2),BASE!$C$346:$D$592,2,0),IFERROR(VLOOKUP(LEFT(AZ19,1),BASE!$C$346:$D$5922,2,0),AZ19))))</f>
        <v/>
      </c>
      <c r="AG19" s="187" t="str">
        <f>IF(AND(BR19=BQ19,AH19="o"),"A", (IFERROR(VLOOKUP(LEFT(BA19,2),BASE!$C$346:$D$592,2,0),IFERROR(VLOOKUP(LEFT(BA19,1),BASE!$C$346:$D$592,2,0),BA19))))</f>
        <v/>
      </c>
      <c r="AH19" s="187" t="str">
        <f>IF(AND(BQ19=BP19,AI19="o"),"A", (IFERROR(VLOOKUP(LEFT(BB19,2),BASE!$C$346:$D$592,2,0),IFERROR(VLOOKUP(LEFT(BB19,1),BASE!$C$346:$D$592,2,0),BB19))))</f>
        <v/>
      </c>
      <c r="AI19" s="187" t="str">
        <f>IF(AND(BP19=BO19,AJ19="o"),"A", (IFERROR(VLOOKUP(LEFT(BC19,2),BASE!$C$346:$D$592,2,0),IFERROR(VLOOKUP(LEFT(BC19,1),BASE!$C$346:$D$592,2,0),BC19))))</f>
        <v/>
      </c>
      <c r="AJ19" s="187" t="str">
        <f>IF(AND(BO19=BN19,AK19="o"),"A", (IFERROR(VLOOKUP(LEFT(BD19,2),BASE!$C$346:$D$592,2,0),IFERROR(VLOOKUP(LEFT(BD19,1),BASE!$C$346:$D$592,2,0),BD19))))</f>
        <v>o</v>
      </c>
      <c r="AK19" s="187" t="str">
        <f>IF(AND(BN19=BM19,AL19="o"),"A", (IFERROR(VLOOKUP(LEFT(BE19,2),BASE!$C$346:$D$592,2,0),IFERROR(VLOOKUP(LEFT(BE19,1),BASE!$C$346:$D$592,2,0),BE19))))</f>
        <v>n</v>
      </c>
      <c r="AL19" s="187" t="str">
        <f>IF(AND(BM19=BL19,AM19="o"),"A", (IFERROR(VLOOKUP(LEFT(BF19,2),BASE!$C$346:$D$592,2,0),IFERROR(VLOOKUP(LEFT(BF19,1),BASE!$C$346:$D$592,2,0),BF19))))</f>
        <v>k</v>
      </c>
      <c r="AM19" s="187" t="str">
        <f>IF(AND(BL19=BK19,AN19="o"),"A",(IFERROR(VLOOKUP(LEFT(BG19,2),BASE!$C$346:$D$592,2,0),IFERROR(VLOOKUP(LEFT(BG19,1),BASE!$C$346:$D$592,2,0),BG19))))</f>
        <v>k</v>
      </c>
      <c r="AN19" s="187" t="str">
        <f>(IFERROR(VLOOKUP(LEFT(BH19,2),BASE!$C$346:$D$592,2,0),IFERROR(VLOOKUP(LEFT(BH19,1),BASE!$C$346:$D$592,2,0),BH19)))</f>
        <v>k</v>
      </c>
      <c r="AO19" s="187" t="str">
        <f>(IFERROR(VLOOKUP(LEFT(BI19,2),BASE!$C$96:$D$342,2,0),IFERROR(VLOOKUP(LEFT(BI19,1),BASE!$C$96:$D$342,2,0),BI19)))</f>
        <v>k</v>
      </c>
      <c r="AP19" s="5">
        <f t="shared" si="2"/>
        <v>11</v>
      </c>
      <c r="AQ19" s="5">
        <f t="shared" si="2"/>
        <v>11</v>
      </c>
      <c r="AR19" s="5">
        <f t="shared" si="2"/>
        <v>11</v>
      </c>
      <c r="AS19" s="5">
        <f t="shared" si="2"/>
        <v>11</v>
      </c>
      <c r="AT19" s="5">
        <f t="shared" si="2"/>
        <v>11</v>
      </c>
      <c r="AU19" s="5">
        <f t="shared" si="2"/>
        <v>11</v>
      </c>
      <c r="AV19" s="5">
        <f t="shared" si="2"/>
        <v>11</v>
      </c>
      <c r="AW19" s="5">
        <f t="shared" si="2"/>
        <v>11</v>
      </c>
      <c r="AX19" s="5">
        <f t="shared" si="2"/>
        <v>11</v>
      </c>
      <c r="AY19" s="5">
        <f t="shared" si="3"/>
        <v>11</v>
      </c>
      <c r="AZ19" s="12" t="str">
        <f t="shared" si="4"/>
        <v/>
      </c>
      <c r="BA19" s="12" t="str">
        <f t="shared" si="4"/>
        <v/>
      </c>
      <c r="BB19" s="12" t="str">
        <f t="shared" si="4"/>
        <v/>
      </c>
      <c r="BC19" s="12" t="str">
        <f t="shared" si="4"/>
        <v/>
      </c>
      <c r="BD19" s="12" t="str">
        <f t="shared" si="4"/>
        <v>ர்</v>
      </c>
      <c r="BE19" s="12" t="str">
        <f t="shared" si="4"/>
        <v>யார்</v>
      </c>
      <c r="BF19" s="12" t="str">
        <f t="shared" si="4"/>
        <v>டையார்</v>
      </c>
      <c r="BG19" s="12" t="str">
        <f t="shared" si="4"/>
        <v>ளுடையார்</v>
      </c>
      <c r="BH19" s="43" t="str">
        <f t="shared" si="4"/>
        <v>ருளுடையார்</v>
      </c>
      <c r="BI19" s="57" t="str">
        <f>CF6</f>
        <v>அருளுடையார்</v>
      </c>
      <c r="BJ19" s="58" t="str">
        <f>IFERROR(VLOOKUP(LEFT(BI19,2),BASE!$C$96:$F$342,1,0),IFERROR(VLOOKUP(LEFT(BI19,1),BASE!$C$96:$F$342,1,0),BI19))</f>
        <v>அ</v>
      </c>
      <c r="BK19" s="58" t="str">
        <f>IFERROR(VLOOKUP(LEFT(BH19,2),BASE!$C$96:$D$342,1,0),IFERROR(VLOOKUP(LEFT(BH19,1),BASE!$C$96:$D$342,1,0),BH19))</f>
        <v>ரு</v>
      </c>
      <c r="BL19" s="58" t="str">
        <f>IFERROR(VLOOKUP(LEFT(BG19,2),BASE!$C$96:$D$342,1,0),IFERROR(VLOOKUP(LEFT(BG19,1),BASE!$C$96:$D$342,1,0),BG19))</f>
        <v>ளு</v>
      </c>
      <c r="BM19" s="58" t="str">
        <f>IFERROR(VLOOKUP(LEFT(BF19,2),BASE!$C$96:$D$342,1,0),IFERROR(VLOOKUP(LEFT(BF19,1),BASE!$C$96:$D$342,1,0),BF19))</f>
        <v>டை</v>
      </c>
      <c r="BN19" s="58" t="str">
        <f>IFERROR(VLOOKUP(LEFT(BE19,2),BASE!$C$96:$D$342,1,0),IFERROR(VLOOKUP(LEFT(BE19,1),BASE!$C$96:$D$342,1,0),BE19))</f>
        <v>யா</v>
      </c>
      <c r="BO19" s="58" t="str">
        <f>IFERROR(VLOOKUP(LEFT(BD19,2),BASE!$C$96:$D$342,1,0),IFERROR(VLOOKUP(LEFT(BD19,1),BASE!$C$96:$D$342,1,0),BD19))</f>
        <v>ர்</v>
      </c>
      <c r="BP19" s="58" t="str">
        <f>IFERROR(VLOOKUP(LEFT(BC19,2),BASE!$C$96:$D$342,1,0),IFERROR(VLOOKUP(LEFT(BC19,1),BASE!$C$96:$D$342,1,0),BC19))</f>
        <v/>
      </c>
      <c r="BQ19" s="58" t="str">
        <f>IFERROR(VLOOKUP(LEFT(BB19,2),BASE!$C$96:$D$342,1,0),IFERROR(VLOOKUP(LEFT(BB19,1),BASE!$C$96:$D$342,1,0),BB19))</f>
        <v/>
      </c>
      <c r="BR19" s="58" t="str">
        <f>IFERROR(VLOOKUP(LEFT(BA19,2),BASE!$C$96:$D$342,1,0),IFERROR(VLOOKUP(LEFT(BA19,1),BASE!$C$96:$D$342,1,0),BA19))</f>
        <v/>
      </c>
      <c r="BS19" s="58" t="str">
        <f>IFERROR(VLOOKUP(LEFT(AZ19,2),BASE!$C$96:$D$342,1,0),IFERROR(VLOOKUP(LEFT(AZ19,1),BASE!$C$96:$D$342,1,0),AZ19))</f>
        <v/>
      </c>
      <c r="BT19" s="186" t="str">
        <f>(IFERROR(VLOOKUP(LEFT(BI19,2),BASE!$C$96:$F$342,4,0),IFERROR(VLOOKUP(LEFT(BI19,1),BASE!$C$96:$F$342,4,0),BI19)))</f>
        <v>கு</v>
      </c>
      <c r="BU19" s="186" t="str">
        <f>(IFERROR(VLOOKUP(LEFT(BH19,2),BASE!$C$346:$F$592,4,0),IFERROR(VLOOKUP(LEFT(BH19,1),BASE!$C$346:$F$592,4,0),BH19)))</f>
        <v>கு</v>
      </c>
      <c r="BV19" s="186" t="str">
        <f>(IFERROR(VLOOKUP(LEFT(BG19,2),BASE!$C$346:$F$592,4,0),IFERROR(VLOOKUP(LEFT(BG19,1),BASE!$C$346:$F$592,4,0),BG19)))</f>
        <v>கு</v>
      </c>
      <c r="BW19" s="186" t="str">
        <f>(IFERROR(VLOOKUP(LEFT(BF19,2),BASE!$C$346:$F$592,4,0),IFERROR(VLOOKUP(LEFT(BF19,1),BASE!$C$346:$F$592,4,0),BF19)))</f>
        <v>கு</v>
      </c>
      <c r="BX19" s="186" t="str">
        <f>(IFERROR(VLOOKUP(LEFT(BE19,2),BASE!$C$346:$F$592,4,0),IFERROR(VLOOKUP(LEFT(BE19,1),BASE!$C$346:$F$592,4,0),BE19)))</f>
        <v>நெ</v>
      </c>
      <c r="BY19" s="186" t="str">
        <f>(IFERROR(VLOOKUP(LEFT(BD19,2),BASE!$C$346:$F$592,4,0),IFERROR(VLOOKUP(LEFT(BD19,1),BASE!$C$346:$F$592,4,0),BD19)))</f>
        <v>ஒ</v>
      </c>
      <c r="BZ19" s="186" t="str">
        <f>(IFERROR(VLOOKUP(LEFT(BC19,2),BASE!$C$346:$F$592,4,0),IFERROR(VLOOKUP(LEFT(BC19,1),BASE!$C$346:$F$592,4,0),BC19)))</f>
        <v/>
      </c>
      <c r="CA19" s="186" t="str">
        <f>(IFERROR(VLOOKUP(LEFT(BB19,2),BASE!$C$346:$F$592,4,0),IFERROR(VLOOKUP(LEFT(BB19,1),BASE!$C$346:$F$592,4,0),BB19)))</f>
        <v/>
      </c>
      <c r="CB19" s="186" t="str">
        <f>(IFERROR(VLOOKUP(LEFT(BA19,2),BASE!$C$346:$F$592,4,0),IFERROR(VLOOKUP(LEFT(BA19,1),BASE!$C$346:$F$592,4,0),BA19)))</f>
        <v/>
      </c>
      <c r="CC19" s="186" t="str">
        <f>(IFERROR(VLOOKUP(LEFT(AZ19,2),BASE!$C$346:$F$592,4,0),IFERROR(VLOOKUP(LEFT(AZ19,1),BASE!$C$346:$F$592,4,0),AZ19)))</f>
        <v/>
      </c>
      <c r="CD19" s="58" t="str">
        <f t="shared" si="5"/>
        <v>குகுகுகுநெஒ</v>
      </c>
      <c r="CE19" s="58" t="str">
        <f>IFERROR(VLOOKUP((LEFT(U19,4)),BASE!$E$12:$F$23,2,0),IFERROR(VLOOKUP((LEFT(U19,3)),BASE!$E$12:$F$23,2,0),IFERROR(VLOOKUP((LEFT(U19,2)),BASE!$E$12:$F$23,2,0),IFERROR(VLOOKUP((LEFT(U19,1)),BASE!$E$12:$F$23,2,0),U19))))</f>
        <v>நிரை</v>
      </c>
      <c r="CF19" s="58" t="str">
        <f>IFERROR(VLOOKUP((LEFT(T19,4)),BASE!$E$12:$F$24,2,0),IFERROR(VLOOKUP((LEFT(T19,3)),BASE!$E$12:$F$24,2,0),IFERROR(VLOOKUP((LEFT(T19,2)),BASE!$E$12:$F$24,2,0),IFERROR(VLOOKUP((LEFT(T19,1)),BASE!$E$12:$F$24,2,0),T19))))</f>
        <v>நிரை</v>
      </c>
      <c r="CG19" s="58" t="str">
        <f>IFERROR(VLOOKUP((LEFT(S19,4)),BASE!$E$12:$F$23,2,0),IFERROR(VLOOKUP((LEFT(S19,3)),BASE!$E$12:$F$23,2,0),IFERROR(VLOOKUP((LEFT(S19,2)),BASE!$E$12:$F$23,2,0),IFERROR(VLOOKUP((LEFT(S19,1)),BASE!$E$12:$F$23,2,0),S19))))</f>
        <v>நேர்</v>
      </c>
      <c r="CH19" s="58" t="str">
        <f>IFERROR(VLOOKUP((LEFT(R19,4)),BASE!$E$12:$F$23,2,0),IFERROR(VLOOKUP((LEFT(R19,3)),BASE!$E$12:$F$23,2,0),IFERROR(VLOOKUP((LEFT(R19,2)),BASE!$E$12:$F$23,2,0),IFERROR(VLOOKUP((LEFT(R19,1)),BASE!$E$12:$F$23,2,0),R19))))</f>
        <v/>
      </c>
      <c r="CI19" s="58" t="str">
        <f>IFERROR(VLOOKUP((LEFT(Q19,4)),BASE!$E$12:$F$23,2,0),IFERROR(VLOOKUP((LEFT(Q19,3)),BASE!$E$12:$F$23,2,0),IFERROR(VLOOKUP((LEFT(Q19,2)),BASE!$E$12:$F$23,2,0),IFERROR(VLOOKUP((LEFT(Q19,1)),BASE!$E$12:$F$23,2,0),Q19))))</f>
        <v/>
      </c>
      <c r="CJ19" s="58" t="str">
        <f>IFERROR(VLOOKUP((LEFT(P19,4)),BASE!$E$12:$F$23,2,0),IFERROR(VLOOKUP((LEFT(P19,3)),BASE!$E$12:$F$23,2,0),IFERROR(VLOOKUP((LEFT(P19,2)),BASE!$E$12:$F$23,2,0),IFERROR(VLOOKUP((LEFT(P19,1)),BASE!$E$12:$F$23,2,0),P19))))</f>
        <v/>
      </c>
      <c r="CK19" s="58" t="str">
        <f>IFERROR(VLOOKUP((LEFT(O19,4)),BASE!$E$12:$F$23,2,0),IFERROR(VLOOKUP((LEFT(O19,3)),BASE!$E$12:$F$23,2,0),IFERROR(VLOOKUP((LEFT(O19,2)),BASE!$E$12:$F$23,2,0),IFERROR(VLOOKUP((LEFT(O19,1)),BASE!$E$12:$F$23,2,0),O19))))</f>
        <v/>
      </c>
      <c r="CL19" s="58" t="str">
        <f>IFERROR(VLOOKUP((LEFT(N19,4)),BASE!$E$12:$F$23,2,0),IFERROR(VLOOKUP((LEFT(N19,3)),BASE!$E$12:$F$23,2,0),IFERROR(VLOOKUP((LEFT(N19,2)),BASE!$E$12:$F$23,2,0),IFERROR(VLOOKUP((LEFT(N19,1)),BASE!$E$12:$F$23,2,0),N19))))</f>
        <v/>
      </c>
      <c r="CM19" s="58" t="str">
        <f>IFERROR(VLOOKUP((LEFT(M19,4)),BASE!$E$12:$F$23,2,0),IFERROR(VLOOKUP((LEFT(M19,3)),BASE!$E$12:$F$23,2,0),IFERROR(VLOOKUP((LEFT(M19,2)),BASE!$E$12:$F$23,2,0),IFERROR(VLOOKUP((LEFT(M19,1)),BASE!$E$12:$F$23,2,0),M19))))</f>
        <v/>
      </c>
      <c r="CN19" s="58" t="str">
        <f>IFERROR(VLOOKUP((LEFT(L19,4)),BASE!$E$12:$F$23,2,0),IFERROR(VLOOKUP((LEFT(L19,3)),BASE!$E$12:$F$23,2,0),IFERROR(VLOOKUP((LEFT(L19,2)),BASE!$E$12:$F$23,2,0),IFERROR(VLOOKUP((LEFT(L19,1)),BASE!$E$12:$F$23,2,0),L19))))</f>
        <v/>
      </c>
      <c r="CO19" s="58" t="str">
        <f t="shared" si="6"/>
        <v>நிரைநிரைநேர்</v>
      </c>
      <c r="CP19" s="58" t="str">
        <f>VLOOKUP(CO19,BASE!$E$25:$F$79,2,0)</f>
        <v>கருவிளங்காய்</v>
      </c>
      <c r="CQ19" s="58" t="str">
        <f>VLOOKUP(CO19,BASE!$E$25:$G$79,3,0)&amp;CE20</f>
        <v>காய்நேர்</v>
      </c>
      <c r="CR19" s="58" t="str">
        <f>VLOOKUP(CQ19,BASE!$E$86:$G$93,2,0)</f>
        <v>காய் முன் நேர்</v>
      </c>
      <c r="CS19" s="58" t="str">
        <f>VLOOKUP(CQ19,BASE!$E$86:$G$93,3,0)</f>
        <v>வெண்சீர் வெண்டளை</v>
      </c>
      <c r="CT19" s="58" t="str">
        <f t="shared" si="7"/>
        <v>மூவசைக்கு மிகவில்லை</v>
      </c>
      <c r="CU19" s="58" t="str">
        <f t="shared" si="8"/>
        <v>சரி</v>
      </c>
      <c r="CV19" s="193"/>
    </row>
    <row r="20" spans="1:100" ht="19.5" customHeight="1" x14ac:dyDescent="0.35">
      <c r="A20" s="119"/>
      <c r="B20" s="12">
        <f>IFERROR(VLOOKUP((LEFT(L20,4)),BASE!$E$12:$F$23,1,0),IFERROR(VLOOKUP((LEFT(L20,3)),BASE!$E$12:$F$23,1,0),IFERROR(VLOOKUP((LEFT(L20,2)),BASE!$E$12:$F$23,1,0),IFERROR(VLOOKUP((LEFT(L20,1)),BASE!$E$12:$F$23,1,0),100))))</f>
        <v>100</v>
      </c>
      <c r="C20" s="12">
        <f>IFERROR(VLOOKUP((LEFT(M20,4)),BASE!$E$12:$F$23,1,0),IFERROR(VLOOKUP((LEFT(M20,3)),BASE!$E$12:$F$23,1,0),IFERROR(VLOOKUP((LEFT(M20,2)),BASE!$E$12:$F$23,1,0),IFERROR(VLOOKUP((LEFT(M20,1)),BASE!$E$12:$F$23,1,0),100))))</f>
        <v>100</v>
      </c>
      <c r="D20" s="12">
        <f>IFERROR(VLOOKUP((LEFT(N20,4)),BASE!$E$12:$F$23,1,0),IFERROR(VLOOKUP((LEFT(N20,3)),BASE!$E$12:$F$23,1,0),IFERROR(VLOOKUP((LEFT(N20,2)),BASE!$E$12:$F$23,1,0),IFERROR(VLOOKUP((LEFT(N20,1)),BASE!$E$12:$F$23,1,0),100))))</f>
        <v>100</v>
      </c>
      <c r="E20" s="12">
        <f>IFERROR(VLOOKUP((LEFT(O20,4)),BASE!$E$12:$F$23,1,0),IFERROR(VLOOKUP((LEFT(O20,3)),BASE!$E$12:$F$23,1,0),IFERROR(VLOOKUP((LEFT(O20,2)),BASE!$E$12:$F$23,1,0),IFERROR(VLOOKUP((LEFT(O20,1)),BASE!$E$12:$F$23,1,0),100))))</f>
        <v>100</v>
      </c>
      <c r="F20" s="12">
        <f>IFERROR(VLOOKUP((LEFT(P20,4)),BASE!$E$12:$F$23,1,0),IFERROR(VLOOKUP((LEFT(P20,3)),BASE!$E$12:$F$23,1,0),IFERROR(VLOOKUP((LEFT(P20,2)),BASE!$E$12:$F$23,1,0),IFERROR(VLOOKUP((LEFT(P20,1)),BASE!$E$12:$F$23,1,0),100))))</f>
        <v>100</v>
      </c>
      <c r="G20" s="12">
        <f>IFERROR(VLOOKUP((LEFT(Q20,4)),BASE!$E$12:$F$23,1,0),IFERROR(VLOOKUP((LEFT(Q20,3)),BASE!$E$12:$F$23,1,0),IFERROR(VLOOKUP((LEFT(Q20,2)),BASE!$E$12:$F$23,1,0),IFERROR(VLOOKUP((LEFT(Q20,1)),BASE!$E$12:$F$23,1,0),100))))</f>
        <v>100</v>
      </c>
      <c r="H20" s="12">
        <f>IFERROR(VLOOKUP((LEFT(R20,4)),BASE!$E$12:$F$23,1,0),IFERROR(VLOOKUP((LEFT(R20,3)),BASE!$E$12:$F$23,1,0),IFERROR(VLOOKUP((LEFT(R20,2)),BASE!$E$12:$F$23,1,0),IFERROR(VLOOKUP((LEFT(R20,1)),BASE!$E$12:$F$23,1,0),100))))</f>
        <v>100</v>
      </c>
      <c r="I20" s="12" t="str">
        <f>IFERROR(VLOOKUP((LEFT(S20,4)),BASE!$E$12:$F$23,1,0),IFERROR(VLOOKUP((LEFT(S20,3)),BASE!$E$12:$F$23,1,0),IFERROR(VLOOKUP((LEFT(S20,2)),BASE!$E$12:$F$23,1,0),IFERROR(VLOOKUP((LEFT(S20,1)),BASE!$E$12:$F$23,1,0),100))))</f>
        <v>ko</v>
      </c>
      <c r="J20" s="12" t="str">
        <f>IFERROR(VLOOKUP((LEFT(T20,4)),BASE!$E$12:$F$24,1,0),IFERROR(VLOOKUP((LEFT(T20,3)),BASE!$E$12:$F$24,1,0),IFERROR(VLOOKUP((LEFT(T20,2)),BASE!$E$12:$F$24,1,0),IFERROR(VLOOKUP((LEFT(T20,1)),BASE!$E$12:$F$24,1,0),100))))</f>
        <v>kk</v>
      </c>
      <c r="K20" s="12" t="str">
        <f>IFERROR(VLOOKUP((LEFT(U20,4)),BASE!$E$12:$F$23,1,0),IFERROR(VLOOKUP((LEFT(U20,3)),BASE!$E$12:$F$23,1,0),IFERROR(VLOOKUP((LEFT(U20,2)),BASE!$E$12:$F$23,1,0),IFERROR(VLOOKUP((LEFT(U20,1)),BASE!$E$12:$F$23,1,0),100))))</f>
        <v>ko</v>
      </c>
      <c r="L20" s="14" t="str">
        <f t="shared" si="0"/>
        <v/>
      </c>
      <c r="M20" s="14" t="str">
        <f t="shared" si="0"/>
        <v/>
      </c>
      <c r="N20" s="14" t="str">
        <f t="shared" si="0"/>
        <v/>
      </c>
      <c r="O20" s="14" t="str">
        <f t="shared" si="0"/>
        <v/>
      </c>
      <c r="P20" s="14" t="str">
        <f t="shared" si="0"/>
        <v/>
      </c>
      <c r="Q20" s="14" t="str">
        <f t="shared" si="0"/>
        <v/>
      </c>
      <c r="R20" s="14" t="str">
        <f t="shared" si="0"/>
        <v/>
      </c>
      <c r="S20" s="14" t="str">
        <f t="shared" si="0"/>
        <v>ko</v>
      </c>
      <c r="T20" s="14" t="str">
        <f t="shared" si="0"/>
        <v>kkko</v>
      </c>
      <c r="U20" s="14" t="str">
        <f t="shared" si="1"/>
        <v>kokkko</v>
      </c>
      <c r="V20" s="13">
        <f>IFERROR(VLOOKUP(LEFT(AZ20,2),BASE!$C$96:$E$342,3,0),IFERROR(VLOOKUP(LEFT(AZ20,1),BASE!$C$96:$E$342,3,0),100))</f>
        <v>100</v>
      </c>
      <c r="W20" s="13">
        <f>IFERROR(VLOOKUP(LEFT(BA20,2),BASE!$C$96:$E$342,3,0),IFERROR(VLOOKUP(LEFT(BA20,1),BASE!$C$96:$E$342,3,0),100))</f>
        <v>100</v>
      </c>
      <c r="X20" s="13">
        <f>IFERROR(VLOOKUP(LEFT(BB20,2),BASE!$C$96:$E$342,3,0),IFERROR(VLOOKUP(LEFT(BB20,1),BASE!$C$96:$E$342,3,0),100))</f>
        <v>100</v>
      </c>
      <c r="Y20" s="13">
        <f>IFERROR(VLOOKUP(LEFT(BC20,2),BASE!$C$96:$E$342,3,0),IFERROR(VLOOKUP(LEFT(BC20,1),BASE!$C$96:$E$342,3,0),100))</f>
        <v>100</v>
      </c>
      <c r="Z20" s="13">
        <f>IFERROR(VLOOKUP(LEFT(BD20,2),BASE!$C$96:$E$342,3,0),IFERROR(VLOOKUP(LEFT(BD20,1),BASE!$C$96:$E$342,3,0),100))</f>
        <v>2</v>
      </c>
      <c r="AA20" s="13">
        <f>IFERROR(VLOOKUP(LEFT(BE20,2),BASE!$C$96:$E$342,3,0),IFERROR(VLOOKUP(LEFT(BE20,1),BASE!$C$96:$E$342,3,0),100))</f>
        <v>1</v>
      </c>
      <c r="AB20" s="13">
        <f>IFERROR(VLOOKUP(LEFT(BF20,2),BASE!$C$96:$E$342,3,0),IFERROR(VLOOKUP(LEFT(BF20,1),BASE!$C$96:$E$342,3,0),100))</f>
        <v>1</v>
      </c>
      <c r="AC20" s="13">
        <f>IFERROR(VLOOKUP(LEFT(BG20,2),BASE!$C$96:$E$342,3,0),IFERROR(VLOOKUP(LEFT(BG20,1),BASE!$C$96:$E$342,3,0),100))</f>
        <v>1</v>
      </c>
      <c r="AD20" s="13">
        <f>IFERROR(VLOOKUP(LEFT(BH20,2),BASE!$C$96:$E$342,3,0),IFERROR(VLOOKUP(LEFT(BH20,1),BASE!$C$96:$E$342,3,0),100))</f>
        <v>2</v>
      </c>
      <c r="AE20" s="13">
        <f>IFERROR(VLOOKUP(LEFT(BI20,2),BASE!$C$96:$E$342,3,0),IFERROR(VLOOKUP(LEFT(BI20,1),BASE!$C$96:$E$342,3,0),100))</f>
        <v>1</v>
      </c>
      <c r="AF20" s="187" t="str">
        <f>IF(AND(BS20=BR20,AG20="o"),"A", (IFERROR(VLOOKUP(LEFT(AZ20,2),BASE!$C$346:$D$592,2,0),IFERROR(VLOOKUP(LEFT(AZ20,1),BASE!$C$346:$D$5922,2,0),AZ20))))</f>
        <v/>
      </c>
      <c r="AG20" s="187" t="str">
        <f>IF(AND(BR20=BQ20,AH20="o"),"A", (IFERROR(VLOOKUP(LEFT(BA20,2),BASE!$C$346:$D$592,2,0),IFERROR(VLOOKUP(LEFT(BA20,1),BASE!$C$346:$D$592,2,0),BA20))))</f>
        <v/>
      </c>
      <c r="AH20" s="187" t="str">
        <f>IF(AND(BQ20=BP20,AI20="o"),"A", (IFERROR(VLOOKUP(LEFT(BB20,2),BASE!$C$346:$D$592,2,0),IFERROR(VLOOKUP(LEFT(BB20,1),BASE!$C$346:$D$592,2,0),BB20))))</f>
        <v/>
      </c>
      <c r="AI20" s="187" t="str">
        <f>IF(AND(BP20=BO20,AJ20="o"),"A", (IFERROR(VLOOKUP(LEFT(BC20,2),BASE!$C$346:$D$592,2,0),IFERROR(VLOOKUP(LEFT(BC20,1),BASE!$C$346:$D$592,2,0),BC20))))</f>
        <v/>
      </c>
      <c r="AJ20" s="187" t="str">
        <f>IF(AND(BO20=BN20,AK20="o"),"A", (IFERROR(VLOOKUP(LEFT(BD20,2),BASE!$C$346:$D$592,2,0),IFERROR(VLOOKUP(LEFT(BD20,1),BASE!$C$346:$D$592,2,0),BD20))))</f>
        <v>o</v>
      </c>
      <c r="AK20" s="187" t="str">
        <f>IF(AND(BN20=BM20,AL20="o"),"A", (IFERROR(VLOOKUP(LEFT(BE20,2),BASE!$C$346:$D$592,2,0),IFERROR(VLOOKUP(LEFT(BE20,1),BASE!$C$346:$D$592,2,0),BE20))))</f>
        <v>k</v>
      </c>
      <c r="AL20" s="187" t="str">
        <f>IF(AND(BM20=BL20,AM20="o"),"A", (IFERROR(VLOOKUP(LEFT(BF20,2),BASE!$C$346:$D$592,2,0),IFERROR(VLOOKUP(LEFT(BF20,1),BASE!$C$346:$D$592,2,0),BF20))))</f>
        <v>k</v>
      </c>
      <c r="AM20" s="187" t="str">
        <f>IF(AND(BL20=BK20,AN20="o"),"A",(IFERROR(VLOOKUP(LEFT(BG20,2),BASE!$C$346:$D$592,2,0),IFERROR(VLOOKUP(LEFT(BG20,1),BASE!$C$346:$D$592,2,0),BG20))))</f>
        <v>k</v>
      </c>
      <c r="AN20" s="187" t="str">
        <f>(IFERROR(VLOOKUP(LEFT(BH20,2),BASE!$C$346:$D$592,2,0),IFERROR(VLOOKUP(LEFT(BH20,1),BASE!$C$346:$D$592,2,0),BH20)))</f>
        <v>o</v>
      </c>
      <c r="AO20" s="187" t="str">
        <f>(IFERROR(VLOOKUP(LEFT(BI20,2),BASE!$C$96:$D$342,2,0),IFERROR(VLOOKUP(LEFT(BI20,1),BASE!$C$96:$D$342,2,0),BI20)))</f>
        <v>k</v>
      </c>
      <c r="AP20" s="5">
        <f t="shared" si="2"/>
        <v>8</v>
      </c>
      <c r="AQ20" s="5">
        <f t="shared" si="2"/>
        <v>8</v>
      </c>
      <c r="AR20" s="5">
        <f t="shared" si="2"/>
        <v>8</v>
      </c>
      <c r="AS20" s="5">
        <f t="shared" si="2"/>
        <v>8</v>
      </c>
      <c r="AT20" s="5">
        <f t="shared" si="2"/>
        <v>8</v>
      </c>
      <c r="AU20" s="5">
        <f t="shared" si="2"/>
        <v>8</v>
      </c>
      <c r="AV20" s="5">
        <f t="shared" si="2"/>
        <v>8</v>
      </c>
      <c r="AW20" s="5">
        <f t="shared" si="2"/>
        <v>8</v>
      </c>
      <c r="AX20" s="5">
        <f t="shared" si="2"/>
        <v>8</v>
      </c>
      <c r="AY20" s="5">
        <f t="shared" si="3"/>
        <v>8</v>
      </c>
      <c r="AZ20" s="12" t="str">
        <f t="shared" si="4"/>
        <v/>
      </c>
      <c r="BA20" s="12" t="str">
        <f t="shared" si="4"/>
        <v/>
      </c>
      <c r="BB20" s="12" t="str">
        <f t="shared" si="4"/>
        <v/>
      </c>
      <c r="BC20" s="12" t="str">
        <f t="shared" si="4"/>
        <v/>
      </c>
      <c r="BD20" s="12" t="str">
        <f t="shared" si="4"/>
        <v>த்</v>
      </c>
      <c r="BE20" s="12" t="str">
        <f t="shared" si="4"/>
        <v>லத்</v>
      </c>
      <c r="BF20" s="12" t="str">
        <f t="shared" si="4"/>
        <v>மலத்</v>
      </c>
      <c r="BG20" s="12" t="str">
        <f t="shared" si="4"/>
        <v>கமலத்</v>
      </c>
      <c r="BH20" s="43" t="str">
        <f t="shared" si="4"/>
        <v>ன்கமலத்</v>
      </c>
      <c r="BI20" s="57" t="str">
        <f>CG6</f>
        <v>இன்கமலத்</v>
      </c>
      <c r="BJ20" s="58" t="str">
        <f>IFERROR(VLOOKUP(LEFT(BI20,2),BASE!$C$96:$F$342,1,0),IFERROR(VLOOKUP(LEFT(BI20,1),BASE!$C$96:$F$342,1,0),BI20))</f>
        <v>இ</v>
      </c>
      <c r="BK20" s="58" t="str">
        <f>IFERROR(VLOOKUP(LEFT(BH20,2),BASE!$C$96:$D$342,1,0),IFERROR(VLOOKUP(LEFT(BH20,1),BASE!$C$96:$D$342,1,0),BH20))</f>
        <v>ன்</v>
      </c>
      <c r="BL20" s="58" t="str">
        <f>IFERROR(VLOOKUP(LEFT(BG20,2),BASE!$C$96:$D$342,1,0),IFERROR(VLOOKUP(LEFT(BG20,1),BASE!$C$96:$D$342,1,0),BG20))</f>
        <v>க</v>
      </c>
      <c r="BM20" s="58" t="str">
        <f>IFERROR(VLOOKUP(LEFT(BF20,2),BASE!$C$96:$D$342,1,0),IFERROR(VLOOKUP(LEFT(BF20,1),BASE!$C$96:$D$342,1,0),BF20))</f>
        <v>ம</v>
      </c>
      <c r="BN20" s="58" t="str">
        <f>IFERROR(VLOOKUP(LEFT(BE20,2),BASE!$C$96:$D$342,1,0),IFERROR(VLOOKUP(LEFT(BE20,1),BASE!$C$96:$D$342,1,0),BE20))</f>
        <v>ல</v>
      </c>
      <c r="BO20" s="58" t="str">
        <f>IFERROR(VLOOKUP(LEFT(BD20,2),BASE!$C$96:$D$342,1,0),IFERROR(VLOOKUP(LEFT(BD20,1),BASE!$C$96:$D$342,1,0),BD20))</f>
        <v>த்</v>
      </c>
      <c r="BP20" s="58" t="str">
        <f>IFERROR(VLOOKUP(LEFT(BC20,2),BASE!$C$96:$D$342,1,0),IFERROR(VLOOKUP(LEFT(BC20,1),BASE!$C$96:$D$342,1,0),BC20))</f>
        <v/>
      </c>
      <c r="BQ20" s="58" t="str">
        <f>IFERROR(VLOOKUP(LEFT(BB20,2),BASE!$C$96:$D$342,1,0),IFERROR(VLOOKUP(LEFT(BB20,1),BASE!$C$96:$D$342,1,0),BB20))</f>
        <v/>
      </c>
      <c r="BR20" s="58" t="str">
        <f>IFERROR(VLOOKUP(LEFT(BA20,2),BASE!$C$96:$D$342,1,0),IFERROR(VLOOKUP(LEFT(BA20,1),BASE!$C$96:$D$342,1,0),BA20))</f>
        <v/>
      </c>
      <c r="BS20" s="58" t="str">
        <f>IFERROR(VLOOKUP(LEFT(AZ20,2),BASE!$C$96:$D$342,1,0),IFERROR(VLOOKUP(LEFT(AZ20,1),BASE!$C$96:$D$342,1,0),AZ20))</f>
        <v/>
      </c>
      <c r="BT20" s="186" t="str">
        <f>(IFERROR(VLOOKUP(LEFT(BI20,2),BASE!$C$96:$F$342,4,0),IFERROR(VLOOKUP(LEFT(BI20,1),BASE!$C$96:$F$342,4,0),BI20)))</f>
        <v>கு</v>
      </c>
      <c r="BU20" s="186" t="str">
        <f>(IFERROR(VLOOKUP(LEFT(BH20,2),BASE!$C$346:$F$592,4,0),IFERROR(VLOOKUP(LEFT(BH20,1),BASE!$C$346:$F$592,4,0),BH20)))</f>
        <v>ஒ</v>
      </c>
      <c r="BV20" s="186" t="str">
        <f>(IFERROR(VLOOKUP(LEFT(BG20,2),BASE!$C$346:$F$592,4,0),IFERROR(VLOOKUP(LEFT(BG20,1),BASE!$C$346:$F$592,4,0),BG20)))</f>
        <v>கு</v>
      </c>
      <c r="BW20" s="186" t="str">
        <f>(IFERROR(VLOOKUP(LEFT(BF20,2),BASE!$C$346:$F$592,4,0),IFERROR(VLOOKUP(LEFT(BF20,1),BASE!$C$346:$F$592,4,0),BF20)))</f>
        <v>கு</v>
      </c>
      <c r="BX20" s="186" t="str">
        <f>(IFERROR(VLOOKUP(LEFT(BE20,2),BASE!$C$346:$F$592,4,0),IFERROR(VLOOKUP(LEFT(BE20,1),BASE!$C$346:$F$592,4,0),BE20)))</f>
        <v>கு</v>
      </c>
      <c r="BY20" s="186" t="str">
        <f>(IFERROR(VLOOKUP(LEFT(BD20,2),BASE!$C$346:$F$592,4,0),IFERROR(VLOOKUP(LEFT(BD20,1),BASE!$C$346:$F$592,4,0),BD20)))</f>
        <v>ஒ</v>
      </c>
      <c r="BZ20" s="186" t="str">
        <f>(IFERROR(VLOOKUP(LEFT(BC20,2),BASE!$C$346:$F$592,4,0),IFERROR(VLOOKUP(LEFT(BC20,1),BASE!$C$346:$F$592,4,0),BC20)))</f>
        <v/>
      </c>
      <c r="CA20" s="186" t="str">
        <f>(IFERROR(VLOOKUP(LEFT(BB20,2),BASE!$C$346:$F$592,4,0),IFERROR(VLOOKUP(LEFT(BB20,1),BASE!$C$346:$F$592,4,0),BB20)))</f>
        <v/>
      </c>
      <c r="CB20" s="186" t="str">
        <f>(IFERROR(VLOOKUP(LEFT(BA20,2),BASE!$C$346:$F$592,4,0),IFERROR(VLOOKUP(LEFT(BA20,1),BASE!$C$346:$F$592,4,0),BA20)))</f>
        <v/>
      </c>
      <c r="CC20" s="186" t="str">
        <f>(IFERROR(VLOOKUP(LEFT(AZ20,2),BASE!$C$346:$F$592,4,0),IFERROR(VLOOKUP(LEFT(AZ20,1),BASE!$C$346:$F$592,4,0),AZ20)))</f>
        <v/>
      </c>
      <c r="CD20" s="58" t="str">
        <f t="shared" si="5"/>
        <v>குஒகுகுகுஒ</v>
      </c>
      <c r="CE20" s="58" t="str">
        <f>IFERROR(VLOOKUP((LEFT(U20,4)),BASE!$E$12:$F$23,2,0),IFERROR(VLOOKUP((LEFT(U20,3)),BASE!$E$12:$F$23,2,0),IFERROR(VLOOKUP((LEFT(U20,2)),BASE!$E$12:$F$23,2,0),IFERROR(VLOOKUP((LEFT(U20,1)),BASE!$E$12:$F$23,2,0),U20))))</f>
        <v>நேர்</v>
      </c>
      <c r="CF20" s="58" t="str">
        <f>IFERROR(VLOOKUP((LEFT(T20,4)),BASE!$E$12:$F$24,2,0),IFERROR(VLOOKUP((LEFT(T20,3)),BASE!$E$12:$F$24,2,0),IFERROR(VLOOKUP((LEFT(T20,2)),BASE!$E$12:$F$24,2,0),IFERROR(VLOOKUP((LEFT(T20,1)),BASE!$E$12:$F$24,2,0),T20))))</f>
        <v>நிரை</v>
      </c>
      <c r="CG20" s="58" t="str">
        <f>IFERROR(VLOOKUP((LEFT(S20,4)),BASE!$E$12:$F$23,2,0),IFERROR(VLOOKUP((LEFT(S20,3)),BASE!$E$12:$F$23,2,0),IFERROR(VLOOKUP((LEFT(S20,2)),BASE!$E$12:$F$23,2,0),IFERROR(VLOOKUP((LEFT(S20,1)),BASE!$E$12:$F$23,2,0),S20))))</f>
        <v>நேர்</v>
      </c>
      <c r="CH20" s="58" t="str">
        <f>IFERROR(VLOOKUP((LEFT(R20,4)),BASE!$E$12:$F$23,2,0),IFERROR(VLOOKUP((LEFT(R20,3)),BASE!$E$12:$F$23,2,0),IFERROR(VLOOKUP((LEFT(R20,2)),BASE!$E$12:$F$23,2,0),IFERROR(VLOOKUP((LEFT(R20,1)),BASE!$E$12:$F$23,2,0),R20))))</f>
        <v/>
      </c>
      <c r="CI20" s="58" t="str">
        <f>IFERROR(VLOOKUP((LEFT(Q20,4)),BASE!$E$12:$F$23,2,0),IFERROR(VLOOKUP((LEFT(Q20,3)),BASE!$E$12:$F$23,2,0),IFERROR(VLOOKUP((LEFT(Q20,2)),BASE!$E$12:$F$23,2,0),IFERROR(VLOOKUP((LEFT(Q20,1)),BASE!$E$12:$F$23,2,0),Q20))))</f>
        <v/>
      </c>
      <c r="CJ20" s="58" t="str">
        <f>IFERROR(VLOOKUP((LEFT(P20,4)),BASE!$E$12:$F$23,2,0),IFERROR(VLOOKUP((LEFT(P20,3)),BASE!$E$12:$F$23,2,0),IFERROR(VLOOKUP((LEFT(P20,2)),BASE!$E$12:$F$23,2,0),IFERROR(VLOOKUP((LEFT(P20,1)),BASE!$E$12:$F$23,2,0),P20))))</f>
        <v/>
      </c>
      <c r="CK20" s="58" t="str">
        <f>IFERROR(VLOOKUP((LEFT(O20,4)),BASE!$E$12:$F$23,2,0),IFERROR(VLOOKUP((LEFT(O20,3)),BASE!$E$12:$F$23,2,0),IFERROR(VLOOKUP((LEFT(O20,2)),BASE!$E$12:$F$23,2,0),IFERROR(VLOOKUP((LEFT(O20,1)),BASE!$E$12:$F$23,2,0),O20))))</f>
        <v/>
      </c>
      <c r="CL20" s="58" t="str">
        <f>IFERROR(VLOOKUP((LEFT(N20,4)),BASE!$E$12:$F$23,2,0),IFERROR(VLOOKUP((LEFT(N20,3)),BASE!$E$12:$F$23,2,0),IFERROR(VLOOKUP((LEFT(N20,2)),BASE!$E$12:$F$23,2,0),IFERROR(VLOOKUP((LEFT(N20,1)),BASE!$E$12:$F$23,2,0),N20))))</f>
        <v/>
      </c>
      <c r="CM20" s="58" t="str">
        <f>IFERROR(VLOOKUP((LEFT(M20,4)),BASE!$E$12:$F$23,2,0),IFERROR(VLOOKUP((LEFT(M20,3)),BASE!$E$12:$F$23,2,0),IFERROR(VLOOKUP((LEFT(M20,2)),BASE!$E$12:$F$23,2,0),IFERROR(VLOOKUP((LEFT(M20,1)),BASE!$E$12:$F$23,2,0),M20))))</f>
        <v/>
      </c>
      <c r="CN20" s="58" t="str">
        <f>IFERROR(VLOOKUP((LEFT(L20,4)),BASE!$E$12:$F$23,2,0),IFERROR(VLOOKUP((LEFT(L20,3)),BASE!$E$12:$F$23,2,0),IFERROR(VLOOKUP((LEFT(L20,2)),BASE!$E$12:$F$23,2,0),IFERROR(VLOOKUP((LEFT(L20,1)),BASE!$E$12:$F$23,2,0),L20))))</f>
        <v/>
      </c>
      <c r="CO20" s="58" t="str">
        <f t="shared" si="6"/>
        <v>நேர்நிரைநேர்</v>
      </c>
      <c r="CP20" s="58" t="str">
        <f>VLOOKUP(CO20,BASE!$E$25:$F$79,2,0)</f>
        <v>கூவிளங்காய்</v>
      </c>
      <c r="CQ20" s="58" t="str">
        <f>VLOOKUP(CO20,BASE!$E$25:$G$79,3,0)&amp;CE21</f>
        <v>காய்நேர்</v>
      </c>
      <c r="CR20" s="58" t="str">
        <f>VLOOKUP(CQ20,BASE!$E$86:$G$93,2,0)</f>
        <v>காய் முன் நேர்</v>
      </c>
      <c r="CS20" s="58" t="str">
        <f>VLOOKUP(CQ20,BASE!$E$86:$G$93,3,0)</f>
        <v>வெண்சீர் வெண்டளை</v>
      </c>
      <c r="CT20" s="58" t="str">
        <f t="shared" si="7"/>
        <v>மூவசைக்கு மிகவில்லை</v>
      </c>
      <c r="CU20" s="58" t="str">
        <f t="shared" si="8"/>
        <v>சரி</v>
      </c>
      <c r="CV20" s="193"/>
    </row>
    <row r="21" spans="1:100" ht="19.5" customHeight="1" x14ac:dyDescent="0.35">
      <c r="A21" s="119"/>
      <c r="B21" s="12">
        <f>IFERROR(VLOOKUP((LEFT(L21,4)),BASE!$E$12:$F$23,1,0),IFERROR(VLOOKUP((LEFT(L21,3)),BASE!$E$12:$F$23,1,0),IFERROR(VLOOKUP((LEFT(L21,2)),BASE!$E$12:$F$23,1,0),IFERROR(VLOOKUP((LEFT(L21,1)),BASE!$E$12:$F$23,1,0),100))))</f>
        <v>100</v>
      </c>
      <c r="C21" s="12">
        <f>IFERROR(VLOOKUP((LEFT(M21,4)),BASE!$E$12:$F$23,1,0),IFERROR(VLOOKUP((LEFT(M21,3)),BASE!$E$12:$F$23,1,0),IFERROR(VLOOKUP((LEFT(M21,2)),BASE!$E$12:$F$23,1,0),IFERROR(VLOOKUP((LEFT(M21,1)),BASE!$E$12:$F$23,1,0),100))))</f>
        <v>100</v>
      </c>
      <c r="D21" s="12">
        <f>IFERROR(VLOOKUP((LEFT(N21,4)),BASE!$E$12:$F$23,1,0),IFERROR(VLOOKUP((LEFT(N21,3)),BASE!$E$12:$F$23,1,0),IFERROR(VLOOKUP((LEFT(N21,2)),BASE!$E$12:$F$23,1,0),IFERROR(VLOOKUP((LEFT(N21,1)),BASE!$E$12:$F$23,1,0),100))))</f>
        <v>100</v>
      </c>
      <c r="E21" s="12">
        <f>IFERROR(VLOOKUP((LEFT(O21,4)),BASE!$E$12:$F$23,1,0),IFERROR(VLOOKUP((LEFT(O21,3)),BASE!$E$12:$F$23,1,0),IFERROR(VLOOKUP((LEFT(O21,2)),BASE!$E$12:$F$23,1,0),IFERROR(VLOOKUP((LEFT(O21,1)),BASE!$E$12:$F$23,1,0),100))))</f>
        <v>100</v>
      </c>
      <c r="F21" s="12">
        <f>IFERROR(VLOOKUP((LEFT(P21,4)),BASE!$E$12:$F$23,1,0),IFERROR(VLOOKUP((LEFT(P21,3)),BASE!$E$12:$F$23,1,0),IFERROR(VLOOKUP((LEFT(P21,2)),BASE!$E$12:$F$23,1,0),IFERROR(VLOOKUP((LEFT(P21,1)),BASE!$E$12:$F$23,1,0),100))))</f>
        <v>100</v>
      </c>
      <c r="G21" s="12">
        <f>IFERROR(VLOOKUP((LEFT(Q21,4)),BASE!$E$12:$F$23,1,0),IFERROR(VLOOKUP((LEFT(Q21,3)),BASE!$E$12:$F$23,1,0),IFERROR(VLOOKUP((LEFT(Q21,2)),BASE!$E$12:$F$23,1,0),IFERROR(VLOOKUP((LEFT(Q21,1)),BASE!$E$12:$F$23,1,0),100))))</f>
        <v>100</v>
      </c>
      <c r="H21" s="12">
        <f>IFERROR(VLOOKUP((LEFT(R21,4)),BASE!$E$12:$F$23,1,0),IFERROR(VLOOKUP((LEFT(R21,3)),BASE!$E$12:$F$23,1,0),IFERROR(VLOOKUP((LEFT(R21,2)),BASE!$E$12:$F$23,1,0),IFERROR(VLOOKUP((LEFT(R21,1)),BASE!$E$12:$F$23,1,0),100))))</f>
        <v>100</v>
      </c>
      <c r="I21" s="12" t="str">
        <f>IFERROR(VLOOKUP((LEFT(S21,4)),BASE!$E$12:$F$23,1,0),IFERROR(VLOOKUP((LEFT(S21,3)),BASE!$E$12:$F$23,1,0),IFERROR(VLOOKUP((LEFT(S21,2)),BASE!$E$12:$F$23,1,0),IFERROR(VLOOKUP((LEFT(S21,1)),BASE!$E$12:$F$23,1,0),100))))</f>
        <v>koo</v>
      </c>
      <c r="J21" s="12" t="str">
        <f>IFERROR(VLOOKUP((LEFT(T21,4)),BASE!$E$12:$F$24,1,0),IFERROR(VLOOKUP((LEFT(T21,3)),BASE!$E$12:$F$24,1,0),IFERROR(VLOOKUP((LEFT(T21,2)),BASE!$E$12:$F$24,1,0),IFERROR(VLOOKUP((LEFT(T21,1)),BASE!$E$12:$F$24,1,0),100))))</f>
        <v>n</v>
      </c>
      <c r="K21" s="12" t="str">
        <f>IFERROR(VLOOKUP((LEFT(U21,4)),BASE!$E$12:$F$23,1,0),IFERROR(VLOOKUP((LEFT(U21,3)),BASE!$E$12:$F$23,1,0),IFERROR(VLOOKUP((LEFT(U21,2)),BASE!$E$12:$F$23,1,0),IFERROR(VLOOKUP((LEFT(U21,1)),BASE!$E$12:$F$23,1,0),100))))</f>
        <v>n</v>
      </c>
      <c r="L21" s="14" t="str">
        <f t="shared" si="0"/>
        <v/>
      </c>
      <c r="M21" s="14" t="str">
        <f t="shared" si="0"/>
        <v/>
      </c>
      <c r="N21" s="14" t="str">
        <f t="shared" si="0"/>
        <v/>
      </c>
      <c r="O21" s="14" t="str">
        <f t="shared" si="0"/>
        <v/>
      </c>
      <c r="P21" s="14" t="str">
        <f t="shared" si="0"/>
        <v/>
      </c>
      <c r="Q21" s="14" t="str">
        <f t="shared" si="0"/>
        <v/>
      </c>
      <c r="R21" s="14" t="str">
        <f t="shared" si="0"/>
        <v/>
      </c>
      <c r="S21" s="14" t="str">
        <f t="shared" si="0"/>
        <v>koo</v>
      </c>
      <c r="T21" s="14" t="str">
        <f t="shared" si="0"/>
        <v>nkoo</v>
      </c>
      <c r="U21" s="14" t="str">
        <f t="shared" si="1"/>
        <v>nnkoo</v>
      </c>
      <c r="V21" s="13">
        <f>IFERROR(VLOOKUP(LEFT(AZ21,2),BASE!$C$96:$E$342,3,0),IFERROR(VLOOKUP(LEFT(AZ21,1),BASE!$C$96:$E$342,3,0),100))</f>
        <v>100</v>
      </c>
      <c r="W21" s="13">
        <f>IFERROR(VLOOKUP(LEFT(BA21,2),BASE!$C$96:$E$342,3,0),IFERROR(VLOOKUP(LEFT(BA21,1),BASE!$C$96:$E$342,3,0),100))</f>
        <v>100</v>
      </c>
      <c r="X21" s="13">
        <f>IFERROR(VLOOKUP(LEFT(BB21,2),BASE!$C$96:$E$342,3,0),IFERROR(VLOOKUP(LEFT(BB21,1),BASE!$C$96:$E$342,3,0),100))</f>
        <v>100</v>
      </c>
      <c r="Y21" s="13">
        <f>IFERROR(VLOOKUP(LEFT(BC21,2),BASE!$C$96:$E$342,3,0),IFERROR(VLOOKUP(LEFT(BC21,1),BASE!$C$96:$E$342,3,0),100))</f>
        <v>100</v>
      </c>
      <c r="Z21" s="13">
        <f>IFERROR(VLOOKUP(LEFT(BD21,2),BASE!$C$96:$E$342,3,0),IFERROR(VLOOKUP(LEFT(BD21,1),BASE!$C$96:$E$342,3,0),100))</f>
        <v>100</v>
      </c>
      <c r="AA21" s="13">
        <f>IFERROR(VLOOKUP(LEFT(BE21,2),BASE!$C$96:$E$342,3,0),IFERROR(VLOOKUP(LEFT(BE21,1),BASE!$C$96:$E$342,3,0),100))</f>
        <v>2</v>
      </c>
      <c r="AB21" s="13">
        <f>IFERROR(VLOOKUP(LEFT(BF21,2),BASE!$C$96:$E$342,3,0),IFERROR(VLOOKUP(LEFT(BF21,1),BASE!$C$96:$E$342,3,0),100))</f>
        <v>2</v>
      </c>
      <c r="AC21" s="13">
        <f>IFERROR(VLOOKUP(LEFT(BG21,2),BASE!$C$96:$E$342,3,0),IFERROR(VLOOKUP(LEFT(BG21,1),BASE!$C$96:$E$342,3,0),100))</f>
        <v>2</v>
      </c>
      <c r="AD21" s="13">
        <f>IFERROR(VLOOKUP(LEFT(BH21,2),BASE!$C$96:$E$342,3,0),IFERROR(VLOOKUP(LEFT(BH21,1),BASE!$C$96:$E$342,3,0),100))</f>
        <v>2</v>
      </c>
      <c r="AE21" s="13">
        <f>IFERROR(VLOOKUP(LEFT(BI21,2),BASE!$C$96:$E$342,3,0),IFERROR(VLOOKUP(LEFT(BI21,1),BASE!$C$96:$E$342,3,0),100))</f>
        <v>2</v>
      </c>
      <c r="AF21" s="187" t="str">
        <f>IF(AND(BS21=BR21,AG21="o"),"A", (IFERROR(VLOOKUP(LEFT(AZ21,2),BASE!$C$346:$D$592,2,0),IFERROR(VLOOKUP(LEFT(AZ21,1),BASE!$C$346:$D$5922,2,0),AZ21))))</f>
        <v/>
      </c>
      <c r="AG21" s="187" t="str">
        <f>IF(AND(BR21=BQ21,AH21="o"),"A", (IFERROR(VLOOKUP(LEFT(BA21,2),BASE!$C$346:$D$592,2,0),IFERROR(VLOOKUP(LEFT(BA21,1),BASE!$C$346:$D$592,2,0),BA21))))</f>
        <v/>
      </c>
      <c r="AH21" s="187" t="str">
        <f>IF(AND(BQ21=BP21,AI21="o"),"A", (IFERROR(VLOOKUP(LEFT(BB21,2),BASE!$C$346:$D$592,2,0),IFERROR(VLOOKUP(LEFT(BB21,1),BASE!$C$346:$D$592,2,0),BB21))))</f>
        <v/>
      </c>
      <c r="AI21" s="187" t="str">
        <f>IF(AND(BP21=BO21,AJ21="o"),"A", (IFERROR(VLOOKUP(LEFT(BC21,2),BASE!$C$346:$D$592,2,0),IFERROR(VLOOKUP(LEFT(BC21,1),BASE!$C$346:$D$592,2,0),BC21))))</f>
        <v/>
      </c>
      <c r="AJ21" s="187" t="str">
        <f>IF(AND(BO21=BN21,AK21="o"),"A", (IFERROR(VLOOKUP(LEFT(BD21,2),BASE!$C$346:$D$592,2,0),IFERROR(VLOOKUP(LEFT(BD21,1),BASE!$C$346:$D$592,2,0),BD21))))</f>
        <v/>
      </c>
      <c r="AK21" s="187" t="str">
        <f>IF(AND(BN21=BM21,AL21="o"),"A", (IFERROR(VLOOKUP(LEFT(BE21,2),BASE!$C$346:$D$592,2,0),IFERROR(VLOOKUP(LEFT(BE21,1),BASE!$C$346:$D$592,2,0),BE21))))</f>
        <v>o</v>
      </c>
      <c r="AL21" s="187" t="str">
        <f>IF(AND(BM21=BL21,AM21="o"),"A", (IFERROR(VLOOKUP(LEFT(BF21,2),BASE!$C$346:$D$592,2,0),IFERROR(VLOOKUP(LEFT(BF21,1),BASE!$C$346:$D$592,2,0),BF21))))</f>
        <v>o</v>
      </c>
      <c r="AM21" s="187" t="str">
        <f>IF(AND(BL21=BK21,AN21="o"),"A",(IFERROR(VLOOKUP(LEFT(BG21,2),BASE!$C$346:$D$592,2,0),IFERROR(VLOOKUP(LEFT(BG21,1),BASE!$C$346:$D$592,2,0),BG21))))</f>
        <v>k</v>
      </c>
      <c r="AN21" s="187" t="str">
        <f>(IFERROR(VLOOKUP(LEFT(BH21,2),BASE!$C$346:$D$592,2,0),IFERROR(VLOOKUP(LEFT(BH21,1),BASE!$C$346:$D$592,2,0),BH21)))</f>
        <v>n</v>
      </c>
      <c r="AO21" s="187" t="str">
        <f>(IFERROR(VLOOKUP(LEFT(BI21,2),BASE!$C$96:$D$342,2,0),IFERROR(VLOOKUP(LEFT(BI21,1),BASE!$C$96:$D$342,2,0),BI21)))</f>
        <v>n</v>
      </c>
      <c r="AP21" s="5">
        <f t="shared" si="2"/>
        <v>10</v>
      </c>
      <c r="AQ21" s="5">
        <f t="shared" si="2"/>
        <v>10</v>
      </c>
      <c r="AR21" s="5">
        <f t="shared" si="2"/>
        <v>10</v>
      </c>
      <c r="AS21" s="5">
        <f t="shared" si="2"/>
        <v>10</v>
      </c>
      <c r="AT21" s="5">
        <f t="shared" si="2"/>
        <v>10</v>
      </c>
      <c r="AU21" s="5">
        <f t="shared" si="2"/>
        <v>10</v>
      </c>
      <c r="AV21" s="5">
        <f t="shared" si="2"/>
        <v>10</v>
      </c>
      <c r="AW21" s="5">
        <f t="shared" si="2"/>
        <v>10</v>
      </c>
      <c r="AX21" s="5">
        <f t="shared" si="2"/>
        <v>10</v>
      </c>
      <c r="AY21" s="5">
        <f t="shared" si="3"/>
        <v>10</v>
      </c>
      <c r="AZ21" s="12" t="str">
        <f t="shared" si="4"/>
        <v/>
      </c>
      <c r="BA21" s="12" t="str">
        <f t="shared" si="4"/>
        <v/>
      </c>
      <c r="BB21" s="12" t="str">
        <f t="shared" si="4"/>
        <v/>
      </c>
      <c r="BC21" s="12" t="str">
        <f t="shared" si="4"/>
        <v/>
      </c>
      <c r="BD21" s="12" t="str">
        <f t="shared" si="4"/>
        <v/>
      </c>
      <c r="BE21" s="12" t="str">
        <f t="shared" si="4"/>
        <v>ஞ்</v>
      </c>
      <c r="BF21" s="12" t="str">
        <f t="shared" si="4"/>
        <v>ன்ஞ்</v>
      </c>
      <c r="BG21" s="12" t="str">
        <f t="shared" si="4"/>
        <v>யுன்ஞ்</v>
      </c>
      <c r="BH21" s="43" t="str">
        <f t="shared" si="4"/>
        <v>ரேயுன்ஞ்</v>
      </c>
      <c r="BI21" s="57" t="str">
        <f>CD8</f>
        <v>தாரேயுன்ஞ்</v>
      </c>
      <c r="BJ21" s="58" t="str">
        <f>IFERROR(VLOOKUP(LEFT(BI21,2),BASE!$C$96:$F$342,1,0),IFERROR(VLOOKUP(LEFT(BI21,1),BASE!$C$96:$F$342,1,0),BI21))</f>
        <v>தா</v>
      </c>
      <c r="BK21" s="58" t="str">
        <f>IFERROR(VLOOKUP(LEFT(BH21,2),BASE!$C$96:$D$342,1,0),IFERROR(VLOOKUP(LEFT(BH21,1),BASE!$C$96:$D$342,1,0),BH21))</f>
        <v>ரே</v>
      </c>
      <c r="BL21" s="58" t="str">
        <f>IFERROR(VLOOKUP(LEFT(BG21,2),BASE!$C$96:$D$342,1,0),IFERROR(VLOOKUP(LEFT(BG21,1),BASE!$C$96:$D$342,1,0),BG21))</f>
        <v>யு</v>
      </c>
      <c r="BM21" s="58" t="str">
        <f>IFERROR(VLOOKUP(LEFT(BF21,2),BASE!$C$96:$D$342,1,0),IFERROR(VLOOKUP(LEFT(BF21,1),BASE!$C$96:$D$342,1,0),BF21))</f>
        <v>ன்</v>
      </c>
      <c r="BN21" s="58" t="str">
        <f>IFERROR(VLOOKUP(LEFT(BE21,2),BASE!$C$96:$D$342,1,0),IFERROR(VLOOKUP(LEFT(BE21,1),BASE!$C$96:$D$342,1,0),BE21))</f>
        <v>ஞ்</v>
      </c>
      <c r="BO21" s="58" t="str">
        <f>IFERROR(VLOOKUP(LEFT(BD21,2),BASE!$C$96:$D$342,1,0),IFERROR(VLOOKUP(LEFT(BD21,1),BASE!$C$96:$D$342,1,0),BD21))</f>
        <v/>
      </c>
      <c r="BP21" s="58" t="str">
        <f>IFERROR(VLOOKUP(LEFT(BC21,2),BASE!$C$96:$D$342,1,0),IFERROR(VLOOKUP(LEFT(BC21,1),BASE!$C$96:$D$342,1,0),BC21))</f>
        <v/>
      </c>
      <c r="BQ21" s="58" t="str">
        <f>IFERROR(VLOOKUP(LEFT(BB21,2),BASE!$C$96:$D$342,1,0),IFERROR(VLOOKUP(LEFT(BB21,1),BASE!$C$96:$D$342,1,0),BB21))</f>
        <v/>
      </c>
      <c r="BR21" s="58" t="str">
        <f>IFERROR(VLOOKUP(LEFT(BA21,2),BASE!$C$96:$D$342,1,0),IFERROR(VLOOKUP(LEFT(BA21,1),BASE!$C$96:$D$342,1,0),BA21))</f>
        <v/>
      </c>
      <c r="BS21" s="58" t="str">
        <f>IFERROR(VLOOKUP(LEFT(AZ21,2),BASE!$C$96:$D$342,1,0),IFERROR(VLOOKUP(LEFT(AZ21,1),BASE!$C$96:$D$342,1,0),AZ21))</f>
        <v/>
      </c>
      <c r="BT21" s="186" t="str">
        <f>(IFERROR(VLOOKUP(LEFT(BI21,2),BASE!$C$96:$F$342,4,0),IFERROR(VLOOKUP(LEFT(BI21,1),BASE!$C$96:$F$342,4,0),BI21)))</f>
        <v>நெ</v>
      </c>
      <c r="BU21" s="186" t="str">
        <f>(IFERROR(VLOOKUP(LEFT(BH21,2),BASE!$C$346:$F$592,4,0),IFERROR(VLOOKUP(LEFT(BH21,1),BASE!$C$346:$F$592,4,0),BH21)))</f>
        <v>நெ</v>
      </c>
      <c r="BV21" s="186" t="str">
        <f>(IFERROR(VLOOKUP(LEFT(BG21,2),BASE!$C$346:$F$592,4,0),IFERROR(VLOOKUP(LEFT(BG21,1),BASE!$C$346:$F$592,4,0),BG21)))</f>
        <v>கு</v>
      </c>
      <c r="BW21" s="186" t="str">
        <f>(IFERROR(VLOOKUP(LEFT(BF21,2),BASE!$C$346:$F$592,4,0),IFERROR(VLOOKUP(LEFT(BF21,1),BASE!$C$346:$F$592,4,0),BF21)))</f>
        <v>ஒ</v>
      </c>
      <c r="BX21" s="186" t="str">
        <f>(IFERROR(VLOOKUP(LEFT(BE21,2),BASE!$C$346:$F$592,4,0),IFERROR(VLOOKUP(LEFT(BE21,1),BASE!$C$346:$F$592,4,0),BE21)))</f>
        <v>ஒ</v>
      </c>
      <c r="BY21" s="186" t="str">
        <f>(IFERROR(VLOOKUP(LEFT(BD21,2),BASE!$C$346:$F$592,4,0),IFERROR(VLOOKUP(LEFT(BD21,1),BASE!$C$346:$F$592,4,0),BD21)))</f>
        <v/>
      </c>
      <c r="BZ21" s="186" t="str">
        <f>(IFERROR(VLOOKUP(LEFT(BC21,2),BASE!$C$346:$F$592,4,0),IFERROR(VLOOKUP(LEFT(BC21,1),BASE!$C$346:$F$592,4,0),BC21)))</f>
        <v/>
      </c>
      <c r="CA21" s="186" t="str">
        <f>(IFERROR(VLOOKUP(LEFT(BB21,2),BASE!$C$346:$F$592,4,0),IFERROR(VLOOKUP(LEFT(BB21,1),BASE!$C$346:$F$592,4,0),BB21)))</f>
        <v/>
      </c>
      <c r="CB21" s="186" t="str">
        <f>(IFERROR(VLOOKUP(LEFT(BA21,2),BASE!$C$346:$F$592,4,0),IFERROR(VLOOKUP(LEFT(BA21,1),BASE!$C$346:$F$592,4,0),BA21)))</f>
        <v/>
      </c>
      <c r="CC21" s="186" t="str">
        <f>(IFERROR(VLOOKUP(LEFT(AZ21,2),BASE!$C$346:$F$592,4,0),IFERROR(VLOOKUP(LEFT(AZ21,1),BASE!$C$346:$F$592,4,0),AZ21)))</f>
        <v/>
      </c>
      <c r="CD21" s="58" t="str">
        <f t="shared" si="5"/>
        <v>நெநெகுஒஒ</v>
      </c>
      <c r="CE21" s="58" t="str">
        <f>IFERROR(VLOOKUP((LEFT(U21,4)),BASE!$E$12:$F$23,2,0),IFERROR(VLOOKUP((LEFT(U21,3)),BASE!$E$12:$F$23,2,0),IFERROR(VLOOKUP((LEFT(U21,2)),BASE!$E$12:$F$23,2,0),IFERROR(VLOOKUP((LEFT(U21,1)),BASE!$E$12:$F$23,2,0),U21))))</f>
        <v>நேர்</v>
      </c>
      <c r="CF21" s="58" t="str">
        <f>IFERROR(VLOOKUP((LEFT(T21,4)),BASE!$E$12:$F$24,2,0),IFERROR(VLOOKUP((LEFT(T21,3)),BASE!$E$12:$F$24,2,0),IFERROR(VLOOKUP((LEFT(T21,2)),BASE!$E$12:$F$24,2,0),IFERROR(VLOOKUP((LEFT(T21,1)),BASE!$E$12:$F$24,2,0),T21))))</f>
        <v>நேர்</v>
      </c>
      <c r="CG21" s="58" t="str">
        <f>IFERROR(VLOOKUP((LEFT(S21,4)),BASE!$E$12:$F$23,2,0),IFERROR(VLOOKUP((LEFT(S21,3)),BASE!$E$12:$F$23,2,0),IFERROR(VLOOKUP((LEFT(S21,2)),BASE!$E$12:$F$23,2,0),IFERROR(VLOOKUP((LEFT(S21,1)),BASE!$E$12:$F$23,2,0),S21))))</f>
        <v>நேர்</v>
      </c>
      <c r="CH21" s="58" t="str">
        <f>IFERROR(VLOOKUP((LEFT(R21,4)),BASE!$E$12:$F$23,2,0),IFERROR(VLOOKUP((LEFT(R21,3)),BASE!$E$12:$F$23,2,0),IFERROR(VLOOKUP((LEFT(R21,2)),BASE!$E$12:$F$23,2,0),IFERROR(VLOOKUP((LEFT(R21,1)),BASE!$E$12:$F$23,2,0),R21))))</f>
        <v/>
      </c>
      <c r="CI21" s="58" t="str">
        <f>IFERROR(VLOOKUP((LEFT(Q21,4)),BASE!$E$12:$F$23,2,0),IFERROR(VLOOKUP((LEFT(Q21,3)),BASE!$E$12:$F$23,2,0),IFERROR(VLOOKUP((LEFT(Q21,2)),BASE!$E$12:$F$23,2,0),IFERROR(VLOOKUP((LEFT(Q21,1)),BASE!$E$12:$F$23,2,0),Q21))))</f>
        <v/>
      </c>
      <c r="CJ21" s="58" t="str">
        <f>IFERROR(VLOOKUP((LEFT(P21,4)),BASE!$E$12:$F$23,2,0),IFERROR(VLOOKUP((LEFT(P21,3)),BASE!$E$12:$F$23,2,0),IFERROR(VLOOKUP((LEFT(P21,2)),BASE!$E$12:$F$23,2,0),IFERROR(VLOOKUP((LEFT(P21,1)),BASE!$E$12:$F$23,2,0),P21))))</f>
        <v/>
      </c>
      <c r="CK21" s="58" t="str">
        <f>IFERROR(VLOOKUP((LEFT(O21,4)),BASE!$E$12:$F$23,2,0),IFERROR(VLOOKUP((LEFT(O21,3)),BASE!$E$12:$F$23,2,0),IFERROR(VLOOKUP((LEFT(O21,2)),BASE!$E$12:$F$23,2,0),IFERROR(VLOOKUP((LEFT(O21,1)),BASE!$E$12:$F$23,2,0),O21))))</f>
        <v/>
      </c>
      <c r="CL21" s="58" t="str">
        <f>IFERROR(VLOOKUP((LEFT(N21,4)),BASE!$E$12:$F$23,2,0),IFERROR(VLOOKUP((LEFT(N21,3)),BASE!$E$12:$F$23,2,0),IFERROR(VLOOKUP((LEFT(N21,2)),BASE!$E$12:$F$23,2,0),IFERROR(VLOOKUP((LEFT(N21,1)),BASE!$E$12:$F$23,2,0),N21))))</f>
        <v/>
      </c>
      <c r="CM21" s="58" t="str">
        <f>IFERROR(VLOOKUP((LEFT(M21,4)),BASE!$E$12:$F$23,2,0),IFERROR(VLOOKUP((LEFT(M21,3)),BASE!$E$12:$F$23,2,0),IFERROR(VLOOKUP((LEFT(M21,2)),BASE!$E$12:$F$23,2,0),IFERROR(VLOOKUP((LEFT(M21,1)),BASE!$E$12:$F$23,2,0),M21))))</f>
        <v/>
      </c>
      <c r="CN21" s="58" t="str">
        <f>IFERROR(VLOOKUP((LEFT(L21,4)),BASE!$E$12:$F$23,2,0),IFERROR(VLOOKUP((LEFT(L21,3)),BASE!$E$12:$F$23,2,0),IFERROR(VLOOKUP((LEFT(L21,2)),BASE!$E$12:$F$23,2,0),IFERROR(VLOOKUP((LEFT(L21,1)),BASE!$E$12:$F$23,2,0),L21))))</f>
        <v/>
      </c>
      <c r="CO21" s="58" t="str">
        <f t="shared" si="6"/>
        <v>நேர்நேர்நேர்</v>
      </c>
      <c r="CP21" s="58" t="str">
        <f>VLOOKUP(CO21,BASE!$E$25:$F$79,2,0)</f>
        <v>தேமாங்காய்</v>
      </c>
      <c r="CQ21" s="58" t="str">
        <f>VLOOKUP(CO21,BASE!$E$25:$G$79,3,0)&amp;CE22</f>
        <v>காய்நேர்</v>
      </c>
      <c r="CR21" s="58" t="str">
        <f>VLOOKUP(CQ21,BASE!$E$86:$G$93,2,0)</f>
        <v>காய் முன் நேர்</v>
      </c>
      <c r="CS21" s="58" t="str">
        <f>VLOOKUP(CQ21,BASE!$E$86:$G$93,3,0)</f>
        <v>வெண்சீர் வெண்டளை</v>
      </c>
      <c r="CT21" s="58" t="str">
        <f t="shared" si="7"/>
        <v>மூவசைக்கு மிகவில்லை</v>
      </c>
      <c r="CU21" s="58" t="str">
        <f t="shared" si="8"/>
        <v>சரி</v>
      </c>
      <c r="CV21" s="193"/>
    </row>
    <row r="22" spans="1:100" ht="19.5" customHeight="1" x14ac:dyDescent="0.35">
      <c r="A22" s="119"/>
      <c r="B22" s="12">
        <f>IFERROR(VLOOKUP((LEFT(L22,4)),BASE!$E$12:$F$23,1,0),IFERROR(VLOOKUP((LEFT(L22,3)),BASE!$E$12:$F$23,1,0),IFERROR(VLOOKUP((LEFT(L22,2)),BASE!$E$12:$F$23,1,0),IFERROR(VLOOKUP((LEFT(L22,1)),BASE!$E$12:$F$23,1,0),100))))</f>
        <v>100</v>
      </c>
      <c r="C22" s="12">
        <f>IFERROR(VLOOKUP((LEFT(M22,4)),BASE!$E$12:$F$23,1,0),IFERROR(VLOOKUP((LEFT(M22,3)),BASE!$E$12:$F$23,1,0),IFERROR(VLOOKUP((LEFT(M22,2)),BASE!$E$12:$F$23,1,0),IFERROR(VLOOKUP((LEFT(M22,1)),BASE!$E$12:$F$23,1,0),100))))</f>
        <v>100</v>
      </c>
      <c r="D22" s="12">
        <f>IFERROR(VLOOKUP((LEFT(N22,4)),BASE!$E$12:$F$23,1,0),IFERROR(VLOOKUP((LEFT(N22,3)),BASE!$E$12:$F$23,1,0),IFERROR(VLOOKUP((LEFT(N22,2)),BASE!$E$12:$F$23,1,0),IFERROR(VLOOKUP((LEFT(N22,1)),BASE!$E$12:$F$23,1,0),100))))</f>
        <v>100</v>
      </c>
      <c r="E22" s="12">
        <f>IFERROR(VLOOKUP((LEFT(O22,4)),BASE!$E$12:$F$23,1,0),IFERROR(VLOOKUP((LEFT(O22,3)),BASE!$E$12:$F$23,1,0),IFERROR(VLOOKUP((LEFT(O22,2)),BASE!$E$12:$F$23,1,0),IFERROR(VLOOKUP((LEFT(O22,1)),BASE!$E$12:$F$23,1,0),100))))</f>
        <v>100</v>
      </c>
      <c r="F22" s="12">
        <f>IFERROR(VLOOKUP((LEFT(P22,4)),BASE!$E$12:$F$23,1,0),IFERROR(VLOOKUP((LEFT(P22,3)),BASE!$E$12:$F$23,1,0),IFERROR(VLOOKUP((LEFT(P22,2)),BASE!$E$12:$F$23,1,0),IFERROR(VLOOKUP((LEFT(P22,1)),BASE!$E$12:$F$23,1,0),100))))</f>
        <v>100</v>
      </c>
      <c r="G22" s="12">
        <f>IFERROR(VLOOKUP((LEFT(Q22,4)),BASE!$E$12:$F$23,1,0),IFERROR(VLOOKUP((LEFT(Q22,3)),BASE!$E$12:$F$23,1,0),IFERROR(VLOOKUP((LEFT(Q22,2)),BASE!$E$12:$F$23,1,0),IFERROR(VLOOKUP((LEFT(Q22,1)),BASE!$E$12:$F$23,1,0),100))))</f>
        <v>100</v>
      </c>
      <c r="H22" s="12">
        <f>IFERROR(VLOOKUP((LEFT(R22,4)),BASE!$E$12:$F$23,1,0),IFERROR(VLOOKUP((LEFT(R22,3)),BASE!$E$12:$F$23,1,0),IFERROR(VLOOKUP((LEFT(R22,2)),BASE!$E$12:$F$23,1,0),IFERROR(VLOOKUP((LEFT(R22,1)),BASE!$E$12:$F$23,1,0),100))))</f>
        <v>100</v>
      </c>
      <c r="I22" s="12">
        <f>IFERROR(VLOOKUP((LEFT(S22,4)),BASE!$E$12:$F$23,1,0),IFERROR(VLOOKUP((LEFT(S22,3)),BASE!$E$12:$F$23,1,0),IFERROR(VLOOKUP((LEFT(S22,2)),BASE!$E$12:$F$23,1,0),IFERROR(VLOOKUP((LEFT(S22,1)),BASE!$E$12:$F$23,1,0),100))))</f>
        <v>100</v>
      </c>
      <c r="J22" s="12" t="str">
        <f>IFERROR(VLOOKUP((LEFT(T22,4)),BASE!$E$12:$F$24,1,0),IFERROR(VLOOKUP((LEFT(T22,3)),BASE!$E$12:$F$24,1,0),IFERROR(VLOOKUP((LEFT(T22,2)),BASE!$E$12:$F$24,1,0),IFERROR(VLOOKUP((LEFT(T22,1)),BASE!$E$12:$F$24,1,0),100))))</f>
        <v>ko</v>
      </c>
      <c r="K22" s="12" t="str">
        <f>IFERROR(VLOOKUP((LEFT(U22,4)),BASE!$E$12:$F$23,1,0),IFERROR(VLOOKUP((LEFT(U22,3)),BASE!$E$12:$F$23,1,0),IFERROR(VLOOKUP((LEFT(U22,2)),BASE!$E$12:$F$23,1,0),IFERROR(VLOOKUP((LEFT(U22,1)),BASE!$E$12:$F$23,1,0),100))))</f>
        <v>ko</v>
      </c>
      <c r="L22" s="14" t="str">
        <f t="shared" si="0"/>
        <v/>
      </c>
      <c r="M22" s="14" t="str">
        <f t="shared" si="0"/>
        <v/>
      </c>
      <c r="N22" s="14" t="str">
        <f t="shared" si="0"/>
        <v/>
      </c>
      <c r="O22" s="14" t="str">
        <f t="shared" si="0"/>
        <v/>
      </c>
      <c r="P22" s="14" t="str">
        <f t="shared" si="0"/>
        <v/>
      </c>
      <c r="Q22" s="14" t="str">
        <f t="shared" si="0"/>
        <v/>
      </c>
      <c r="R22" s="14" t="str">
        <f t="shared" si="0"/>
        <v/>
      </c>
      <c r="S22" s="14" t="str">
        <f t="shared" si="0"/>
        <v/>
      </c>
      <c r="T22" s="14" t="str">
        <f t="shared" si="0"/>
        <v>ko</v>
      </c>
      <c r="U22" s="14" t="str">
        <f t="shared" si="1"/>
        <v>koko</v>
      </c>
      <c r="V22" s="13">
        <f>IFERROR(VLOOKUP(LEFT(AZ22,2),BASE!$C$96:$E$342,3,0),IFERROR(VLOOKUP(LEFT(AZ22,1),BASE!$C$96:$E$342,3,0),100))</f>
        <v>100</v>
      </c>
      <c r="W22" s="13">
        <f>IFERROR(VLOOKUP(LEFT(BA22,2),BASE!$C$96:$E$342,3,0),IFERROR(VLOOKUP(LEFT(BA22,1),BASE!$C$96:$E$342,3,0),100))</f>
        <v>100</v>
      </c>
      <c r="X22" s="13">
        <f>IFERROR(VLOOKUP(LEFT(BB22,2),BASE!$C$96:$E$342,3,0),IFERROR(VLOOKUP(LEFT(BB22,1),BASE!$C$96:$E$342,3,0),100))</f>
        <v>100</v>
      </c>
      <c r="Y22" s="13">
        <f>IFERROR(VLOOKUP(LEFT(BC22,2),BASE!$C$96:$E$342,3,0),IFERROR(VLOOKUP(LEFT(BC22,1),BASE!$C$96:$E$342,3,0),100))</f>
        <v>100</v>
      </c>
      <c r="Z22" s="13">
        <f>IFERROR(VLOOKUP(LEFT(BD22,2),BASE!$C$96:$E$342,3,0),IFERROR(VLOOKUP(LEFT(BD22,1),BASE!$C$96:$E$342,3,0),100))</f>
        <v>100</v>
      </c>
      <c r="AA22" s="13">
        <f>IFERROR(VLOOKUP(LEFT(BE22,2),BASE!$C$96:$E$342,3,0),IFERROR(VLOOKUP(LEFT(BE22,1),BASE!$C$96:$E$342,3,0),100))</f>
        <v>100</v>
      </c>
      <c r="AB22" s="13">
        <f>IFERROR(VLOOKUP(LEFT(BF22,2),BASE!$C$96:$E$342,3,0),IFERROR(VLOOKUP(LEFT(BF22,1),BASE!$C$96:$E$342,3,0),100))</f>
        <v>2</v>
      </c>
      <c r="AC22" s="13">
        <f>IFERROR(VLOOKUP(LEFT(BG22,2),BASE!$C$96:$E$342,3,0),IFERROR(VLOOKUP(LEFT(BG22,1),BASE!$C$96:$E$342,3,0),100))</f>
        <v>2</v>
      </c>
      <c r="AD22" s="13">
        <f>IFERROR(VLOOKUP(LEFT(BH22,2),BASE!$C$96:$E$342,3,0),IFERROR(VLOOKUP(LEFT(BH22,1),BASE!$C$96:$E$342,3,0),100))</f>
        <v>2</v>
      </c>
      <c r="AE22" s="13">
        <f>IFERROR(VLOOKUP(LEFT(BI22,2),BASE!$C$96:$E$342,3,0),IFERROR(VLOOKUP(LEFT(BI22,1),BASE!$C$96:$E$342,3,0),100))</f>
        <v>2</v>
      </c>
      <c r="AF22" s="187" t="str">
        <f>IF(AND(BS22=BR22,AG22="o"),"A", (IFERROR(VLOOKUP(LEFT(AZ22,2),BASE!$C$346:$D$592,2,0),IFERROR(VLOOKUP(LEFT(AZ22,1),BASE!$C$346:$D$5922,2,0),AZ22))))</f>
        <v/>
      </c>
      <c r="AG22" s="187" t="str">
        <f>IF(AND(BR22=BQ22,AH22="o"),"A", (IFERROR(VLOOKUP(LEFT(BA22,2),BASE!$C$346:$D$592,2,0),IFERROR(VLOOKUP(LEFT(BA22,1),BASE!$C$346:$D$592,2,0),BA22))))</f>
        <v/>
      </c>
      <c r="AH22" s="187" t="str">
        <f>IF(AND(BQ22=BP22,AI22="o"),"A", (IFERROR(VLOOKUP(LEFT(BB22,2),BASE!$C$346:$D$592,2,0),IFERROR(VLOOKUP(LEFT(BB22,1),BASE!$C$346:$D$592,2,0),BB22))))</f>
        <v/>
      </c>
      <c r="AI22" s="187" t="str">
        <f>IF(AND(BP22=BO22,AJ22="o"),"A", (IFERROR(VLOOKUP(LEFT(BC22,2),BASE!$C$346:$D$592,2,0),IFERROR(VLOOKUP(LEFT(BC22,1),BASE!$C$346:$D$592,2,0),BC22))))</f>
        <v/>
      </c>
      <c r="AJ22" s="187" t="str">
        <f>IF(AND(BO22=BN22,AK22="o"),"A", (IFERROR(VLOOKUP(LEFT(BD22,2),BASE!$C$346:$D$592,2,0),IFERROR(VLOOKUP(LEFT(BD22,1),BASE!$C$346:$D$592,2,0),BD22))))</f>
        <v/>
      </c>
      <c r="AK22" s="187" t="str">
        <f>IF(AND(BN22=BM22,AL22="o"),"A", (IFERROR(VLOOKUP(LEFT(BE22,2),BASE!$C$346:$D$592,2,0),IFERROR(VLOOKUP(LEFT(BE22,1),BASE!$C$346:$D$592,2,0),BE22))))</f>
        <v/>
      </c>
      <c r="AL22" s="187" t="str">
        <f>IF(AND(BM22=BL22,AM22="o"),"A", (IFERROR(VLOOKUP(LEFT(BF22,2),BASE!$C$346:$D$592,2,0),IFERROR(VLOOKUP(LEFT(BF22,1),BASE!$C$346:$D$592,2,0),BF22))))</f>
        <v>o</v>
      </c>
      <c r="AM22" s="187" t="str">
        <f>IF(AND(BL22=BK22,AN22="o"),"A",(IFERROR(VLOOKUP(LEFT(BG22,2),BASE!$C$346:$D$592,2,0),IFERROR(VLOOKUP(LEFT(BG22,1),BASE!$C$346:$D$592,2,0),BG22))))</f>
        <v>k</v>
      </c>
      <c r="AN22" s="187" t="str">
        <f>(IFERROR(VLOOKUP(LEFT(BH22,2),BASE!$C$346:$D$592,2,0),IFERROR(VLOOKUP(LEFT(BH22,1),BASE!$C$346:$D$592,2,0),BH22)))</f>
        <v>o</v>
      </c>
      <c r="AO22" s="187" t="str">
        <f>(IFERROR(VLOOKUP(LEFT(BI22,2),BASE!$C$96:$D$342,2,0),IFERROR(VLOOKUP(LEFT(BI22,1),BASE!$C$96:$D$342,2,0),BI22)))</f>
        <v>k</v>
      </c>
      <c r="AP22" s="5">
        <f t="shared" si="2"/>
        <v>8</v>
      </c>
      <c r="AQ22" s="5">
        <f t="shared" si="2"/>
        <v>8</v>
      </c>
      <c r="AR22" s="5">
        <f t="shared" si="2"/>
        <v>8</v>
      </c>
      <c r="AS22" s="5">
        <f t="shared" si="2"/>
        <v>8</v>
      </c>
      <c r="AT22" s="5">
        <f t="shared" si="2"/>
        <v>8</v>
      </c>
      <c r="AU22" s="5">
        <f t="shared" si="2"/>
        <v>8</v>
      </c>
      <c r="AV22" s="5">
        <f t="shared" si="2"/>
        <v>8</v>
      </c>
      <c r="AW22" s="5">
        <f t="shared" si="2"/>
        <v>8</v>
      </c>
      <c r="AX22" s="5">
        <f t="shared" si="2"/>
        <v>8</v>
      </c>
      <c r="AY22" s="5">
        <f t="shared" si="3"/>
        <v>8</v>
      </c>
      <c r="AZ22" s="12" t="str">
        <f t="shared" si="4"/>
        <v/>
      </c>
      <c r="BA22" s="12" t="str">
        <f t="shared" si="4"/>
        <v/>
      </c>
      <c r="BB22" s="12" t="str">
        <f t="shared" si="4"/>
        <v/>
      </c>
      <c r="BC22" s="12" t="str">
        <f t="shared" si="4"/>
        <v/>
      </c>
      <c r="BD22" s="12" t="str">
        <f t="shared" si="4"/>
        <v/>
      </c>
      <c r="BE22" s="12" t="str">
        <f t="shared" si="4"/>
        <v/>
      </c>
      <c r="BF22" s="12" t="str">
        <f t="shared" si="4"/>
        <v>த்</v>
      </c>
      <c r="BG22" s="12" t="str">
        <f t="shared" si="4"/>
        <v>னித்</v>
      </c>
      <c r="BH22" s="43" t="str">
        <f t="shared" si="4"/>
        <v>ன்னித்</v>
      </c>
      <c r="BI22" s="57" t="str">
        <f>CE8</f>
        <v>சென்னித்</v>
      </c>
      <c r="BJ22" s="58" t="str">
        <f>IFERROR(VLOOKUP(LEFT(BI22,2),BASE!$C$96:$F$342,1,0),IFERROR(VLOOKUP(LEFT(BI22,1),BASE!$C$96:$F$342,1,0),BI22))</f>
        <v>செ</v>
      </c>
      <c r="BK22" s="58" t="str">
        <f>IFERROR(VLOOKUP(LEFT(BH22,2),BASE!$C$96:$D$342,1,0),IFERROR(VLOOKUP(LEFT(BH22,1),BASE!$C$96:$D$342,1,0),BH22))</f>
        <v>ன்</v>
      </c>
      <c r="BL22" s="58" t="str">
        <f>IFERROR(VLOOKUP(LEFT(BG22,2),BASE!$C$96:$D$342,1,0),IFERROR(VLOOKUP(LEFT(BG22,1),BASE!$C$96:$D$342,1,0),BG22))</f>
        <v>னி</v>
      </c>
      <c r="BM22" s="58" t="str">
        <f>IFERROR(VLOOKUP(LEFT(BF22,2),BASE!$C$96:$D$342,1,0),IFERROR(VLOOKUP(LEFT(BF22,1),BASE!$C$96:$D$342,1,0),BF22))</f>
        <v>த்</v>
      </c>
      <c r="BN22" s="58" t="str">
        <f>IFERROR(VLOOKUP(LEFT(BE22,2),BASE!$C$96:$D$342,1,0),IFERROR(VLOOKUP(LEFT(BE22,1),BASE!$C$96:$D$342,1,0),BE22))</f>
        <v/>
      </c>
      <c r="BO22" s="58" t="str">
        <f>IFERROR(VLOOKUP(LEFT(BD22,2),BASE!$C$96:$D$342,1,0),IFERROR(VLOOKUP(LEFT(BD22,1),BASE!$C$96:$D$342,1,0),BD22))</f>
        <v/>
      </c>
      <c r="BP22" s="58" t="str">
        <f>IFERROR(VLOOKUP(LEFT(BC22,2),BASE!$C$96:$D$342,1,0),IFERROR(VLOOKUP(LEFT(BC22,1),BASE!$C$96:$D$342,1,0),BC22))</f>
        <v/>
      </c>
      <c r="BQ22" s="58" t="str">
        <f>IFERROR(VLOOKUP(LEFT(BB22,2),BASE!$C$96:$D$342,1,0),IFERROR(VLOOKUP(LEFT(BB22,1),BASE!$C$96:$D$342,1,0),BB22))</f>
        <v/>
      </c>
      <c r="BR22" s="58" t="str">
        <f>IFERROR(VLOOKUP(LEFT(BA22,2),BASE!$C$96:$D$342,1,0),IFERROR(VLOOKUP(LEFT(BA22,1),BASE!$C$96:$D$342,1,0),BA22))</f>
        <v/>
      </c>
      <c r="BS22" s="58" t="str">
        <f>IFERROR(VLOOKUP(LEFT(AZ22,2),BASE!$C$96:$D$342,1,0),IFERROR(VLOOKUP(LEFT(AZ22,1),BASE!$C$96:$D$342,1,0),AZ22))</f>
        <v/>
      </c>
      <c r="BT22" s="186" t="str">
        <f>(IFERROR(VLOOKUP(LEFT(BI22,2),BASE!$C$96:$F$342,4,0),IFERROR(VLOOKUP(LEFT(BI22,1),BASE!$C$96:$F$342,4,0),BI22)))</f>
        <v>கு</v>
      </c>
      <c r="BU22" s="186" t="str">
        <f>(IFERROR(VLOOKUP(LEFT(BH22,2),BASE!$C$346:$F$592,4,0),IFERROR(VLOOKUP(LEFT(BH22,1),BASE!$C$346:$F$592,4,0),BH22)))</f>
        <v>ஒ</v>
      </c>
      <c r="BV22" s="186" t="str">
        <f>(IFERROR(VLOOKUP(LEFT(BG22,2),BASE!$C$346:$F$592,4,0),IFERROR(VLOOKUP(LEFT(BG22,1),BASE!$C$346:$F$592,4,0),BG22)))</f>
        <v>கு</v>
      </c>
      <c r="BW22" s="186" t="str">
        <f>(IFERROR(VLOOKUP(LEFT(BF22,2),BASE!$C$346:$F$592,4,0),IFERROR(VLOOKUP(LEFT(BF22,1),BASE!$C$346:$F$592,4,0),BF22)))</f>
        <v>ஒ</v>
      </c>
      <c r="BX22" s="186" t="str">
        <f>(IFERROR(VLOOKUP(LEFT(BE22,2),BASE!$C$346:$F$592,4,0),IFERROR(VLOOKUP(LEFT(BE22,1),BASE!$C$346:$F$592,4,0),BE22)))</f>
        <v/>
      </c>
      <c r="BY22" s="186" t="str">
        <f>(IFERROR(VLOOKUP(LEFT(BD22,2),BASE!$C$346:$F$592,4,0),IFERROR(VLOOKUP(LEFT(BD22,1),BASE!$C$346:$F$592,4,0),BD22)))</f>
        <v/>
      </c>
      <c r="BZ22" s="186" t="str">
        <f>(IFERROR(VLOOKUP(LEFT(BC22,2),BASE!$C$346:$F$592,4,0),IFERROR(VLOOKUP(LEFT(BC22,1),BASE!$C$346:$F$592,4,0),BC22)))</f>
        <v/>
      </c>
      <c r="CA22" s="186" t="str">
        <f>(IFERROR(VLOOKUP(LEFT(BB22,2),BASE!$C$346:$F$592,4,0),IFERROR(VLOOKUP(LEFT(BB22,1),BASE!$C$346:$F$592,4,0),BB22)))</f>
        <v/>
      </c>
      <c r="CB22" s="186" t="str">
        <f>(IFERROR(VLOOKUP(LEFT(BA22,2),BASE!$C$346:$F$592,4,0),IFERROR(VLOOKUP(LEFT(BA22,1),BASE!$C$346:$F$592,4,0),BA22)))</f>
        <v/>
      </c>
      <c r="CC22" s="186" t="str">
        <f>(IFERROR(VLOOKUP(LEFT(AZ22,2),BASE!$C$346:$F$592,4,0),IFERROR(VLOOKUP(LEFT(AZ22,1),BASE!$C$346:$F$592,4,0),AZ22)))</f>
        <v/>
      </c>
      <c r="CD22" s="58" t="str">
        <f t="shared" si="5"/>
        <v>குஒகுஒ</v>
      </c>
      <c r="CE22" s="58" t="str">
        <f>IFERROR(VLOOKUP((LEFT(U22,4)),BASE!$E$12:$F$23,2,0),IFERROR(VLOOKUP((LEFT(U22,3)),BASE!$E$12:$F$23,2,0),IFERROR(VLOOKUP((LEFT(U22,2)),BASE!$E$12:$F$23,2,0),IFERROR(VLOOKUP((LEFT(U22,1)),BASE!$E$12:$F$23,2,0),U22))))</f>
        <v>நேர்</v>
      </c>
      <c r="CF22" s="58" t="str">
        <f>IFERROR(VLOOKUP((LEFT(T22,4)),BASE!$E$12:$F$24,2,0),IFERROR(VLOOKUP((LEFT(T22,3)),BASE!$E$12:$F$24,2,0),IFERROR(VLOOKUP((LEFT(T22,2)),BASE!$E$12:$F$24,2,0),IFERROR(VLOOKUP((LEFT(T22,1)),BASE!$E$12:$F$24,2,0),T22))))</f>
        <v>நேர்</v>
      </c>
      <c r="CG22" s="58" t="str">
        <f>IFERROR(VLOOKUP((LEFT(S22,4)),BASE!$E$12:$F$23,2,0),IFERROR(VLOOKUP((LEFT(S22,3)),BASE!$E$12:$F$23,2,0),IFERROR(VLOOKUP((LEFT(S22,2)),BASE!$E$12:$F$23,2,0),IFERROR(VLOOKUP((LEFT(S22,1)),BASE!$E$12:$F$23,2,0),S22))))</f>
        <v/>
      </c>
      <c r="CH22" s="58" t="str">
        <f>IFERROR(VLOOKUP((LEFT(R22,4)),BASE!$E$12:$F$23,2,0),IFERROR(VLOOKUP((LEFT(R22,3)),BASE!$E$12:$F$23,2,0),IFERROR(VLOOKUP((LEFT(R22,2)),BASE!$E$12:$F$23,2,0),IFERROR(VLOOKUP((LEFT(R22,1)),BASE!$E$12:$F$23,2,0),R22))))</f>
        <v/>
      </c>
      <c r="CI22" s="58" t="str">
        <f>IFERROR(VLOOKUP((LEFT(Q22,4)),BASE!$E$12:$F$23,2,0),IFERROR(VLOOKUP((LEFT(Q22,3)),BASE!$E$12:$F$23,2,0),IFERROR(VLOOKUP((LEFT(Q22,2)),BASE!$E$12:$F$23,2,0),IFERROR(VLOOKUP((LEFT(Q22,1)),BASE!$E$12:$F$23,2,0),Q22))))</f>
        <v/>
      </c>
      <c r="CJ22" s="58" t="str">
        <f>IFERROR(VLOOKUP((LEFT(P22,4)),BASE!$E$12:$F$23,2,0),IFERROR(VLOOKUP((LEFT(P22,3)),BASE!$E$12:$F$23,2,0),IFERROR(VLOOKUP((LEFT(P22,2)),BASE!$E$12:$F$23,2,0),IFERROR(VLOOKUP((LEFT(P22,1)),BASE!$E$12:$F$23,2,0),P22))))</f>
        <v/>
      </c>
      <c r="CK22" s="58" t="str">
        <f>IFERROR(VLOOKUP((LEFT(O22,4)),BASE!$E$12:$F$23,2,0),IFERROR(VLOOKUP((LEFT(O22,3)),BASE!$E$12:$F$23,2,0),IFERROR(VLOOKUP((LEFT(O22,2)),BASE!$E$12:$F$23,2,0),IFERROR(VLOOKUP((LEFT(O22,1)),BASE!$E$12:$F$23,2,0),O22))))</f>
        <v/>
      </c>
      <c r="CL22" s="58" t="str">
        <f>IFERROR(VLOOKUP((LEFT(N22,4)),BASE!$E$12:$F$23,2,0),IFERROR(VLOOKUP((LEFT(N22,3)),BASE!$E$12:$F$23,2,0),IFERROR(VLOOKUP((LEFT(N22,2)),BASE!$E$12:$F$23,2,0),IFERROR(VLOOKUP((LEFT(N22,1)),BASE!$E$12:$F$23,2,0),N22))))</f>
        <v/>
      </c>
      <c r="CM22" s="58" t="str">
        <f>IFERROR(VLOOKUP((LEFT(M22,4)),BASE!$E$12:$F$23,2,0),IFERROR(VLOOKUP((LEFT(M22,3)),BASE!$E$12:$F$23,2,0),IFERROR(VLOOKUP((LEFT(M22,2)),BASE!$E$12:$F$23,2,0),IFERROR(VLOOKUP((LEFT(M22,1)),BASE!$E$12:$F$23,2,0),M22))))</f>
        <v/>
      </c>
      <c r="CN22" s="58" t="str">
        <f>IFERROR(VLOOKUP((LEFT(L22,4)),BASE!$E$12:$F$23,2,0),IFERROR(VLOOKUP((LEFT(L22,3)),BASE!$E$12:$F$23,2,0),IFERROR(VLOOKUP((LEFT(L22,2)),BASE!$E$12:$F$23,2,0),IFERROR(VLOOKUP((LEFT(L22,1)),BASE!$E$12:$F$23,2,0),L22))))</f>
        <v/>
      </c>
      <c r="CO22" s="58" t="str">
        <f t="shared" si="6"/>
        <v>நேர்நேர்</v>
      </c>
      <c r="CP22" s="58" t="str">
        <f>VLOOKUP(CO22,BASE!$E$25:$F$79,2,0)</f>
        <v>தேமா</v>
      </c>
      <c r="CQ22" s="58" t="str">
        <f>VLOOKUP(CO22,BASE!$E$25:$G$79,3,0)&amp;CE23</f>
        <v>மாநிரை</v>
      </c>
      <c r="CR22" s="58" t="str">
        <f>VLOOKUP(CQ22,BASE!$E$86:$G$93,2,0)</f>
        <v>மாமுன் நிரை</v>
      </c>
      <c r="CS22" s="58" t="str">
        <f>VLOOKUP(CQ22,BASE!$E$86:$G$93,3,0)</f>
        <v>இயற்சீர் வெண்டளை</v>
      </c>
      <c r="CT22" s="58" t="str">
        <f t="shared" si="7"/>
        <v>மூவசைக்கு மிகவில்லை</v>
      </c>
      <c r="CU22" s="58" t="str">
        <f t="shared" si="8"/>
        <v>சரி</v>
      </c>
      <c r="CV22" s="193"/>
    </row>
    <row r="23" spans="1:100" ht="19.5" customHeight="1" x14ac:dyDescent="0.35">
      <c r="A23" s="119"/>
      <c r="B23" s="12">
        <f>IFERROR(VLOOKUP((LEFT(L23,4)),BASE!$E$12:$F$23,1,0),IFERROR(VLOOKUP((LEFT(L23,3)),BASE!$E$12:$F$23,1,0),IFERROR(VLOOKUP((LEFT(L23,2)),BASE!$E$12:$F$23,1,0),IFERROR(VLOOKUP((LEFT(L23,1)),BASE!$E$12:$F$23,1,0),100))))</f>
        <v>100</v>
      </c>
      <c r="C23" s="12">
        <f>IFERROR(VLOOKUP((LEFT(M23,4)),BASE!$E$12:$F$23,1,0),IFERROR(VLOOKUP((LEFT(M23,3)),BASE!$E$12:$F$23,1,0),IFERROR(VLOOKUP((LEFT(M23,2)),BASE!$E$12:$F$23,1,0),IFERROR(VLOOKUP((LEFT(M23,1)),BASE!$E$12:$F$23,1,0),100))))</f>
        <v>100</v>
      </c>
      <c r="D23" s="12">
        <f>IFERROR(VLOOKUP((LEFT(N23,4)),BASE!$E$12:$F$23,1,0),IFERROR(VLOOKUP((LEFT(N23,3)),BASE!$E$12:$F$23,1,0),IFERROR(VLOOKUP((LEFT(N23,2)),BASE!$E$12:$F$23,1,0),IFERROR(VLOOKUP((LEFT(N23,1)),BASE!$E$12:$F$23,1,0),100))))</f>
        <v>100</v>
      </c>
      <c r="E23" s="12">
        <f>IFERROR(VLOOKUP((LEFT(O23,4)),BASE!$E$12:$F$23,1,0),IFERROR(VLOOKUP((LEFT(O23,3)),BASE!$E$12:$F$23,1,0),IFERROR(VLOOKUP((LEFT(O23,2)),BASE!$E$12:$F$23,1,0),IFERROR(VLOOKUP((LEFT(O23,1)),BASE!$E$12:$F$23,1,0),100))))</f>
        <v>100</v>
      </c>
      <c r="F23" s="12">
        <f>IFERROR(VLOOKUP((LEFT(P23,4)),BASE!$E$12:$F$23,1,0),IFERROR(VLOOKUP((LEFT(P23,3)),BASE!$E$12:$F$23,1,0),IFERROR(VLOOKUP((LEFT(P23,2)),BASE!$E$12:$F$23,1,0),IFERROR(VLOOKUP((LEFT(P23,1)),BASE!$E$12:$F$23,1,0),100))))</f>
        <v>100</v>
      </c>
      <c r="G23" s="12">
        <f>IFERROR(VLOOKUP((LEFT(Q23,4)),BASE!$E$12:$F$23,1,0),IFERROR(VLOOKUP((LEFT(Q23,3)),BASE!$E$12:$F$23,1,0),IFERROR(VLOOKUP((LEFT(Q23,2)),BASE!$E$12:$F$23,1,0),IFERROR(VLOOKUP((LEFT(Q23,1)),BASE!$E$12:$F$23,1,0),100))))</f>
        <v>100</v>
      </c>
      <c r="H23" s="12">
        <f>IFERROR(VLOOKUP((LEFT(R23,4)),BASE!$E$12:$F$23,1,0),IFERROR(VLOOKUP((LEFT(R23,3)),BASE!$E$12:$F$23,1,0),IFERROR(VLOOKUP((LEFT(R23,2)),BASE!$E$12:$F$23,1,0),IFERROR(VLOOKUP((LEFT(R23,1)),BASE!$E$12:$F$23,1,0),100))))</f>
        <v>100</v>
      </c>
      <c r="I23" s="12" t="str">
        <f>IFERROR(VLOOKUP((LEFT(S23,4)),BASE!$E$12:$F$23,1,0),IFERROR(VLOOKUP((LEFT(S23,3)),BASE!$E$12:$F$23,1,0),IFERROR(VLOOKUP((LEFT(S23,2)),BASE!$E$12:$F$23,1,0),IFERROR(VLOOKUP((LEFT(S23,1)),BASE!$E$12:$F$23,1,0),100))))</f>
        <v>ko</v>
      </c>
      <c r="J23" s="12" t="str">
        <f>IFERROR(VLOOKUP((LEFT(T23,4)),BASE!$E$12:$F$24,1,0),IFERROR(VLOOKUP((LEFT(T23,3)),BASE!$E$12:$F$24,1,0),IFERROR(VLOOKUP((LEFT(T23,2)),BASE!$E$12:$F$24,1,0),IFERROR(VLOOKUP((LEFT(T23,1)),BASE!$E$12:$F$24,1,0),100))))</f>
        <v>kk</v>
      </c>
      <c r="K23" s="12" t="str">
        <f>IFERROR(VLOOKUP((LEFT(U23,4)),BASE!$E$12:$F$23,1,0),IFERROR(VLOOKUP((LEFT(U23,3)),BASE!$E$12:$F$23,1,0),IFERROR(VLOOKUP((LEFT(U23,2)),BASE!$E$12:$F$23,1,0),IFERROR(VLOOKUP((LEFT(U23,1)),BASE!$E$12:$F$23,1,0),100))))</f>
        <v>kko</v>
      </c>
      <c r="L23" s="14" t="str">
        <f t="shared" si="0"/>
        <v/>
      </c>
      <c r="M23" s="14" t="str">
        <f t="shared" si="0"/>
        <v/>
      </c>
      <c r="N23" s="14" t="str">
        <f t="shared" si="0"/>
        <v/>
      </c>
      <c r="O23" s="14" t="str">
        <f t="shared" si="0"/>
        <v/>
      </c>
      <c r="P23" s="14" t="str">
        <f t="shared" si="0"/>
        <v/>
      </c>
      <c r="Q23" s="14" t="str">
        <f t="shared" si="0"/>
        <v/>
      </c>
      <c r="R23" s="14" t="str">
        <f t="shared" si="0"/>
        <v/>
      </c>
      <c r="S23" s="14" t="str">
        <f t="shared" si="0"/>
        <v>ko</v>
      </c>
      <c r="T23" s="14" t="str">
        <f t="shared" si="0"/>
        <v>kkko</v>
      </c>
      <c r="U23" s="14" t="str">
        <f t="shared" si="1"/>
        <v>kkokkko</v>
      </c>
      <c r="V23" s="13">
        <f>IFERROR(VLOOKUP(LEFT(AZ23,2),BASE!$C$96:$E$342,3,0),IFERROR(VLOOKUP(LEFT(AZ23,1),BASE!$C$96:$E$342,3,0),100))</f>
        <v>100</v>
      </c>
      <c r="W23" s="13">
        <f>IFERROR(VLOOKUP(LEFT(BA23,2),BASE!$C$96:$E$342,3,0),IFERROR(VLOOKUP(LEFT(BA23,1),BASE!$C$96:$E$342,3,0),100))</f>
        <v>100</v>
      </c>
      <c r="X23" s="13">
        <f>IFERROR(VLOOKUP(LEFT(BB23,2),BASE!$C$96:$E$342,3,0),IFERROR(VLOOKUP(LEFT(BB23,1),BASE!$C$96:$E$342,3,0),100))</f>
        <v>100</v>
      </c>
      <c r="Y23" s="13">
        <f>IFERROR(VLOOKUP(LEFT(BC23,2),BASE!$C$96:$E$342,3,0),IFERROR(VLOOKUP(LEFT(BC23,1),BASE!$C$96:$E$342,3,0),100))</f>
        <v>2</v>
      </c>
      <c r="Z23" s="13">
        <f>IFERROR(VLOOKUP(LEFT(BD23,2),BASE!$C$96:$E$342,3,0),IFERROR(VLOOKUP(LEFT(BD23,1),BASE!$C$96:$E$342,3,0),100))</f>
        <v>1</v>
      </c>
      <c r="AA23" s="13">
        <f>IFERROR(VLOOKUP(LEFT(BE23,2),BASE!$C$96:$E$342,3,0),IFERROR(VLOOKUP(LEFT(BE23,1),BASE!$C$96:$E$342,3,0),100))</f>
        <v>1</v>
      </c>
      <c r="AB23" s="13">
        <f>IFERROR(VLOOKUP(LEFT(BF23,2),BASE!$C$96:$E$342,3,0),IFERROR(VLOOKUP(LEFT(BF23,1),BASE!$C$96:$E$342,3,0),100))</f>
        <v>2</v>
      </c>
      <c r="AC23" s="13">
        <f>IFERROR(VLOOKUP(LEFT(BG23,2),BASE!$C$96:$E$342,3,0),IFERROR(VLOOKUP(LEFT(BG23,1),BASE!$C$96:$E$342,3,0),100))</f>
        <v>2</v>
      </c>
      <c r="AD23" s="13">
        <f>IFERROR(VLOOKUP(LEFT(BH23,2),BASE!$C$96:$E$342,3,0),IFERROR(VLOOKUP(LEFT(BH23,1),BASE!$C$96:$E$342,3,0),100))</f>
        <v>2</v>
      </c>
      <c r="AE23" s="13">
        <f>IFERROR(VLOOKUP(LEFT(BI23,2),BASE!$C$96:$E$342,3,0),IFERROR(VLOOKUP(LEFT(BI23,1),BASE!$C$96:$E$342,3,0),100))</f>
        <v>1</v>
      </c>
      <c r="AF23" s="187" t="str">
        <f>IF(AND(BS23=BR23,AG23="o"),"A", (IFERROR(VLOOKUP(LEFT(AZ23,2),BASE!$C$346:$D$592,2,0),IFERROR(VLOOKUP(LEFT(AZ23,1),BASE!$C$346:$D$5922,2,0),AZ23))))</f>
        <v/>
      </c>
      <c r="AG23" s="187" t="str">
        <f>IF(AND(BR23=BQ23,AH23="o"),"A", (IFERROR(VLOOKUP(LEFT(BA23,2),BASE!$C$346:$D$592,2,0),IFERROR(VLOOKUP(LEFT(BA23,1),BASE!$C$346:$D$592,2,0),BA23))))</f>
        <v/>
      </c>
      <c r="AH23" s="187" t="str">
        <f>IF(AND(BQ23=BP23,AI23="o"),"A", (IFERROR(VLOOKUP(LEFT(BB23,2),BASE!$C$346:$D$592,2,0),IFERROR(VLOOKUP(LEFT(BB23,1),BASE!$C$346:$D$592,2,0),BB23))))</f>
        <v/>
      </c>
      <c r="AI23" s="187" t="str">
        <f>IF(AND(BP23=BO23,AJ23="o"),"A", (IFERROR(VLOOKUP(LEFT(BC23,2),BASE!$C$346:$D$592,2,0),IFERROR(VLOOKUP(LEFT(BC23,1),BASE!$C$346:$D$592,2,0),BC23))))</f>
        <v>o</v>
      </c>
      <c r="AJ23" s="187" t="str">
        <f>IF(AND(BO23=BN23,AK23="o"),"A", (IFERROR(VLOOKUP(LEFT(BD23,2),BASE!$C$346:$D$592,2,0),IFERROR(VLOOKUP(LEFT(BD23,1),BASE!$C$346:$D$592,2,0),BD23))))</f>
        <v>k</v>
      </c>
      <c r="AK23" s="187" t="str">
        <f>IF(AND(BN23=BM23,AL23="o"),"A", (IFERROR(VLOOKUP(LEFT(BE23,2),BASE!$C$346:$D$592,2,0),IFERROR(VLOOKUP(LEFT(BE23,1),BASE!$C$346:$D$592,2,0),BE23))))</f>
        <v>k</v>
      </c>
      <c r="AL23" s="187" t="str">
        <f>IF(AND(BM23=BL23,AM23="o"),"A", (IFERROR(VLOOKUP(LEFT(BF23,2),BASE!$C$346:$D$592,2,0),IFERROR(VLOOKUP(LEFT(BF23,1),BASE!$C$346:$D$592,2,0),BF23))))</f>
        <v>k</v>
      </c>
      <c r="AM23" s="187" t="str">
        <f>IF(AND(BL23=BK23,AN23="o"),"A",(IFERROR(VLOOKUP(LEFT(BG23,2),BASE!$C$346:$D$592,2,0),IFERROR(VLOOKUP(LEFT(BG23,1),BASE!$C$346:$D$592,2,0),BG23))))</f>
        <v>o</v>
      </c>
      <c r="AN23" s="187" t="str">
        <f>(IFERROR(VLOOKUP(LEFT(BH23,2),BASE!$C$346:$D$592,2,0),IFERROR(VLOOKUP(LEFT(BH23,1),BASE!$C$346:$D$592,2,0),BH23)))</f>
        <v>k</v>
      </c>
      <c r="AO23" s="187" t="str">
        <f>(IFERROR(VLOOKUP(LEFT(BI23,2),BASE!$C$96:$D$342,2,0),IFERROR(VLOOKUP(LEFT(BI23,1),BASE!$C$96:$D$342,2,0),BI23)))</f>
        <v>k</v>
      </c>
      <c r="AP23" s="5">
        <f t="shared" si="2"/>
        <v>11</v>
      </c>
      <c r="AQ23" s="5">
        <f t="shared" si="2"/>
        <v>11</v>
      </c>
      <c r="AR23" s="5">
        <f t="shared" si="2"/>
        <v>11</v>
      </c>
      <c r="AS23" s="5">
        <f t="shared" si="2"/>
        <v>11</v>
      </c>
      <c r="AT23" s="5">
        <f t="shared" si="2"/>
        <v>11</v>
      </c>
      <c r="AU23" s="5">
        <f t="shared" si="2"/>
        <v>11</v>
      </c>
      <c r="AV23" s="5">
        <f t="shared" si="2"/>
        <v>11</v>
      </c>
      <c r="AW23" s="5">
        <f t="shared" si="2"/>
        <v>11</v>
      </c>
      <c r="AX23" s="5">
        <f t="shared" si="2"/>
        <v>11</v>
      </c>
      <c r="AY23" s="5">
        <f t="shared" si="3"/>
        <v>11</v>
      </c>
      <c r="AZ23" s="12" t="str">
        <f t="shared" si="4"/>
        <v/>
      </c>
      <c r="BA23" s="12" t="str">
        <f t="shared" si="4"/>
        <v/>
      </c>
      <c r="BB23" s="12" t="str">
        <f t="shared" si="4"/>
        <v/>
      </c>
      <c r="BC23" s="12" t="str">
        <f t="shared" si="4"/>
        <v>ன்</v>
      </c>
      <c r="BD23" s="12" t="str">
        <f t="shared" si="4"/>
        <v>கன்</v>
      </c>
      <c r="BE23" s="12" t="str">
        <f t="shared" si="4"/>
        <v>ரகன்</v>
      </c>
      <c r="BF23" s="12" t="str">
        <f t="shared" si="4"/>
        <v>விரகன்</v>
      </c>
      <c r="BG23" s="12" t="str">
        <f t="shared" si="4"/>
        <v>ழ்விரகன்</v>
      </c>
      <c r="BH23" s="43" t="str">
        <f t="shared" si="4"/>
        <v>மிழ்விரகன்</v>
      </c>
      <c r="BI23" s="57" t="str">
        <f>CF8</f>
        <v>தமிழ்விரகன்</v>
      </c>
      <c r="BJ23" s="58" t="str">
        <f>IFERROR(VLOOKUP(LEFT(BI23,2),BASE!$C$96:$F$342,1,0),IFERROR(VLOOKUP(LEFT(BI23,1),BASE!$C$96:$F$342,1,0),BI23))</f>
        <v>த</v>
      </c>
      <c r="BK23" s="58" t="str">
        <f>IFERROR(VLOOKUP(LEFT(BH23,2),BASE!$C$96:$D$342,1,0),IFERROR(VLOOKUP(LEFT(BH23,1),BASE!$C$96:$D$342,1,0),BH23))</f>
        <v>மி</v>
      </c>
      <c r="BL23" s="58" t="str">
        <f>IFERROR(VLOOKUP(LEFT(BG23,2),BASE!$C$96:$D$342,1,0),IFERROR(VLOOKUP(LEFT(BG23,1),BASE!$C$96:$D$342,1,0),BG23))</f>
        <v>ழ்</v>
      </c>
      <c r="BM23" s="58" t="str">
        <f>IFERROR(VLOOKUP(LEFT(BF23,2),BASE!$C$96:$D$342,1,0),IFERROR(VLOOKUP(LEFT(BF23,1),BASE!$C$96:$D$342,1,0),BF23))</f>
        <v>வி</v>
      </c>
      <c r="BN23" s="58" t="str">
        <f>IFERROR(VLOOKUP(LEFT(BE23,2),BASE!$C$96:$D$342,1,0),IFERROR(VLOOKUP(LEFT(BE23,1),BASE!$C$96:$D$342,1,0),BE23))</f>
        <v>ர</v>
      </c>
      <c r="BO23" s="58" t="str">
        <f>IFERROR(VLOOKUP(LEFT(BD23,2),BASE!$C$96:$D$342,1,0),IFERROR(VLOOKUP(LEFT(BD23,1),BASE!$C$96:$D$342,1,0),BD23))</f>
        <v>க</v>
      </c>
      <c r="BP23" s="58" t="str">
        <f>IFERROR(VLOOKUP(LEFT(BC23,2),BASE!$C$96:$D$342,1,0),IFERROR(VLOOKUP(LEFT(BC23,1),BASE!$C$96:$D$342,1,0),BC23))</f>
        <v>ன்</v>
      </c>
      <c r="BQ23" s="58" t="str">
        <f>IFERROR(VLOOKUP(LEFT(BB23,2),BASE!$C$96:$D$342,1,0),IFERROR(VLOOKUP(LEFT(BB23,1),BASE!$C$96:$D$342,1,0),BB23))</f>
        <v/>
      </c>
      <c r="BR23" s="58" t="str">
        <f>IFERROR(VLOOKUP(LEFT(BA23,2),BASE!$C$96:$D$342,1,0),IFERROR(VLOOKUP(LEFT(BA23,1),BASE!$C$96:$D$342,1,0),BA23))</f>
        <v/>
      </c>
      <c r="BS23" s="58" t="str">
        <f>IFERROR(VLOOKUP(LEFT(AZ23,2),BASE!$C$96:$D$342,1,0),IFERROR(VLOOKUP(LEFT(AZ23,1),BASE!$C$96:$D$342,1,0),AZ23))</f>
        <v/>
      </c>
      <c r="BT23" s="186" t="str">
        <f>(IFERROR(VLOOKUP(LEFT(BI23,2),BASE!$C$96:$F$342,4,0),IFERROR(VLOOKUP(LEFT(BI23,1),BASE!$C$96:$F$342,4,0),BI23)))</f>
        <v>கு</v>
      </c>
      <c r="BU23" s="186" t="str">
        <f>(IFERROR(VLOOKUP(LEFT(BH23,2),BASE!$C$346:$F$592,4,0),IFERROR(VLOOKUP(LEFT(BH23,1),BASE!$C$346:$F$592,4,0),BH23)))</f>
        <v>கு</v>
      </c>
      <c r="BV23" s="186" t="str">
        <f>(IFERROR(VLOOKUP(LEFT(BG23,2),BASE!$C$346:$F$592,4,0),IFERROR(VLOOKUP(LEFT(BG23,1),BASE!$C$346:$F$592,4,0),BG23)))</f>
        <v>ஒ</v>
      </c>
      <c r="BW23" s="186" t="str">
        <f>(IFERROR(VLOOKUP(LEFT(BF23,2),BASE!$C$346:$F$592,4,0),IFERROR(VLOOKUP(LEFT(BF23,1),BASE!$C$346:$F$592,4,0),BF23)))</f>
        <v>கு</v>
      </c>
      <c r="BX23" s="186" t="str">
        <f>(IFERROR(VLOOKUP(LEFT(BE23,2),BASE!$C$346:$F$592,4,0),IFERROR(VLOOKUP(LEFT(BE23,1),BASE!$C$346:$F$592,4,0),BE23)))</f>
        <v>கு</v>
      </c>
      <c r="BY23" s="186" t="str">
        <f>(IFERROR(VLOOKUP(LEFT(BD23,2),BASE!$C$346:$F$592,4,0),IFERROR(VLOOKUP(LEFT(BD23,1),BASE!$C$346:$F$592,4,0),BD23)))</f>
        <v>கு</v>
      </c>
      <c r="BZ23" s="186" t="str">
        <f>(IFERROR(VLOOKUP(LEFT(BC23,2),BASE!$C$346:$F$592,4,0),IFERROR(VLOOKUP(LEFT(BC23,1),BASE!$C$346:$F$592,4,0),BC23)))</f>
        <v>ஒ</v>
      </c>
      <c r="CA23" s="186" t="str">
        <f>(IFERROR(VLOOKUP(LEFT(BB23,2),BASE!$C$346:$F$592,4,0),IFERROR(VLOOKUP(LEFT(BB23,1),BASE!$C$346:$F$592,4,0),BB23)))</f>
        <v/>
      </c>
      <c r="CB23" s="186" t="str">
        <f>(IFERROR(VLOOKUP(LEFT(BA23,2),BASE!$C$346:$F$592,4,0),IFERROR(VLOOKUP(LEFT(BA23,1),BASE!$C$346:$F$592,4,0),BA23)))</f>
        <v/>
      </c>
      <c r="CC23" s="186" t="str">
        <f>(IFERROR(VLOOKUP(LEFT(AZ23,2),BASE!$C$346:$F$592,4,0),IFERROR(VLOOKUP(LEFT(AZ23,1),BASE!$C$346:$F$592,4,0),AZ23)))</f>
        <v/>
      </c>
      <c r="CD23" s="58" t="str">
        <f t="shared" si="5"/>
        <v>குகுஒகுகுகுஒ</v>
      </c>
      <c r="CE23" s="58" t="str">
        <f>IFERROR(VLOOKUP((LEFT(U23,4)),BASE!$E$12:$F$23,2,0),IFERROR(VLOOKUP((LEFT(U23,3)),BASE!$E$12:$F$23,2,0),IFERROR(VLOOKUP((LEFT(U23,2)),BASE!$E$12:$F$23,2,0),IFERROR(VLOOKUP((LEFT(U23,1)),BASE!$E$12:$F$23,2,0),U23))))</f>
        <v>நிரை</v>
      </c>
      <c r="CF23" s="58" t="str">
        <f>IFERROR(VLOOKUP((LEFT(T23,4)),BASE!$E$12:$F$24,2,0),IFERROR(VLOOKUP((LEFT(T23,3)),BASE!$E$12:$F$24,2,0),IFERROR(VLOOKUP((LEFT(T23,2)),BASE!$E$12:$F$24,2,0),IFERROR(VLOOKUP((LEFT(T23,1)),BASE!$E$12:$F$24,2,0),T23))))</f>
        <v>நிரை</v>
      </c>
      <c r="CG23" s="58" t="str">
        <f>IFERROR(VLOOKUP((LEFT(S23,4)),BASE!$E$12:$F$23,2,0),IFERROR(VLOOKUP((LEFT(S23,3)),BASE!$E$12:$F$23,2,0),IFERROR(VLOOKUP((LEFT(S23,2)),BASE!$E$12:$F$23,2,0),IFERROR(VLOOKUP((LEFT(S23,1)),BASE!$E$12:$F$23,2,0),S23))))</f>
        <v>நேர்</v>
      </c>
      <c r="CH23" s="58" t="str">
        <f>IFERROR(VLOOKUP((LEFT(R23,4)),BASE!$E$12:$F$23,2,0),IFERROR(VLOOKUP((LEFT(R23,3)),BASE!$E$12:$F$23,2,0),IFERROR(VLOOKUP((LEFT(R23,2)),BASE!$E$12:$F$23,2,0),IFERROR(VLOOKUP((LEFT(R23,1)),BASE!$E$12:$F$23,2,0),R23))))</f>
        <v/>
      </c>
      <c r="CI23" s="58" t="str">
        <f>IFERROR(VLOOKUP((LEFT(Q23,4)),BASE!$E$12:$F$23,2,0),IFERROR(VLOOKUP((LEFT(Q23,3)),BASE!$E$12:$F$23,2,0),IFERROR(VLOOKUP((LEFT(Q23,2)),BASE!$E$12:$F$23,2,0),IFERROR(VLOOKUP((LEFT(Q23,1)),BASE!$E$12:$F$23,2,0),Q23))))</f>
        <v/>
      </c>
      <c r="CJ23" s="58" t="str">
        <f>IFERROR(VLOOKUP((LEFT(P23,4)),BASE!$E$12:$F$23,2,0),IFERROR(VLOOKUP((LEFT(P23,3)),BASE!$E$12:$F$23,2,0),IFERROR(VLOOKUP((LEFT(P23,2)),BASE!$E$12:$F$23,2,0),IFERROR(VLOOKUP((LEFT(P23,1)),BASE!$E$12:$F$23,2,0),P23))))</f>
        <v/>
      </c>
      <c r="CK23" s="58" t="str">
        <f>IFERROR(VLOOKUP((LEFT(O23,4)),BASE!$E$12:$F$23,2,0),IFERROR(VLOOKUP((LEFT(O23,3)),BASE!$E$12:$F$23,2,0),IFERROR(VLOOKUP((LEFT(O23,2)),BASE!$E$12:$F$23,2,0),IFERROR(VLOOKUP((LEFT(O23,1)),BASE!$E$12:$F$23,2,0),O23))))</f>
        <v/>
      </c>
      <c r="CL23" s="58" t="str">
        <f>IFERROR(VLOOKUP((LEFT(N23,4)),BASE!$E$12:$F$23,2,0),IFERROR(VLOOKUP((LEFT(N23,3)),BASE!$E$12:$F$23,2,0),IFERROR(VLOOKUP((LEFT(N23,2)),BASE!$E$12:$F$23,2,0),IFERROR(VLOOKUP((LEFT(N23,1)),BASE!$E$12:$F$23,2,0),N23))))</f>
        <v/>
      </c>
      <c r="CM23" s="58" t="str">
        <f>IFERROR(VLOOKUP((LEFT(M23,4)),BASE!$E$12:$F$23,2,0),IFERROR(VLOOKUP((LEFT(M23,3)),BASE!$E$12:$F$23,2,0),IFERROR(VLOOKUP((LEFT(M23,2)),BASE!$E$12:$F$23,2,0),IFERROR(VLOOKUP((LEFT(M23,1)),BASE!$E$12:$F$23,2,0),M23))))</f>
        <v/>
      </c>
      <c r="CN23" s="58" t="str">
        <f>IFERROR(VLOOKUP((LEFT(L23,4)),BASE!$E$12:$F$23,2,0),IFERROR(VLOOKUP((LEFT(L23,3)),BASE!$E$12:$F$23,2,0),IFERROR(VLOOKUP((LEFT(L23,2)),BASE!$E$12:$F$23,2,0),IFERROR(VLOOKUP((LEFT(L23,1)),BASE!$E$12:$F$23,2,0),L23))))</f>
        <v/>
      </c>
      <c r="CO23" s="58" t="str">
        <f t="shared" si="6"/>
        <v>நிரைநிரைநேர்</v>
      </c>
      <c r="CP23" s="58" t="str">
        <f>VLOOKUP(CO23,BASE!$E$25:$F$79,2,0)</f>
        <v>கருவிளங்காய்</v>
      </c>
      <c r="CQ23" s="58" t="str">
        <f>VLOOKUP(CO23,BASE!$E$25:$G$79,3,0)&amp;CE24</f>
        <v>காய்நேர்</v>
      </c>
      <c r="CR23" s="58" t="str">
        <f>VLOOKUP(CQ23,BASE!$E$86:$G$93,2,0)</f>
        <v>காய் முன் நேர்</v>
      </c>
      <c r="CS23" s="58" t="str">
        <f>VLOOKUP(CQ23,BASE!$E$86:$G$93,3,0)</f>
        <v>வெண்சீர் வெண்டளை</v>
      </c>
      <c r="CT23" s="58" t="str">
        <f t="shared" si="7"/>
        <v>மூவசைக்கு மிகவில்லை</v>
      </c>
      <c r="CU23" s="58" t="str">
        <f t="shared" si="8"/>
        <v>சரி</v>
      </c>
      <c r="CV23" s="193"/>
    </row>
    <row r="24" spans="1:100" ht="19.5" customHeight="1" x14ac:dyDescent="0.35">
      <c r="A24" s="119"/>
      <c r="B24" s="12">
        <f>IFERROR(VLOOKUP((LEFT(L24,4)),BASE!$E$12:$F$23,1,0),IFERROR(VLOOKUP((LEFT(L24,3)),BASE!$E$12:$F$23,1,0),IFERROR(VLOOKUP((LEFT(L24,2)),BASE!$E$12:$F$23,1,0),IFERROR(VLOOKUP((LEFT(L24,1)),BASE!$E$12:$F$23,1,0),100))))</f>
        <v>100</v>
      </c>
      <c r="C24" s="12">
        <f>IFERROR(VLOOKUP((LEFT(M24,4)),BASE!$E$12:$F$23,1,0),IFERROR(VLOOKUP((LEFT(M24,3)),BASE!$E$12:$F$23,1,0),IFERROR(VLOOKUP((LEFT(M24,2)),BASE!$E$12:$F$23,1,0),IFERROR(VLOOKUP((LEFT(M24,1)),BASE!$E$12:$F$23,1,0),100))))</f>
        <v>100</v>
      </c>
      <c r="D24" s="12">
        <f>IFERROR(VLOOKUP((LEFT(N24,4)),BASE!$E$12:$F$23,1,0),IFERROR(VLOOKUP((LEFT(N24,3)),BASE!$E$12:$F$23,1,0),IFERROR(VLOOKUP((LEFT(N24,2)),BASE!$E$12:$F$23,1,0),IFERROR(VLOOKUP((LEFT(N24,1)),BASE!$E$12:$F$23,1,0),100))))</f>
        <v>100</v>
      </c>
      <c r="E24" s="12">
        <f>IFERROR(VLOOKUP((LEFT(O24,4)),BASE!$E$12:$F$23,1,0),IFERROR(VLOOKUP((LEFT(O24,3)),BASE!$E$12:$F$23,1,0),IFERROR(VLOOKUP((LEFT(O24,2)),BASE!$E$12:$F$23,1,0),IFERROR(VLOOKUP((LEFT(O24,1)),BASE!$E$12:$F$23,1,0),100))))</f>
        <v>100</v>
      </c>
      <c r="F24" s="12">
        <f>IFERROR(VLOOKUP((LEFT(P24,4)),BASE!$E$12:$F$23,1,0),IFERROR(VLOOKUP((LEFT(P24,3)),BASE!$E$12:$F$23,1,0),IFERROR(VLOOKUP((LEFT(P24,2)),BASE!$E$12:$F$23,1,0),IFERROR(VLOOKUP((LEFT(P24,1)),BASE!$E$12:$F$23,1,0),100))))</f>
        <v>100</v>
      </c>
      <c r="G24" s="12">
        <f>IFERROR(VLOOKUP((LEFT(Q24,4)),BASE!$E$12:$F$23,1,0),IFERROR(VLOOKUP((LEFT(Q24,3)),BASE!$E$12:$F$23,1,0),IFERROR(VLOOKUP((LEFT(Q24,2)),BASE!$E$12:$F$23,1,0),IFERROR(VLOOKUP((LEFT(Q24,1)),BASE!$E$12:$F$23,1,0),100))))</f>
        <v>100</v>
      </c>
      <c r="H24" s="12">
        <f>IFERROR(VLOOKUP((LEFT(R24,4)),BASE!$E$12:$F$23,1,0),IFERROR(VLOOKUP((LEFT(R24,3)),BASE!$E$12:$F$23,1,0),IFERROR(VLOOKUP((LEFT(R24,2)),BASE!$E$12:$F$23,1,0),IFERROR(VLOOKUP((LEFT(R24,1)),BASE!$E$12:$F$23,1,0),100))))</f>
        <v>100</v>
      </c>
      <c r="I24" s="12" t="str">
        <f>IFERROR(VLOOKUP((LEFT(S24,4)),BASE!$E$12:$F$23,1,0),IFERROR(VLOOKUP((LEFT(S24,3)),BASE!$E$12:$F$23,1,0),IFERROR(VLOOKUP((LEFT(S24,2)),BASE!$E$12:$F$23,1,0),IFERROR(VLOOKUP((LEFT(S24,1)),BASE!$E$12:$F$23,1,0),100))))</f>
        <v>ko</v>
      </c>
      <c r="J24" s="12" t="str">
        <f>IFERROR(VLOOKUP((LEFT(T24,4)),BASE!$E$12:$F$24,1,0),IFERROR(VLOOKUP((LEFT(T24,3)),BASE!$E$12:$F$24,1,0),IFERROR(VLOOKUP((LEFT(T24,2)),BASE!$E$12:$F$24,1,0),IFERROR(VLOOKUP((LEFT(T24,1)),BASE!$E$12:$F$24,1,0),100))))</f>
        <v>n</v>
      </c>
      <c r="K24" s="12" t="str">
        <f>IFERROR(VLOOKUP((LEFT(U24,4)),BASE!$E$12:$F$23,1,0),IFERROR(VLOOKUP((LEFT(U24,3)),BASE!$E$12:$F$23,1,0),IFERROR(VLOOKUP((LEFT(U24,2)),BASE!$E$12:$F$23,1,0),IFERROR(VLOOKUP((LEFT(U24,1)),BASE!$E$12:$F$23,1,0),100))))</f>
        <v>n</v>
      </c>
      <c r="L24" s="14" t="str">
        <f t="shared" si="0"/>
        <v/>
      </c>
      <c r="M24" s="14" t="str">
        <f t="shared" si="0"/>
        <v/>
      </c>
      <c r="N24" s="14" t="str">
        <f t="shared" si="0"/>
        <v/>
      </c>
      <c r="O24" s="14" t="str">
        <f t="shared" si="0"/>
        <v/>
      </c>
      <c r="P24" s="14" t="str">
        <f t="shared" si="0"/>
        <v/>
      </c>
      <c r="Q24" s="14" t="str">
        <f t="shared" si="0"/>
        <v/>
      </c>
      <c r="R24" s="14" t="str">
        <f t="shared" si="0"/>
        <v/>
      </c>
      <c r="S24" s="14" t="str">
        <f t="shared" si="0"/>
        <v>ko</v>
      </c>
      <c r="T24" s="14" t="str">
        <f t="shared" si="0"/>
        <v>nko</v>
      </c>
      <c r="U24" s="14" t="str">
        <f t="shared" si="1"/>
        <v>nnko</v>
      </c>
      <c r="V24" s="13">
        <f>IFERROR(VLOOKUP(LEFT(AZ24,2),BASE!$C$96:$E$342,3,0),IFERROR(VLOOKUP(LEFT(AZ24,1),BASE!$C$96:$E$342,3,0),100))</f>
        <v>100</v>
      </c>
      <c r="W24" s="13">
        <f>IFERROR(VLOOKUP(LEFT(BA24,2),BASE!$C$96:$E$342,3,0),IFERROR(VLOOKUP(LEFT(BA24,1),BASE!$C$96:$E$342,3,0),100))</f>
        <v>100</v>
      </c>
      <c r="X24" s="13">
        <f>IFERROR(VLOOKUP(LEFT(BB24,2),BASE!$C$96:$E$342,3,0),IFERROR(VLOOKUP(LEFT(BB24,1),BASE!$C$96:$E$342,3,0),100))</f>
        <v>100</v>
      </c>
      <c r="Y24" s="13">
        <f>IFERROR(VLOOKUP(LEFT(BC24,2),BASE!$C$96:$E$342,3,0),IFERROR(VLOOKUP(LEFT(BC24,1),BASE!$C$96:$E$342,3,0),100))</f>
        <v>100</v>
      </c>
      <c r="Z24" s="13">
        <f>IFERROR(VLOOKUP(LEFT(BD24,2),BASE!$C$96:$E$342,3,0),IFERROR(VLOOKUP(LEFT(BD24,1),BASE!$C$96:$E$342,3,0),100))</f>
        <v>100</v>
      </c>
      <c r="AA24" s="13">
        <f>IFERROR(VLOOKUP(LEFT(BE24,2),BASE!$C$96:$E$342,3,0),IFERROR(VLOOKUP(LEFT(BE24,1),BASE!$C$96:$E$342,3,0),100))</f>
        <v>100</v>
      </c>
      <c r="AB24" s="13">
        <f>IFERROR(VLOOKUP(LEFT(BF24,2),BASE!$C$96:$E$342,3,0),IFERROR(VLOOKUP(LEFT(BF24,1),BASE!$C$96:$E$342,3,0),100))</f>
        <v>2</v>
      </c>
      <c r="AC24" s="13">
        <f>IFERROR(VLOOKUP(LEFT(BG24,2),BASE!$C$96:$E$342,3,0),IFERROR(VLOOKUP(LEFT(BG24,1),BASE!$C$96:$E$342,3,0),100))</f>
        <v>2</v>
      </c>
      <c r="AD24" s="13">
        <f>IFERROR(VLOOKUP(LEFT(BH24,2),BASE!$C$96:$E$342,3,0),IFERROR(VLOOKUP(LEFT(BH24,1),BASE!$C$96:$E$342,3,0),100))</f>
        <v>2</v>
      </c>
      <c r="AE24" s="13">
        <f>IFERROR(VLOOKUP(LEFT(BI24,2),BASE!$C$96:$E$342,3,0),IFERROR(VLOOKUP(LEFT(BI24,1),BASE!$C$96:$E$342,3,0),100))</f>
        <v>2</v>
      </c>
      <c r="AF24" s="187" t="str">
        <f>IF(AND(BS24=BR24,AG24="o"),"A", (IFERROR(VLOOKUP(LEFT(AZ24,2),BASE!$C$346:$D$592,2,0),IFERROR(VLOOKUP(LEFT(AZ24,1),BASE!$C$346:$D$5922,2,0),AZ24))))</f>
        <v/>
      </c>
      <c r="AG24" s="187" t="str">
        <f>IF(AND(BR24=BQ24,AH24="o"),"A", (IFERROR(VLOOKUP(LEFT(BA24,2),BASE!$C$346:$D$592,2,0),IFERROR(VLOOKUP(LEFT(BA24,1),BASE!$C$346:$D$592,2,0),BA24))))</f>
        <v/>
      </c>
      <c r="AH24" s="187" t="str">
        <f>IF(AND(BQ24=BP24,AI24="o"),"A", (IFERROR(VLOOKUP(LEFT(BB24,2),BASE!$C$346:$D$592,2,0),IFERROR(VLOOKUP(LEFT(BB24,1),BASE!$C$346:$D$592,2,0),BB24))))</f>
        <v/>
      </c>
      <c r="AI24" s="187" t="str">
        <f>IF(AND(BP24=BO24,AJ24="o"),"A", (IFERROR(VLOOKUP(LEFT(BC24,2),BASE!$C$346:$D$592,2,0),IFERROR(VLOOKUP(LEFT(BC24,1),BASE!$C$346:$D$592,2,0),BC24))))</f>
        <v/>
      </c>
      <c r="AJ24" s="187" t="str">
        <f>IF(AND(BO24=BN24,AK24="o"),"A", (IFERROR(VLOOKUP(LEFT(BD24,2),BASE!$C$346:$D$592,2,0),IFERROR(VLOOKUP(LEFT(BD24,1),BASE!$C$346:$D$592,2,0),BD24))))</f>
        <v/>
      </c>
      <c r="AK24" s="187" t="str">
        <f>IF(AND(BN24=BM24,AL24="o"),"A", (IFERROR(VLOOKUP(LEFT(BE24,2),BASE!$C$346:$D$592,2,0),IFERROR(VLOOKUP(LEFT(BE24,1),BASE!$C$346:$D$592,2,0),BE24))))</f>
        <v/>
      </c>
      <c r="AL24" s="187" t="str">
        <f>IF(AND(BM24=BL24,AM24="o"),"A", (IFERROR(VLOOKUP(LEFT(BF24,2),BASE!$C$346:$D$592,2,0),IFERROR(VLOOKUP(LEFT(BF24,1),BASE!$C$346:$D$592,2,0),BF24))))</f>
        <v>o</v>
      </c>
      <c r="AM24" s="187" t="str">
        <f>IF(AND(BL24=BK24,AN24="o"),"A",(IFERROR(VLOOKUP(LEFT(BG24,2),BASE!$C$346:$D$592,2,0),IFERROR(VLOOKUP(LEFT(BG24,1),BASE!$C$346:$D$592,2,0),BG24))))</f>
        <v>k</v>
      </c>
      <c r="AN24" s="187" t="str">
        <f>(IFERROR(VLOOKUP(LEFT(BH24,2),BASE!$C$346:$D$592,2,0),IFERROR(VLOOKUP(LEFT(BH24,1),BASE!$C$346:$D$592,2,0),BH24)))</f>
        <v>n</v>
      </c>
      <c r="AO24" s="187" t="str">
        <f>(IFERROR(VLOOKUP(LEFT(BI24,2),BASE!$C$96:$D$342,2,0),IFERROR(VLOOKUP(LEFT(BI24,1),BASE!$C$96:$D$342,2,0),BI24)))</f>
        <v>n</v>
      </c>
      <c r="AP24" s="5">
        <f t="shared" si="2"/>
        <v>8</v>
      </c>
      <c r="AQ24" s="5">
        <f t="shared" si="2"/>
        <v>8</v>
      </c>
      <c r="AR24" s="5">
        <f t="shared" si="2"/>
        <v>8</v>
      </c>
      <c r="AS24" s="5">
        <f t="shared" si="2"/>
        <v>8</v>
      </c>
      <c r="AT24" s="5">
        <f t="shared" si="2"/>
        <v>8</v>
      </c>
      <c r="AU24" s="5">
        <f t="shared" si="2"/>
        <v>8</v>
      </c>
      <c r="AV24" s="5">
        <f t="shared" si="2"/>
        <v>8</v>
      </c>
      <c r="AW24" s="5">
        <f t="shared" si="2"/>
        <v>8</v>
      </c>
      <c r="AX24" s="5">
        <f t="shared" si="2"/>
        <v>8</v>
      </c>
      <c r="AY24" s="5">
        <f t="shared" si="3"/>
        <v>8</v>
      </c>
      <c r="AZ24" s="12" t="str">
        <f t="shared" si="4"/>
        <v/>
      </c>
      <c r="BA24" s="12" t="str">
        <f t="shared" si="4"/>
        <v/>
      </c>
      <c r="BB24" s="12" t="str">
        <f t="shared" si="4"/>
        <v/>
      </c>
      <c r="BC24" s="12" t="str">
        <f t="shared" si="4"/>
        <v/>
      </c>
      <c r="BD24" s="12" t="str">
        <f t="shared" si="4"/>
        <v/>
      </c>
      <c r="BE24" s="12" t="str">
        <f t="shared" si="4"/>
        <v/>
      </c>
      <c r="BF24" s="12" t="str">
        <f t="shared" si="4"/>
        <v>ம்</v>
      </c>
      <c r="BG24" s="12" t="str">
        <f t="shared" si="4"/>
        <v>யும்</v>
      </c>
      <c r="BH24" s="43" t="str">
        <f t="shared" si="4"/>
        <v>ரேயும்</v>
      </c>
      <c r="BI24" s="57" t="str">
        <f>CG8</f>
        <v>சீரேயும்</v>
      </c>
      <c r="BJ24" s="58" t="str">
        <f>IFERROR(VLOOKUP(LEFT(BI24,2),BASE!$C$96:$F$342,1,0),IFERROR(VLOOKUP(LEFT(BI24,1),BASE!$C$96:$F$342,1,0),BI24))</f>
        <v>சீ</v>
      </c>
      <c r="BK24" s="58" t="str">
        <f>IFERROR(VLOOKUP(LEFT(BH24,2),BASE!$C$96:$D$342,1,0),IFERROR(VLOOKUP(LEFT(BH24,1),BASE!$C$96:$D$342,1,0),BH24))</f>
        <v>ரே</v>
      </c>
      <c r="BL24" s="58" t="str">
        <f>IFERROR(VLOOKUP(LEFT(BG24,2),BASE!$C$96:$D$342,1,0),IFERROR(VLOOKUP(LEFT(BG24,1),BASE!$C$96:$D$342,1,0),BG24))</f>
        <v>யு</v>
      </c>
      <c r="BM24" s="58" t="str">
        <f>IFERROR(VLOOKUP(LEFT(BF24,2),BASE!$C$96:$D$342,1,0),IFERROR(VLOOKUP(LEFT(BF24,1),BASE!$C$96:$D$342,1,0),BF24))</f>
        <v>ம்</v>
      </c>
      <c r="BN24" s="58" t="str">
        <f>IFERROR(VLOOKUP(LEFT(BE24,2),BASE!$C$96:$D$342,1,0),IFERROR(VLOOKUP(LEFT(BE24,1),BASE!$C$96:$D$342,1,0),BE24))</f>
        <v/>
      </c>
      <c r="BO24" s="58" t="str">
        <f>IFERROR(VLOOKUP(LEFT(BD24,2),BASE!$C$96:$D$342,1,0),IFERROR(VLOOKUP(LEFT(BD24,1),BASE!$C$96:$D$342,1,0),BD24))</f>
        <v/>
      </c>
      <c r="BP24" s="58" t="str">
        <f>IFERROR(VLOOKUP(LEFT(BC24,2),BASE!$C$96:$D$342,1,0),IFERROR(VLOOKUP(LEFT(BC24,1),BASE!$C$96:$D$342,1,0),BC24))</f>
        <v/>
      </c>
      <c r="BQ24" s="58" t="str">
        <f>IFERROR(VLOOKUP(LEFT(BB24,2),BASE!$C$96:$D$342,1,0),IFERROR(VLOOKUP(LEFT(BB24,1),BASE!$C$96:$D$342,1,0),BB24))</f>
        <v/>
      </c>
      <c r="BR24" s="58" t="str">
        <f>IFERROR(VLOOKUP(LEFT(BA24,2),BASE!$C$96:$D$342,1,0),IFERROR(VLOOKUP(LEFT(BA24,1),BASE!$C$96:$D$342,1,0),BA24))</f>
        <v/>
      </c>
      <c r="BS24" s="58" t="str">
        <f>IFERROR(VLOOKUP(LEFT(AZ24,2),BASE!$C$96:$D$342,1,0),IFERROR(VLOOKUP(LEFT(AZ24,1),BASE!$C$96:$D$342,1,0),AZ24))</f>
        <v/>
      </c>
      <c r="BT24" s="186" t="str">
        <f>(IFERROR(VLOOKUP(LEFT(BI24,2),BASE!$C$96:$F$342,4,0),IFERROR(VLOOKUP(LEFT(BI24,1),BASE!$C$96:$F$342,4,0),BI24)))</f>
        <v>நெ</v>
      </c>
      <c r="BU24" s="186" t="str">
        <f>(IFERROR(VLOOKUP(LEFT(BH24,2),BASE!$C$346:$F$592,4,0),IFERROR(VLOOKUP(LEFT(BH24,1),BASE!$C$346:$F$592,4,0),BH24)))</f>
        <v>நெ</v>
      </c>
      <c r="BV24" s="186" t="str">
        <f>(IFERROR(VLOOKUP(LEFT(BG24,2),BASE!$C$346:$F$592,4,0),IFERROR(VLOOKUP(LEFT(BG24,1),BASE!$C$346:$F$592,4,0),BG24)))</f>
        <v>கு</v>
      </c>
      <c r="BW24" s="186" t="str">
        <f>(IFERROR(VLOOKUP(LEFT(BF24,2),BASE!$C$346:$F$592,4,0),IFERROR(VLOOKUP(LEFT(BF24,1),BASE!$C$346:$F$592,4,0),BF24)))</f>
        <v>ஒ</v>
      </c>
      <c r="BX24" s="186" t="str">
        <f>(IFERROR(VLOOKUP(LEFT(BE24,2),BASE!$C$346:$F$592,4,0),IFERROR(VLOOKUP(LEFT(BE24,1),BASE!$C$346:$F$592,4,0),BE24)))</f>
        <v/>
      </c>
      <c r="BY24" s="186" t="str">
        <f>(IFERROR(VLOOKUP(LEFT(BD24,2),BASE!$C$346:$F$592,4,0),IFERROR(VLOOKUP(LEFT(BD24,1),BASE!$C$346:$F$592,4,0),BD24)))</f>
        <v/>
      </c>
      <c r="BZ24" s="186" t="str">
        <f>(IFERROR(VLOOKUP(LEFT(BC24,2),BASE!$C$346:$F$592,4,0),IFERROR(VLOOKUP(LEFT(BC24,1),BASE!$C$346:$F$592,4,0),BC24)))</f>
        <v/>
      </c>
      <c r="CA24" s="186" t="str">
        <f>(IFERROR(VLOOKUP(LEFT(BB24,2),BASE!$C$346:$F$592,4,0),IFERROR(VLOOKUP(LEFT(BB24,1),BASE!$C$346:$F$592,4,0),BB24)))</f>
        <v/>
      </c>
      <c r="CB24" s="186" t="str">
        <f>(IFERROR(VLOOKUP(LEFT(BA24,2),BASE!$C$346:$F$592,4,0),IFERROR(VLOOKUP(LEFT(BA24,1),BASE!$C$346:$F$592,4,0),BA24)))</f>
        <v/>
      </c>
      <c r="CC24" s="186" t="str">
        <f>(IFERROR(VLOOKUP(LEFT(AZ24,2),BASE!$C$346:$F$592,4,0),IFERROR(VLOOKUP(LEFT(AZ24,1),BASE!$C$346:$F$592,4,0),AZ24)))</f>
        <v/>
      </c>
      <c r="CD24" s="58" t="str">
        <f t="shared" si="5"/>
        <v>நெநெகுஒ</v>
      </c>
      <c r="CE24" s="58" t="str">
        <f>IFERROR(VLOOKUP((LEFT(U24,4)),BASE!$E$12:$F$23,2,0),IFERROR(VLOOKUP((LEFT(U24,3)),BASE!$E$12:$F$23,2,0),IFERROR(VLOOKUP((LEFT(U24,2)),BASE!$E$12:$F$23,2,0),IFERROR(VLOOKUP((LEFT(U24,1)),BASE!$E$12:$F$23,2,0),U24))))</f>
        <v>நேர்</v>
      </c>
      <c r="CF24" s="58" t="str">
        <f>IFERROR(VLOOKUP((LEFT(T24,4)),BASE!$E$12:$F$24,2,0),IFERROR(VLOOKUP((LEFT(T24,3)),BASE!$E$12:$F$24,2,0),IFERROR(VLOOKUP((LEFT(T24,2)),BASE!$E$12:$F$24,2,0),IFERROR(VLOOKUP((LEFT(T24,1)),BASE!$E$12:$F$24,2,0),T24))))</f>
        <v>நேர்</v>
      </c>
      <c r="CG24" s="58" t="str">
        <f>IFERROR(VLOOKUP((LEFT(S24,4)),BASE!$E$12:$F$23,2,0),IFERROR(VLOOKUP((LEFT(S24,3)),BASE!$E$12:$F$23,2,0),IFERROR(VLOOKUP((LEFT(S24,2)),BASE!$E$12:$F$23,2,0),IFERROR(VLOOKUP((LEFT(S24,1)),BASE!$E$12:$F$23,2,0),S24))))</f>
        <v>நேர்</v>
      </c>
      <c r="CH24" s="58" t="str">
        <f>IFERROR(VLOOKUP((LEFT(R24,4)),BASE!$E$12:$F$23,2,0),IFERROR(VLOOKUP((LEFT(R24,3)),BASE!$E$12:$F$23,2,0),IFERROR(VLOOKUP((LEFT(R24,2)),BASE!$E$12:$F$23,2,0),IFERROR(VLOOKUP((LEFT(R24,1)),BASE!$E$12:$F$23,2,0),R24))))</f>
        <v/>
      </c>
      <c r="CI24" s="58" t="str">
        <f>IFERROR(VLOOKUP((LEFT(Q24,4)),BASE!$E$12:$F$23,2,0),IFERROR(VLOOKUP((LEFT(Q24,3)),BASE!$E$12:$F$23,2,0),IFERROR(VLOOKUP((LEFT(Q24,2)),BASE!$E$12:$F$23,2,0),IFERROR(VLOOKUP((LEFT(Q24,1)),BASE!$E$12:$F$23,2,0),Q24))))</f>
        <v/>
      </c>
      <c r="CJ24" s="58" t="str">
        <f>IFERROR(VLOOKUP((LEFT(P24,4)),BASE!$E$12:$F$23,2,0),IFERROR(VLOOKUP((LEFT(P24,3)),BASE!$E$12:$F$23,2,0),IFERROR(VLOOKUP((LEFT(P24,2)),BASE!$E$12:$F$23,2,0),IFERROR(VLOOKUP((LEFT(P24,1)),BASE!$E$12:$F$23,2,0),P24))))</f>
        <v/>
      </c>
      <c r="CK24" s="58" t="str">
        <f>IFERROR(VLOOKUP((LEFT(O24,4)),BASE!$E$12:$F$23,2,0),IFERROR(VLOOKUP((LEFT(O24,3)),BASE!$E$12:$F$23,2,0),IFERROR(VLOOKUP((LEFT(O24,2)),BASE!$E$12:$F$23,2,0),IFERROR(VLOOKUP((LEFT(O24,1)),BASE!$E$12:$F$23,2,0),O24))))</f>
        <v/>
      </c>
      <c r="CL24" s="58" t="str">
        <f>IFERROR(VLOOKUP((LEFT(N24,4)),BASE!$E$12:$F$23,2,0),IFERROR(VLOOKUP((LEFT(N24,3)),BASE!$E$12:$F$23,2,0),IFERROR(VLOOKUP((LEFT(N24,2)),BASE!$E$12:$F$23,2,0),IFERROR(VLOOKUP((LEFT(N24,1)),BASE!$E$12:$F$23,2,0),N24))))</f>
        <v/>
      </c>
      <c r="CM24" s="58" t="str">
        <f>IFERROR(VLOOKUP((LEFT(M24,4)),BASE!$E$12:$F$23,2,0),IFERROR(VLOOKUP((LEFT(M24,3)),BASE!$E$12:$F$23,2,0),IFERROR(VLOOKUP((LEFT(M24,2)),BASE!$E$12:$F$23,2,0),IFERROR(VLOOKUP((LEFT(M24,1)),BASE!$E$12:$F$23,2,0),M24))))</f>
        <v/>
      </c>
      <c r="CN24" s="58" t="str">
        <f>IFERROR(VLOOKUP((LEFT(L24,4)),BASE!$E$12:$F$23,2,0),IFERROR(VLOOKUP((LEFT(L24,3)),BASE!$E$12:$F$23,2,0),IFERROR(VLOOKUP((LEFT(L24,2)),BASE!$E$12:$F$23,2,0),IFERROR(VLOOKUP((LEFT(L24,1)),BASE!$E$12:$F$23,2,0),L24))))</f>
        <v/>
      </c>
      <c r="CO24" s="58" t="str">
        <f t="shared" si="6"/>
        <v>நேர்நேர்நேர்</v>
      </c>
      <c r="CP24" s="58" t="str">
        <f>VLOOKUP(CO24,BASE!$E$25:$F$79,2,0)</f>
        <v>தேமாங்காய்</v>
      </c>
      <c r="CQ24" s="58" t="str">
        <f>VLOOKUP(CO24,BASE!$E$25:$G$79,3,0)&amp;CE25</f>
        <v>காய்நேர்</v>
      </c>
      <c r="CR24" s="58" t="str">
        <f>VLOOKUP(CQ24,BASE!$E$86:$G$93,2,0)</f>
        <v>காய் முன் நேர்</v>
      </c>
      <c r="CS24" s="58" t="str">
        <f>VLOOKUP(CQ24,BASE!$E$86:$G$93,3,0)</f>
        <v>வெண்சீர் வெண்டளை</v>
      </c>
      <c r="CT24" s="58" t="str">
        <f t="shared" si="7"/>
        <v>மூவசைக்கு மிகவில்லை</v>
      </c>
      <c r="CU24" s="58" t="str">
        <f t="shared" si="8"/>
        <v>சரி</v>
      </c>
      <c r="CV24" s="193"/>
    </row>
    <row r="25" spans="1:100" ht="19.5" customHeight="1" x14ac:dyDescent="0.35">
      <c r="A25" s="119"/>
      <c r="B25" s="12">
        <f>IFERROR(VLOOKUP((LEFT(L25,4)),BASE!$E$12:$F$23,1,0),IFERROR(VLOOKUP((LEFT(L25,3)),BASE!$E$12:$F$23,1,0),IFERROR(VLOOKUP((LEFT(L25,2)),BASE!$E$12:$F$23,1,0),IFERROR(VLOOKUP((LEFT(L25,1)),BASE!$E$12:$F$23,1,0),100))))</f>
        <v>100</v>
      </c>
      <c r="C25" s="12">
        <f>IFERROR(VLOOKUP((LEFT(M25,4)),BASE!$E$12:$F$23,1,0),IFERROR(VLOOKUP((LEFT(M25,3)),BASE!$E$12:$F$23,1,0),IFERROR(VLOOKUP((LEFT(M25,2)),BASE!$E$12:$F$23,1,0),IFERROR(VLOOKUP((LEFT(M25,1)),BASE!$E$12:$F$23,1,0),100))))</f>
        <v>100</v>
      </c>
      <c r="D25" s="12">
        <f>IFERROR(VLOOKUP((LEFT(N25,4)),BASE!$E$12:$F$23,1,0),IFERROR(VLOOKUP((LEFT(N25,3)),BASE!$E$12:$F$23,1,0),IFERROR(VLOOKUP((LEFT(N25,2)),BASE!$E$12:$F$23,1,0),IFERROR(VLOOKUP((LEFT(N25,1)),BASE!$E$12:$F$23,1,0),100))))</f>
        <v>100</v>
      </c>
      <c r="E25" s="12">
        <f>IFERROR(VLOOKUP((LEFT(O25,4)),BASE!$E$12:$F$23,1,0),IFERROR(VLOOKUP((LEFT(O25,3)),BASE!$E$12:$F$23,1,0),IFERROR(VLOOKUP((LEFT(O25,2)),BASE!$E$12:$F$23,1,0),IFERROR(VLOOKUP((LEFT(O25,1)),BASE!$E$12:$F$23,1,0),100))))</f>
        <v>100</v>
      </c>
      <c r="F25" s="12">
        <f>IFERROR(VLOOKUP((LEFT(P25,4)),BASE!$E$12:$F$23,1,0),IFERROR(VLOOKUP((LEFT(P25,3)),BASE!$E$12:$F$23,1,0),IFERROR(VLOOKUP((LEFT(P25,2)),BASE!$E$12:$F$23,1,0),IFERROR(VLOOKUP((LEFT(P25,1)),BASE!$E$12:$F$23,1,0),100))))</f>
        <v>100</v>
      </c>
      <c r="G25" s="12">
        <f>IFERROR(VLOOKUP((LEFT(Q25,4)),BASE!$E$12:$F$23,1,0),IFERROR(VLOOKUP((LEFT(Q25,3)),BASE!$E$12:$F$23,1,0),IFERROR(VLOOKUP((LEFT(Q25,2)),BASE!$E$12:$F$23,1,0),IFERROR(VLOOKUP((LEFT(Q25,1)),BASE!$E$12:$F$23,1,0),100))))</f>
        <v>100</v>
      </c>
      <c r="H25" s="12">
        <f>IFERROR(VLOOKUP((LEFT(R25,4)),BASE!$E$12:$F$23,1,0),IFERROR(VLOOKUP((LEFT(R25,3)),BASE!$E$12:$F$23,1,0),IFERROR(VLOOKUP((LEFT(R25,2)),BASE!$E$12:$F$23,1,0),IFERROR(VLOOKUP((LEFT(R25,1)),BASE!$E$12:$F$23,1,0),100))))</f>
        <v>100</v>
      </c>
      <c r="I25" s="12">
        <f>IFERROR(VLOOKUP((LEFT(S25,4)),BASE!$E$12:$F$23,1,0),IFERROR(VLOOKUP((LEFT(S25,3)),BASE!$E$12:$F$23,1,0),IFERROR(VLOOKUP((LEFT(S25,2)),BASE!$E$12:$F$23,1,0),IFERROR(VLOOKUP((LEFT(S25,1)),BASE!$E$12:$F$23,1,0),100))))</f>
        <v>100</v>
      </c>
      <c r="J25" s="12" t="str">
        <f>IFERROR(VLOOKUP((LEFT(T25,4)),BASE!$E$12:$F$24,1,0),IFERROR(VLOOKUP((LEFT(T25,3)),BASE!$E$12:$F$24,1,0),IFERROR(VLOOKUP((LEFT(T25,2)),BASE!$E$12:$F$24,1,0),IFERROR(VLOOKUP((LEFT(T25,1)),BASE!$E$12:$F$24,1,0),100))))</f>
        <v>k</v>
      </c>
      <c r="K25" s="12" t="str">
        <f>IFERROR(VLOOKUP((LEFT(U25,4)),BASE!$E$12:$F$23,1,0),IFERROR(VLOOKUP((LEFT(U25,3)),BASE!$E$12:$F$23,1,0),IFERROR(VLOOKUP((LEFT(U25,2)),BASE!$E$12:$F$23,1,0),IFERROR(VLOOKUP((LEFT(U25,1)),BASE!$E$12:$F$23,1,0),100))))</f>
        <v>ko</v>
      </c>
      <c r="L25" s="14" t="str">
        <f t="shared" si="0"/>
        <v/>
      </c>
      <c r="M25" s="14" t="str">
        <f t="shared" si="0"/>
        <v/>
      </c>
      <c r="N25" s="14" t="str">
        <f t="shared" si="0"/>
        <v/>
      </c>
      <c r="O25" s="14" t="str">
        <f t="shared" si="0"/>
        <v/>
      </c>
      <c r="P25" s="14" t="str">
        <f t="shared" si="0"/>
        <v/>
      </c>
      <c r="Q25" s="14" t="str">
        <f t="shared" si="0"/>
        <v/>
      </c>
      <c r="R25" s="14" t="str">
        <f t="shared" si="0"/>
        <v/>
      </c>
      <c r="S25" s="14" t="str">
        <f t="shared" si="0"/>
        <v/>
      </c>
      <c r="T25" s="14" t="str">
        <f t="shared" si="0"/>
        <v>k</v>
      </c>
      <c r="U25" s="14" t="str">
        <f t="shared" si="1"/>
        <v>kok</v>
      </c>
      <c r="V25" s="13">
        <f>IFERROR(VLOOKUP(LEFT(AZ25,2),BASE!$C$96:$E$342,3,0),IFERROR(VLOOKUP(LEFT(AZ25,1),BASE!$C$96:$E$342,3,0),100))</f>
        <v>100</v>
      </c>
      <c r="W25" s="13">
        <f>IFERROR(VLOOKUP(LEFT(BA25,2),BASE!$C$96:$E$342,3,0),IFERROR(VLOOKUP(LEFT(BA25,1),BASE!$C$96:$E$342,3,0),100))</f>
        <v>100</v>
      </c>
      <c r="X25" s="13">
        <f>IFERROR(VLOOKUP(LEFT(BB25,2),BASE!$C$96:$E$342,3,0),IFERROR(VLOOKUP(LEFT(BB25,1),BASE!$C$96:$E$342,3,0),100))</f>
        <v>100</v>
      </c>
      <c r="Y25" s="13">
        <f>IFERROR(VLOOKUP(LEFT(BC25,2),BASE!$C$96:$E$342,3,0),IFERROR(VLOOKUP(LEFT(BC25,1),BASE!$C$96:$E$342,3,0),100))</f>
        <v>100</v>
      </c>
      <c r="Z25" s="13">
        <f>IFERROR(VLOOKUP(LEFT(BD25,2),BASE!$C$96:$E$342,3,0),IFERROR(VLOOKUP(LEFT(BD25,1),BASE!$C$96:$E$342,3,0),100))</f>
        <v>100</v>
      </c>
      <c r="AA25" s="13">
        <f>IFERROR(VLOOKUP(LEFT(BE25,2),BASE!$C$96:$E$342,3,0),IFERROR(VLOOKUP(LEFT(BE25,1),BASE!$C$96:$E$342,3,0),100))</f>
        <v>100</v>
      </c>
      <c r="AB25" s="13">
        <f>IFERROR(VLOOKUP(LEFT(BF25,2),BASE!$C$96:$E$342,3,0),IFERROR(VLOOKUP(LEFT(BF25,1),BASE!$C$96:$E$342,3,0),100))</f>
        <v>100</v>
      </c>
      <c r="AC25" s="13">
        <f>IFERROR(VLOOKUP(LEFT(BG25,2),BASE!$C$96:$E$342,3,0),IFERROR(VLOOKUP(LEFT(BG25,1),BASE!$C$96:$E$342,3,0),100))</f>
        <v>2</v>
      </c>
      <c r="AD25" s="13">
        <f>IFERROR(VLOOKUP(LEFT(BH25,2),BASE!$C$96:$E$342,3,0),IFERROR(VLOOKUP(LEFT(BH25,1),BASE!$C$96:$E$342,3,0),100))</f>
        <v>2</v>
      </c>
      <c r="AE25" s="13">
        <f>IFERROR(VLOOKUP(LEFT(BI25,2),BASE!$C$96:$E$342,3,0),IFERROR(VLOOKUP(LEFT(BI25,1),BASE!$C$96:$E$342,3,0),100))</f>
        <v>2</v>
      </c>
      <c r="AF25" s="187" t="str">
        <f>IF(AND(BS25=BR25,AG25="o"),"A", (IFERROR(VLOOKUP(LEFT(AZ25,2),BASE!$C$346:$D$592,2,0),IFERROR(VLOOKUP(LEFT(AZ25,1),BASE!$C$346:$D$5922,2,0),AZ25))))</f>
        <v/>
      </c>
      <c r="AG25" s="187" t="str">
        <f>IF(AND(BR25=BQ25,AH25="o"),"A", (IFERROR(VLOOKUP(LEFT(BA25,2),BASE!$C$346:$D$592,2,0),IFERROR(VLOOKUP(LEFT(BA25,1),BASE!$C$346:$D$592,2,0),BA25))))</f>
        <v/>
      </c>
      <c r="AH25" s="187" t="str">
        <f>IF(AND(BQ25=BP25,AI25="o"),"A", (IFERROR(VLOOKUP(LEFT(BB25,2),BASE!$C$346:$D$592,2,0),IFERROR(VLOOKUP(LEFT(BB25,1),BASE!$C$346:$D$592,2,0),BB25))))</f>
        <v/>
      </c>
      <c r="AI25" s="187" t="str">
        <f>IF(AND(BP25=BO25,AJ25="o"),"A", (IFERROR(VLOOKUP(LEFT(BC25,2),BASE!$C$346:$D$592,2,0),IFERROR(VLOOKUP(LEFT(BC25,1),BASE!$C$346:$D$592,2,0),BC25))))</f>
        <v/>
      </c>
      <c r="AJ25" s="187" t="str">
        <f>IF(AND(BO25=BN25,AK25="o"),"A", (IFERROR(VLOOKUP(LEFT(BD25,2),BASE!$C$346:$D$592,2,0),IFERROR(VLOOKUP(LEFT(BD25,1),BASE!$C$346:$D$592,2,0),BD25))))</f>
        <v/>
      </c>
      <c r="AK25" s="187" t="str">
        <f>IF(AND(BN25=BM25,AL25="o"),"A", (IFERROR(VLOOKUP(LEFT(BE25,2),BASE!$C$346:$D$592,2,0),IFERROR(VLOOKUP(LEFT(BE25,1),BASE!$C$346:$D$592,2,0),BE25))))</f>
        <v/>
      </c>
      <c r="AL25" s="187" t="str">
        <f>IF(AND(BM25=BL25,AM25="o"),"A", (IFERROR(VLOOKUP(LEFT(BF25,2),BASE!$C$346:$D$592,2,0),IFERROR(VLOOKUP(LEFT(BF25,1),BASE!$C$346:$D$592,2,0),BF25))))</f>
        <v/>
      </c>
      <c r="AM25" s="187" t="str">
        <f>IF(AND(BL25=BK25,AN25="o"),"A",(IFERROR(VLOOKUP(LEFT(BG25,2),BASE!$C$346:$D$592,2,0),IFERROR(VLOOKUP(LEFT(BG25,1),BASE!$C$346:$D$592,2,0),BG25))))</f>
        <v>k</v>
      </c>
      <c r="AN25" s="187" t="str">
        <f>(IFERROR(VLOOKUP(LEFT(BH25,2),BASE!$C$346:$D$592,2,0),IFERROR(VLOOKUP(LEFT(BH25,1),BASE!$C$346:$D$592,2,0),BH25)))</f>
        <v>o</v>
      </c>
      <c r="AO25" s="187" t="str">
        <f>(IFERROR(VLOOKUP(LEFT(BI25,2),BASE!$C$96:$D$342,2,0),IFERROR(VLOOKUP(LEFT(BI25,1),BASE!$C$96:$D$342,2,0),BI25)))</f>
        <v>k</v>
      </c>
      <c r="AP25" s="5">
        <f t="shared" si="2"/>
        <v>6</v>
      </c>
      <c r="AQ25" s="5">
        <f t="shared" si="2"/>
        <v>6</v>
      </c>
      <c r="AR25" s="5">
        <f t="shared" si="2"/>
        <v>6</v>
      </c>
      <c r="AS25" s="5">
        <f t="shared" si="2"/>
        <v>6</v>
      </c>
      <c r="AT25" s="5">
        <f t="shared" si="2"/>
        <v>6</v>
      </c>
      <c r="AU25" s="5">
        <f t="shared" si="2"/>
        <v>6</v>
      </c>
      <c r="AV25" s="5">
        <f t="shared" si="2"/>
        <v>6</v>
      </c>
      <c r="AW25" s="5">
        <f t="shared" si="2"/>
        <v>6</v>
      </c>
      <c r="AX25" s="5">
        <f t="shared" si="2"/>
        <v>6</v>
      </c>
      <c r="AY25" s="5">
        <f t="shared" si="3"/>
        <v>6</v>
      </c>
      <c r="AZ25" s="12" t="str">
        <f t="shared" si="4"/>
        <v/>
      </c>
      <c r="BA25" s="12" t="str">
        <f t="shared" si="4"/>
        <v/>
      </c>
      <c r="BB25" s="12" t="str">
        <f t="shared" si="4"/>
        <v/>
      </c>
      <c r="BC25" s="12" t="str">
        <f t="shared" si="4"/>
        <v/>
      </c>
      <c r="BD25" s="12" t="str">
        <f t="shared" si="4"/>
        <v/>
      </c>
      <c r="BE25" s="12" t="str">
        <f t="shared" si="4"/>
        <v/>
      </c>
      <c r="BF25" s="12" t="str">
        <f t="shared" si="4"/>
        <v/>
      </c>
      <c r="BG25" s="12" t="str">
        <f t="shared" si="4"/>
        <v>சை</v>
      </c>
      <c r="BH25" s="43" t="str">
        <f t="shared" si="4"/>
        <v>ச்சை</v>
      </c>
      <c r="BI25" s="57" t="str">
        <f>CD10</f>
        <v>கொச்சை</v>
      </c>
      <c r="BJ25" s="58" t="str">
        <f>IFERROR(VLOOKUP(LEFT(BI25,2),BASE!$C$96:$F$342,1,0),IFERROR(VLOOKUP(LEFT(BI25,1),BASE!$C$96:$F$342,1,0),BI25))</f>
        <v>கொ</v>
      </c>
      <c r="BK25" s="58" t="str">
        <f>IFERROR(VLOOKUP(LEFT(BH25,2),BASE!$C$96:$D$342,1,0),IFERROR(VLOOKUP(LEFT(BH25,1),BASE!$C$96:$D$342,1,0),BH25))</f>
        <v>ச்</v>
      </c>
      <c r="BL25" s="58" t="str">
        <f>IFERROR(VLOOKUP(LEFT(BG25,2),BASE!$C$96:$D$342,1,0),IFERROR(VLOOKUP(LEFT(BG25,1),BASE!$C$96:$D$342,1,0),BG25))</f>
        <v>சை</v>
      </c>
      <c r="BM25" s="58" t="str">
        <f>IFERROR(VLOOKUP(LEFT(BF25,2),BASE!$C$96:$D$342,1,0),IFERROR(VLOOKUP(LEFT(BF25,1),BASE!$C$96:$D$342,1,0),BF25))</f>
        <v/>
      </c>
      <c r="BN25" s="58" t="str">
        <f>IFERROR(VLOOKUP(LEFT(BE25,2),BASE!$C$96:$D$342,1,0),IFERROR(VLOOKUP(LEFT(BE25,1),BASE!$C$96:$D$342,1,0),BE25))</f>
        <v/>
      </c>
      <c r="BO25" s="58" t="str">
        <f>IFERROR(VLOOKUP(LEFT(BD25,2),BASE!$C$96:$D$342,1,0),IFERROR(VLOOKUP(LEFT(BD25,1),BASE!$C$96:$D$342,1,0),BD25))</f>
        <v/>
      </c>
      <c r="BP25" s="58" t="str">
        <f>IFERROR(VLOOKUP(LEFT(BC25,2),BASE!$C$96:$D$342,1,0),IFERROR(VLOOKUP(LEFT(BC25,1),BASE!$C$96:$D$342,1,0),BC25))</f>
        <v/>
      </c>
      <c r="BQ25" s="58" t="str">
        <f>IFERROR(VLOOKUP(LEFT(BB25,2),BASE!$C$96:$D$342,1,0),IFERROR(VLOOKUP(LEFT(BB25,1),BASE!$C$96:$D$342,1,0),BB25))</f>
        <v/>
      </c>
      <c r="BR25" s="58" t="str">
        <f>IFERROR(VLOOKUP(LEFT(BA25,2),BASE!$C$96:$D$342,1,0),IFERROR(VLOOKUP(LEFT(BA25,1),BASE!$C$96:$D$342,1,0),BA25))</f>
        <v/>
      </c>
      <c r="BS25" s="58" t="str">
        <f>IFERROR(VLOOKUP(LEFT(AZ25,2),BASE!$C$96:$D$342,1,0),IFERROR(VLOOKUP(LEFT(AZ25,1),BASE!$C$96:$D$342,1,0),AZ25))</f>
        <v/>
      </c>
      <c r="BT25" s="186" t="str">
        <f>(IFERROR(VLOOKUP(LEFT(BI25,2),BASE!$C$96:$F$342,4,0),IFERROR(VLOOKUP(LEFT(BI25,1),BASE!$C$96:$F$342,4,0),BI25)))</f>
        <v>கு</v>
      </c>
      <c r="BU25" s="186" t="str">
        <f>(IFERROR(VLOOKUP(LEFT(BH25,2),BASE!$C$346:$F$592,4,0),IFERROR(VLOOKUP(LEFT(BH25,1),BASE!$C$346:$F$592,4,0),BH25)))</f>
        <v>ஒ</v>
      </c>
      <c r="BV25" s="186" t="str">
        <f>(IFERROR(VLOOKUP(LEFT(BG25,2),BASE!$C$346:$F$592,4,0),IFERROR(VLOOKUP(LEFT(BG25,1),BASE!$C$346:$F$592,4,0),BG25)))</f>
        <v>கு</v>
      </c>
      <c r="BW25" s="186" t="str">
        <f>(IFERROR(VLOOKUP(LEFT(BF25,2),BASE!$C$346:$F$592,4,0),IFERROR(VLOOKUP(LEFT(BF25,1),BASE!$C$346:$F$592,4,0),BF25)))</f>
        <v/>
      </c>
      <c r="BX25" s="186" t="str">
        <f>(IFERROR(VLOOKUP(LEFT(BE25,2),BASE!$C$346:$F$592,4,0),IFERROR(VLOOKUP(LEFT(BE25,1),BASE!$C$346:$F$592,4,0),BE25)))</f>
        <v/>
      </c>
      <c r="BY25" s="186" t="str">
        <f>(IFERROR(VLOOKUP(LEFT(BD25,2),BASE!$C$346:$F$592,4,0),IFERROR(VLOOKUP(LEFT(BD25,1),BASE!$C$346:$F$592,4,0),BD25)))</f>
        <v/>
      </c>
      <c r="BZ25" s="186" t="str">
        <f>(IFERROR(VLOOKUP(LEFT(BC25,2),BASE!$C$346:$F$592,4,0),IFERROR(VLOOKUP(LEFT(BC25,1),BASE!$C$346:$F$592,4,0),BC25)))</f>
        <v/>
      </c>
      <c r="CA25" s="186" t="str">
        <f>(IFERROR(VLOOKUP(LEFT(BB25,2),BASE!$C$346:$F$592,4,0),IFERROR(VLOOKUP(LEFT(BB25,1),BASE!$C$346:$F$592,4,0),BB25)))</f>
        <v/>
      </c>
      <c r="CB25" s="186" t="str">
        <f>(IFERROR(VLOOKUP(LEFT(BA25,2),BASE!$C$346:$F$592,4,0),IFERROR(VLOOKUP(LEFT(BA25,1),BASE!$C$346:$F$592,4,0),BA25)))</f>
        <v/>
      </c>
      <c r="CC25" s="186" t="str">
        <f>(IFERROR(VLOOKUP(LEFT(AZ25,2),BASE!$C$346:$F$592,4,0),IFERROR(VLOOKUP(LEFT(AZ25,1),BASE!$C$346:$F$592,4,0),AZ25)))</f>
        <v/>
      </c>
      <c r="CD25" s="58" t="str">
        <f t="shared" si="5"/>
        <v>குஒகு</v>
      </c>
      <c r="CE25" s="58" t="str">
        <f>IFERROR(VLOOKUP((LEFT(U25,4)),BASE!$E$12:$F$23,2,0),IFERROR(VLOOKUP((LEFT(U25,3)),BASE!$E$12:$F$23,2,0),IFERROR(VLOOKUP((LEFT(U25,2)),BASE!$E$12:$F$23,2,0),IFERROR(VLOOKUP((LEFT(U25,1)),BASE!$E$12:$F$23,2,0),U25))))</f>
        <v>நேர்</v>
      </c>
      <c r="CF25" s="58" t="str">
        <f>IFERROR(VLOOKUP((LEFT(T25,4)),BASE!$E$12:$F$24,2,0),IFERROR(VLOOKUP((LEFT(T25,3)),BASE!$E$12:$F$24,2,0),IFERROR(VLOOKUP((LEFT(T25,2)),BASE!$E$12:$F$24,2,0),IFERROR(VLOOKUP((LEFT(T25,1)),BASE!$E$12:$F$24,2,0),T25))))</f>
        <v>நேர்</v>
      </c>
      <c r="CG25" s="58" t="str">
        <f>IFERROR(VLOOKUP((LEFT(S25,4)),BASE!$E$12:$F$23,2,0),IFERROR(VLOOKUP((LEFT(S25,3)),BASE!$E$12:$F$23,2,0),IFERROR(VLOOKUP((LEFT(S25,2)),BASE!$E$12:$F$23,2,0),IFERROR(VLOOKUP((LEFT(S25,1)),BASE!$E$12:$F$23,2,0),S25))))</f>
        <v/>
      </c>
      <c r="CH25" s="58" t="str">
        <f>IFERROR(VLOOKUP((LEFT(R25,4)),BASE!$E$12:$F$23,2,0),IFERROR(VLOOKUP((LEFT(R25,3)),BASE!$E$12:$F$23,2,0),IFERROR(VLOOKUP((LEFT(R25,2)),BASE!$E$12:$F$23,2,0),IFERROR(VLOOKUP((LEFT(R25,1)),BASE!$E$12:$F$23,2,0),R25))))</f>
        <v/>
      </c>
      <c r="CI25" s="58" t="str">
        <f>IFERROR(VLOOKUP((LEFT(Q25,4)),BASE!$E$12:$F$23,2,0),IFERROR(VLOOKUP((LEFT(Q25,3)),BASE!$E$12:$F$23,2,0),IFERROR(VLOOKUP((LEFT(Q25,2)),BASE!$E$12:$F$23,2,0),IFERROR(VLOOKUP((LEFT(Q25,1)),BASE!$E$12:$F$23,2,0),Q25))))</f>
        <v/>
      </c>
      <c r="CJ25" s="58" t="str">
        <f>IFERROR(VLOOKUP((LEFT(P25,4)),BASE!$E$12:$F$23,2,0),IFERROR(VLOOKUP((LEFT(P25,3)),BASE!$E$12:$F$23,2,0),IFERROR(VLOOKUP((LEFT(P25,2)),BASE!$E$12:$F$23,2,0),IFERROR(VLOOKUP((LEFT(P25,1)),BASE!$E$12:$F$23,2,0),P25))))</f>
        <v/>
      </c>
      <c r="CK25" s="58" t="str">
        <f>IFERROR(VLOOKUP((LEFT(O25,4)),BASE!$E$12:$F$23,2,0),IFERROR(VLOOKUP((LEFT(O25,3)),BASE!$E$12:$F$23,2,0),IFERROR(VLOOKUP((LEFT(O25,2)),BASE!$E$12:$F$23,2,0),IFERROR(VLOOKUP((LEFT(O25,1)),BASE!$E$12:$F$23,2,0),O25))))</f>
        <v/>
      </c>
      <c r="CL25" s="58" t="str">
        <f>IFERROR(VLOOKUP((LEFT(N25,4)),BASE!$E$12:$F$23,2,0),IFERROR(VLOOKUP((LEFT(N25,3)),BASE!$E$12:$F$23,2,0),IFERROR(VLOOKUP((LEFT(N25,2)),BASE!$E$12:$F$23,2,0),IFERROR(VLOOKUP((LEFT(N25,1)),BASE!$E$12:$F$23,2,0),N25))))</f>
        <v/>
      </c>
      <c r="CM25" s="58" t="str">
        <f>IFERROR(VLOOKUP((LEFT(M25,4)),BASE!$E$12:$F$23,2,0),IFERROR(VLOOKUP((LEFT(M25,3)),BASE!$E$12:$F$23,2,0),IFERROR(VLOOKUP((LEFT(M25,2)),BASE!$E$12:$F$23,2,0),IFERROR(VLOOKUP((LEFT(M25,1)),BASE!$E$12:$F$23,2,0),M25))))</f>
        <v/>
      </c>
      <c r="CN25" s="58" t="str">
        <f>IFERROR(VLOOKUP((LEFT(L25,4)),BASE!$E$12:$F$23,2,0),IFERROR(VLOOKUP((LEFT(L25,3)),BASE!$E$12:$F$23,2,0),IFERROR(VLOOKUP((LEFT(L25,2)),BASE!$E$12:$F$23,2,0),IFERROR(VLOOKUP((LEFT(L25,1)),BASE!$E$12:$F$23,2,0),L25))))</f>
        <v/>
      </c>
      <c r="CO25" s="58" t="str">
        <f t="shared" si="6"/>
        <v>நேர்நேர்</v>
      </c>
      <c r="CP25" s="58" t="str">
        <f>VLOOKUP(CO25,BASE!$E$25:$F$79,2,0)</f>
        <v>தேமா</v>
      </c>
      <c r="CQ25" s="58" t="str">
        <f>VLOOKUP(CO25,BASE!$E$25:$G$79,3,0)&amp;CE26</f>
        <v>மாநிரை</v>
      </c>
      <c r="CR25" s="58" t="str">
        <f>VLOOKUP(CQ25,BASE!$E$86:$G$93,2,0)</f>
        <v>மாமுன் நிரை</v>
      </c>
      <c r="CS25" s="58" t="str">
        <f>VLOOKUP(CQ25,BASE!$E$86:$G$93,3,0)</f>
        <v>இயற்சீர் வெண்டளை</v>
      </c>
      <c r="CT25" s="58" t="str">
        <f t="shared" si="7"/>
        <v>மூவசைக்கு மிகவில்லை</v>
      </c>
      <c r="CU25" s="58" t="str">
        <f t="shared" si="8"/>
        <v>சரி</v>
      </c>
      <c r="CV25" s="193"/>
    </row>
    <row r="26" spans="1:100" ht="19.5" customHeight="1" x14ac:dyDescent="0.35">
      <c r="A26" s="119"/>
      <c r="B26" s="12">
        <f>IFERROR(VLOOKUP((LEFT(L26,4)),BASE!$E$12:$F$23,1,0),IFERROR(VLOOKUP((LEFT(L26,3)),BASE!$E$12:$F$23,1,0),IFERROR(VLOOKUP((LEFT(L26,2)),BASE!$E$12:$F$23,1,0),IFERROR(VLOOKUP((LEFT(L26,1)),BASE!$E$12:$F$23,1,0),100))))</f>
        <v>100</v>
      </c>
      <c r="C26" s="12">
        <f>IFERROR(VLOOKUP((LEFT(M26,4)),BASE!$E$12:$F$23,1,0),IFERROR(VLOOKUP((LEFT(M26,3)),BASE!$E$12:$F$23,1,0),IFERROR(VLOOKUP((LEFT(M26,2)),BASE!$E$12:$F$23,1,0),IFERROR(VLOOKUP((LEFT(M26,1)),BASE!$E$12:$F$23,1,0),100))))</f>
        <v>100</v>
      </c>
      <c r="D26" s="12">
        <f>IFERROR(VLOOKUP((LEFT(N26,4)),BASE!$E$12:$F$23,1,0),IFERROR(VLOOKUP((LEFT(N26,3)),BASE!$E$12:$F$23,1,0),IFERROR(VLOOKUP((LEFT(N26,2)),BASE!$E$12:$F$23,1,0),IFERROR(VLOOKUP((LEFT(N26,1)),BASE!$E$12:$F$23,1,0),100))))</f>
        <v>100</v>
      </c>
      <c r="E26" s="12">
        <f>IFERROR(VLOOKUP((LEFT(O26,4)),BASE!$E$12:$F$23,1,0),IFERROR(VLOOKUP((LEFT(O26,3)),BASE!$E$12:$F$23,1,0),IFERROR(VLOOKUP((LEFT(O26,2)),BASE!$E$12:$F$23,1,0),IFERROR(VLOOKUP((LEFT(O26,1)),BASE!$E$12:$F$23,1,0),100))))</f>
        <v>100</v>
      </c>
      <c r="F26" s="12">
        <f>IFERROR(VLOOKUP((LEFT(P26,4)),BASE!$E$12:$F$23,1,0),IFERROR(VLOOKUP((LEFT(P26,3)),BASE!$E$12:$F$23,1,0),IFERROR(VLOOKUP((LEFT(P26,2)),BASE!$E$12:$F$23,1,0),IFERROR(VLOOKUP((LEFT(P26,1)),BASE!$E$12:$F$23,1,0),100))))</f>
        <v>100</v>
      </c>
      <c r="G26" s="12">
        <f>IFERROR(VLOOKUP((LEFT(Q26,4)),BASE!$E$12:$F$23,1,0),IFERROR(VLOOKUP((LEFT(Q26,3)),BASE!$E$12:$F$23,1,0),IFERROR(VLOOKUP((LEFT(Q26,2)),BASE!$E$12:$F$23,1,0),IFERROR(VLOOKUP((LEFT(Q26,1)),BASE!$E$12:$F$23,1,0),100))))</f>
        <v>100</v>
      </c>
      <c r="H26" s="12">
        <f>IFERROR(VLOOKUP((LEFT(R26,4)),BASE!$E$12:$F$23,1,0),IFERROR(VLOOKUP((LEFT(R26,3)),BASE!$E$12:$F$23,1,0),IFERROR(VLOOKUP((LEFT(R26,2)),BASE!$E$12:$F$23,1,0),IFERROR(VLOOKUP((LEFT(R26,1)),BASE!$E$12:$F$23,1,0),100))))</f>
        <v>100</v>
      </c>
      <c r="I26" s="12">
        <f>IFERROR(VLOOKUP((LEFT(S26,4)),BASE!$E$12:$F$23,1,0),IFERROR(VLOOKUP((LEFT(S26,3)),BASE!$E$12:$F$23,1,0),IFERROR(VLOOKUP((LEFT(S26,2)),BASE!$E$12:$F$23,1,0),IFERROR(VLOOKUP((LEFT(S26,1)),BASE!$E$12:$F$23,1,0),100))))</f>
        <v>100</v>
      </c>
      <c r="J26" s="12" t="str">
        <f>IFERROR(VLOOKUP((LEFT(T26,4)),BASE!$E$12:$F$24,1,0),IFERROR(VLOOKUP((LEFT(T26,3)),BASE!$E$12:$F$24,1,0),IFERROR(VLOOKUP((LEFT(T26,2)),BASE!$E$12:$F$24,1,0),IFERROR(VLOOKUP((LEFT(T26,1)),BASE!$E$12:$F$24,1,0),100))))</f>
        <v>ko</v>
      </c>
      <c r="K26" s="12" t="str">
        <f>IFERROR(VLOOKUP((LEFT(U26,4)),BASE!$E$12:$F$23,1,0),IFERROR(VLOOKUP((LEFT(U26,3)),BASE!$E$12:$F$23,1,0),IFERROR(VLOOKUP((LEFT(U26,2)),BASE!$E$12:$F$23,1,0),IFERROR(VLOOKUP((LEFT(U26,1)),BASE!$E$12:$F$23,1,0),100))))</f>
        <v>kko</v>
      </c>
      <c r="L26" s="14" t="str">
        <f t="shared" si="0"/>
        <v/>
      </c>
      <c r="M26" s="14" t="str">
        <f t="shared" si="0"/>
        <v/>
      </c>
      <c r="N26" s="14" t="str">
        <f t="shared" si="0"/>
        <v/>
      </c>
      <c r="O26" s="14" t="str">
        <f t="shared" si="0"/>
        <v/>
      </c>
      <c r="P26" s="14" t="str">
        <f t="shared" si="0"/>
        <v/>
      </c>
      <c r="Q26" s="14" t="str">
        <f t="shared" si="0"/>
        <v/>
      </c>
      <c r="R26" s="14" t="str">
        <f t="shared" si="0"/>
        <v/>
      </c>
      <c r="S26" s="14" t="str">
        <f t="shared" si="0"/>
        <v/>
      </c>
      <c r="T26" s="14" t="str">
        <f t="shared" si="0"/>
        <v>ko</v>
      </c>
      <c r="U26" s="14" t="str">
        <f t="shared" si="1"/>
        <v>kkoko</v>
      </c>
      <c r="V26" s="13">
        <f>IFERROR(VLOOKUP(LEFT(AZ26,2),BASE!$C$96:$E$342,3,0),IFERROR(VLOOKUP(LEFT(AZ26,1),BASE!$C$96:$E$342,3,0),100))</f>
        <v>100</v>
      </c>
      <c r="W26" s="13">
        <f>IFERROR(VLOOKUP(LEFT(BA26,2),BASE!$C$96:$E$342,3,0),IFERROR(VLOOKUP(LEFT(BA26,1),BASE!$C$96:$E$342,3,0),100))</f>
        <v>100</v>
      </c>
      <c r="X26" s="13">
        <f>IFERROR(VLOOKUP(LEFT(BB26,2),BASE!$C$96:$E$342,3,0),IFERROR(VLOOKUP(LEFT(BB26,1),BASE!$C$96:$E$342,3,0),100))</f>
        <v>100</v>
      </c>
      <c r="Y26" s="13">
        <f>IFERROR(VLOOKUP(LEFT(BC26,2),BASE!$C$96:$E$342,3,0),IFERROR(VLOOKUP(LEFT(BC26,1),BASE!$C$96:$E$342,3,0),100))</f>
        <v>100</v>
      </c>
      <c r="Z26" s="13">
        <f>IFERROR(VLOOKUP(LEFT(BD26,2),BASE!$C$96:$E$342,3,0),IFERROR(VLOOKUP(LEFT(BD26,1),BASE!$C$96:$E$342,3,0),100))</f>
        <v>100</v>
      </c>
      <c r="AA26" s="13">
        <f>IFERROR(VLOOKUP(LEFT(BE26,2),BASE!$C$96:$E$342,3,0),IFERROR(VLOOKUP(LEFT(BE26,1),BASE!$C$96:$E$342,3,0),100))</f>
        <v>2</v>
      </c>
      <c r="AB26" s="13">
        <f>IFERROR(VLOOKUP(LEFT(BF26,2),BASE!$C$96:$E$342,3,0),IFERROR(VLOOKUP(LEFT(BF26,1),BASE!$C$96:$E$342,3,0),100))</f>
        <v>1</v>
      </c>
      <c r="AC26" s="13">
        <f>IFERROR(VLOOKUP(LEFT(BG26,2),BASE!$C$96:$E$342,3,0),IFERROR(VLOOKUP(LEFT(BG26,1),BASE!$C$96:$E$342,3,0),100))</f>
        <v>2</v>
      </c>
      <c r="AD26" s="13">
        <f>IFERROR(VLOOKUP(LEFT(BH26,2),BASE!$C$96:$E$342,3,0),IFERROR(VLOOKUP(LEFT(BH26,1),BASE!$C$96:$E$342,3,0),100))</f>
        <v>1</v>
      </c>
      <c r="AE26" s="13">
        <f>IFERROR(VLOOKUP(LEFT(BI26,2),BASE!$C$96:$E$342,3,0),IFERROR(VLOOKUP(LEFT(BI26,1),BASE!$C$96:$E$342,3,0),100))</f>
        <v>1</v>
      </c>
      <c r="AF26" s="187" t="str">
        <f>IF(AND(BS26=BR26,AG26="o"),"A", (IFERROR(VLOOKUP(LEFT(AZ26,2),BASE!$C$346:$D$592,2,0),IFERROR(VLOOKUP(LEFT(AZ26,1),BASE!$C$346:$D$5922,2,0),AZ26))))</f>
        <v/>
      </c>
      <c r="AG26" s="187" t="str">
        <f>IF(AND(BR26=BQ26,AH26="o"),"A", (IFERROR(VLOOKUP(LEFT(BA26,2),BASE!$C$346:$D$592,2,0),IFERROR(VLOOKUP(LEFT(BA26,1),BASE!$C$346:$D$592,2,0),BA26))))</f>
        <v/>
      </c>
      <c r="AH26" s="187" t="str">
        <f>IF(AND(BQ26=BP26,AI26="o"),"A", (IFERROR(VLOOKUP(LEFT(BB26,2),BASE!$C$346:$D$592,2,0),IFERROR(VLOOKUP(LEFT(BB26,1),BASE!$C$346:$D$592,2,0),BB26))))</f>
        <v/>
      </c>
      <c r="AI26" s="187" t="str">
        <f>IF(AND(BP26=BO26,AJ26="o"),"A", (IFERROR(VLOOKUP(LEFT(BC26,2),BASE!$C$346:$D$592,2,0),IFERROR(VLOOKUP(LEFT(BC26,1),BASE!$C$346:$D$592,2,0),BC26))))</f>
        <v/>
      </c>
      <c r="AJ26" s="187" t="str">
        <f>IF(AND(BO26=BN26,AK26="o"),"A", (IFERROR(VLOOKUP(LEFT(BD26,2),BASE!$C$346:$D$592,2,0),IFERROR(VLOOKUP(LEFT(BD26,1),BASE!$C$346:$D$592,2,0),BD26))))</f>
        <v/>
      </c>
      <c r="AK26" s="187" t="str">
        <f>IF(AND(BN26=BM26,AL26="o"),"A", (IFERROR(VLOOKUP(LEFT(BE26,2),BASE!$C$346:$D$592,2,0),IFERROR(VLOOKUP(LEFT(BE26,1),BASE!$C$346:$D$592,2,0),BE26))))</f>
        <v>o</v>
      </c>
      <c r="AL26" s="187" t="str">
        <f>IF(AND(BM26=BL26,AM26="o"),"A", (IFERROR(VLOOKUP(LEFT(BF26,2),BASE!$C$346:$D$592,2,0),IFERROR(VLOOKUP(LEFT(BF26,1),BASE!$C$346:$D$592,2,0),BF26))))</f>
        <v>k</v>
      </c>
      <c r="AM26" s="187" t="str">
        <f>IF(AND(BL26=BK26,AN26="o"),"A",(IFERROR(VLOOKUP(LEFT(BG26,2),BASE!$C$346:$D$592,2,0),IFERROR(VLOOKUP(LEFT(BG26,1),BASE!$C$346:$D$592,2,0),BG26))))</f>
        <v>o</v>
      </c>
      <c r="AN26" s="187" t="str">
        <f>(IFERROR(VLOOKUP(LEFT(BH26,2),BASE!$C$346:$D$592,2,0),IFERROR(VLOOKUP(LEFT(BH26,1),BASE!$C$346:$D$592,2,0),BH26)))</f>
        <v>k</v>
      </c>
      <c r="AO26" s="187" t="str">
        <f>(IFERROR(VLOOKUP(LEFT(BI26,2),BASE!$C$96:$D$342,2,0),IFERROR(VLOOKUP(LEFT(BI26,1),BASE!$C$96:$D$342,2,0),BI26)))</f>
        <v>k</v>
      </c>
      <c r="AP26" s="5">
        <f t="shared" si="2"/>
        <v>7</v>
      </c>
      <c r="AQ26" s="5">
        <f t="shared" si="2"/>
        <v>7</v>
      </c>
      <c r="AR26" s="5">
        <f t="shared" si="2"/>
        <v>7</v>
      </c>
      <c r="AS26" s="5">
        <f t="shared" si="2"/>
        <v>7</v>
      </c>
      <c r="AT26" s="5">
        <f t="shared" si="2"/>
        <v>7</v>
      </c>
      <c r="AU26" s="5">
        <f t="shared" si="2"/>
        <v>7</v>
      </c>
      <c r="AV26" s="5">
        <f t="shared" si="2"/>
        <v>7</v>
      </c>
      <c r="AW26" s="5">
        <f t="shared" si="2"/>
        <v>7</v>
      </c>
      <c r="AX26" s="5">
        <f t="shared" si="2"/>
        <v>7</v>
      </c>
      <c r="AY26" s="5">
        <f t="shared" si="3"/>
        <v>7</v>
      </c>
      <c r="AZ26" s="12" t="str">
        <f t="shared" si="4"/>
        <v/>
      </c>
      <c r="BA26" s="12" t="str">
        <f t="shared" si="4"/>
        <v/>
      </c>
      <c r="BB26" s="12" t="str">
        <f t="shared" si="4"/>
        <v/>
      </c>
      <c r="BC26" s="12" t="str">
        <f t="shared" si="4"/>
        <v/>
      </c>
      <c r="BD26" s="12" t="str">
        <f t="shared" si="4"/>
        <v/>
      </c>
      <c r="BE26" s="12" t="str">
        <f t="shared" si="4"/>
        <v>ன்</v>
      </c>
      <c r="BF26" s="12" t="str">
        <f t="shared" si="4"/>
        <v>தன்</v>
      </c>
      <c r="BG26" s="12" t="str">
        <f t="shared" si="4"/>
        <v>ன்தன்</v>
      </c>
      <c r="BH26" s="43" t="str">
        <f t="shared" si="4"/>
        <v>யன்தன்</v>
      </c>
      <c r="BI26" s="57" t="str">
        <f>CE10</f>
        <v>வயன்தன்</v>
      </c>
      <c r="BJ26" s="58" t="str">
        <f>IFERROR(VLOOKUP(LEFT(BI26,2),BASE!$C$96:$F$342,1,0),IFERROR(VLOOKUP(LEFT(BI26,1),BASE!$C$96:$F$342,1,0),BI26))</f>
        <v>வ</v>
      </c>
      <c r="BK26" s="58" t="str">
        <f>IFERROR(VLOOKUP(LEFT(BH26,2),BASE!$C$96:$D$342,1,0),IFERROR(VLOOKUP(LEFT(BH26,1),BASE!$C$96:$D$342,1,0),BH26))</f>
        <v>ய</v>
      </c>
      <c r="BL26" s="58" t="str">
        <f>IFERROR(VLOOKUP(LEFT(BG26,2),BASE!$C$96:$D$342,1,0),IFERROR(VLOOKUP(LEFT(BG26,1),BASE!$C$96:$D$342,1,0),BG26))</f>
        <v>ன்</v>
      </c>
      <c r="BM26" s="58" t="str">
        <f>IFERROR(VLOOKUP(LEFT(BF26,2),BASE!$C$96:$D$342,1,0),IFERROR(VLOOKUP(LEFT(BF26,1),BASE!$C$96:$D$342,1,0),BF26))</f>
        <v>த</v>
      </c>
      <c r="BN26" s="58" t="str">
        <f>IFERROR(VLOOKUP(LEFT(BE26,2),BASE!$C$96:$D$342,1,0),IFERROR(VLOOKUP(LEFT(BE26,1),BASE!$C$96:$D$342,1,0),BE26))</f>
        <v>ன்</v>
      </c>
      <c r="BO26" s="58" t="str">
        <f>IFERROR(VLOOKUP(LEFT(BD26,2),BASE!$C$96:$D$342,1,0),IFERROR(VLOOKUP(LEFT(BD26,1),BASE!$C$96:$D$342,1,0),BD26))</f>
        <v/>
      </c>
      <c r="BP26" s="58" t="str">
        <f>IFERROR(VLOOKUP(LEFT(BC26,2),BASE!$C$96:$D$342,1,0),IFERROR(VLOOKUP(LEFT(BC26,1),BASE!$C$96:$D$342,1,0),BC26))</f>
        <v/>
      </c>
      <c r="BQ26" s="58" t="str">
        <f>IFERROR(VLOOKUP(LEFT(BB26,2),BASE!$C$96:$D$342,1,0),IFERROR(VLOOKUP(LEFT(BB26,1),BASE!$C$96:$D$342,1,0),BB26))</f>
        <v/>
      </c>
      <c r="BR26" s="58" t="str">
        <f>IFERROR(VLOOKUP(LEFT(BA26,2),BASE!$C$96:$D$342,1,0),IFERROR(VLOOKUP(LEFT(BA26,1),BASE!$C$96:$D$342,1,0),BA26))</f>
        <v/>
      </c>
      <c r="BS26" s="58" t="str">
        <f>IFERROR(VLOOKUP(LEFT(AZ26,2),BASE!$C$96:$D$342,1,0),IFERROR(VLOOKUP(LEFT(AZ26,1),BASE!$C$96:$D$342,1,0),AZ26))</f>
        <v/>
      </c>
      <c r="BT26" s="186" t="str">
        <f>(IFERROR(VLOOKUP(LEFT(BI26,2),BASE!$C$96:$F$342,4,0),IFERROR(VLOOKUP(LEFT(BI26,1),BASE!$C$96:$F$342,4,0),BI26)))</f>
        <v>கு</v>
      </c>
      <c r="BU26" s="186" t="str">
        <f>(IFERROR(VLOOKUP(LEFT(BH26,2),BASE!$C$346:$F$592,4,0),IFERROR(VLOOKUP(LEFT(BH26,1),BASE!$C$346:$F$592,4,0),BH26)))</f>
        <v>கு</v>
      </c>
      <c r="BV26" s="186" t="str">
        <f>(IFERROR(VLOOKUP(LEFT(BG26,2),BASE!$C$346:$F$592,4,0),IFERROR(VLOOKUP(LEFT(BG26,1),BASE!$C$346:$F$592,4,0),BG26)))</f>
        <v>ஒ</v>
      </c>
      <c r="BW26" s="186" t="str">
        <f>(IFERROR(VLOOKUP(LEFT(BF26,2),BASE!$C$346:$F$592,4,0),IFERROR(VLOOKUP(LEFT(BF26,1),BASE!$C$346:$F$592,4,0),BF26)))</f>
        <v>கு</v>
      </c>
      <c r="BX26" s="186" t="str">
        <f>(IFERROR(VLOOKUP(LEFT(BE26,2),BASE!$C$346:$F$592,4,0),IFERROR(VLOOKUP(LEFT(BE26,1),BASE!$C$346:$F$592,4,0),BE26)))</f>
        <v>ஒ</v>
      </c>
      <c r="BY26" s="186" t="str">
        <f>(IFERROR(VLOOKUP(LEFT(BD26,2),BASE!$C$346:$F$592,4,0),IFERROR(VLOOKUP(LEFT(BD26,1),BASE!$C$346:$F$592,4,0),BD26)))</f>
        <v/>
      </c>
      <c r="BZ26" s="186" t="str">
        <f>(IFERROR(VLOOKUP(LEFT(BC26,2),BASE!$C$346:$F$592,4,0),IFERROR(VLOOKUP(LEFT(BC26,1),BASE!$C$346:$F$592,4,0),BC26)))</f>
        <v/>
      </c>
      <c r="CA26" s="186" t="str">
        <f>(IFERROR(VLOOKUP(LEFT(BB26,2),BASE!$C$346:$F$592,4,0),IFERROR(VLOOKUP(LEFT(BB26,1),BASE!$C$346:$F$592,4,0),BB26)))</f>
        <v/>
      </c>
      <c r="CB26" s="186" t="str">
        <f>(IFERROR(VLOOKUP(LEFT(BA26,2),BASE!$C$346:$F$592,4,0),IFERROR(VLOOKUP(LEFT(BA26,1),BASE!$C$346:$F$592,4,0),BA26)))</f>
        <v/>
      </c>
      <c r="CC26" s="186" t="str">
        <f>(IFERROR(VLOOKUP(LEFT(AZ26,2),BASE!$C$346:$F$592,4,0),IFERROR(VLOOKUP(LEFT(AZ26,1),BASE!$C$346:$F$592,4,0),AZ26)))</f>
        <v/>
      </c>
      <c r="CD26" s="58" t="str">
        <f t="shared" si="5"/>
        <v>குகுஒகுஒ</v>
      </c>
      <c r="CE26" s="58" t="str">
        <f>IFERROR(VLOOKUP((LEFT(U26,4)),BASE!$E$12:$F$23,2,0),IFERROR(VLOOKUP((LEFT(U26,3)),BASE!$E$12:$F$23,2,0),IFERROR(VLOOKUP((LEFT(U26,2)),BASE!$E$12:$F$23,2,0),IFERROR(VLOOKUP((LEFT(U26,1)),BASE!$E$12:$F$23,2,0),U26))))</f>
        <v>நிரை</v>
      </c>
      <c r="CF26" s="58" t="str">
        <f>IFERROR(VLOOKUP((LEFT(T26,4)),BASE!$E$12:$F$24,2,0),IFERROR(VLOOKUP((LEFT(T26,3)),BASE!$E$12:$F$24,2,0),IFERROR(VLOOKUP((LEFT(T26,2)),BASE!$E$12:$F$24,2,0),IFERROR(VLOOKUP((LEFT(T26,1)),BASE!$E$12:$F$24,2,0),T26))))</f>
        <v>நேர்</v>
      </c>
      <c r="CG26" s="58" t="str">
        <f>IFERROR(VLOOKUP((LEFT(S26,4)),BASE!$E$12:$F$23,2,0),IFERROR(VLOOKUP((LEFT(S26,3)),BASE!$E$12:$F$23,2,0),IFERROR(VLOOKUP((LEFT(S26,2)),BASE!$E$12:$F$23,2,0),IFERROR(VLOOKUP((LEFT(S26,1)),BASE!$E$12:$F$23,2,0),S26))))</f>
        <v/>
      </c>
      <c r="CH26" s="58" t="str">
        <f>IFERROR(VLOOKUP((LEFT(R26,4)),BASE!$E$12:$F$23,2,0),IFERROR(VLOOKUP((LEFT(R26,3)),BASE!$E$12:$F$23,2,0),IFERROR(VLOOKUP((LEFT(R26,2)),BASE!$E$12:$F$23,2,0),IFERROR(VLOOKUP((LEFT(R26,1)),BASE!$E$12:$F$23,2,0),R26))))</f>
        <v/>
      </c>
      <c r="CI26" s="58" t="str">
        <f>IFERROR(VLOOKUP((LEFT(Q26,4)),BASE!$E$12:$F$23,2,0),IFERROR(VLOOKUP((LEFT(Q26,3)),BASE!$E$12:$F$23,2,0),IFERROR(VLOOKUP((LEFT(Q26,2)),BASE!$E$12:$F$23,2,0),IFERROR(VLOOKUP((LEFT(Q26,1)),BASE!$E$12:$F$23,2,0),Q26))))</f>
        <v/>
      </c>
      <c r="CJ26" s="58" t="str">
        <f>IFERROR(VLOOKUP((LEFT(P26,4)),BASE!$E$12:$F$23,2,0),IFERROR(VLOOKUP((LEFT(P26,3)),BASE!$E$12:$F$23,2,0),IFERROR(VLOOKUP((LEFT(P26,2)),BASE!$E$12:$F$23,2,0),IFERROR(VLOOKUP((LEFT(P26,1)),BASE!$E$12:$F$23,2,0),P26))))</f>
        <v/>
      </c>
      <c r="CK26" s="58" t="str">
        <f>IFERROR(VLOOKUP((LEFT(O26,4)),BASE!$E$12:$F$23,2,0),IFERROR(VLOOKUP((LEFT(O26,3)),BASE!$E$12:$F$23,2,0),IFERROR(VLOOKUP((LEFT(O26,2)),BASE!$E$12:$F$23,2,0),IFERROR(VLOOKUP((LEFT(O26,1)),BASE!$E$12:$F$23,2,0),O26))))</f>
        <v/>
      </c>
      <c r="CL26" s="58" t="str">
        <f>IFERROR(VLOOKUP((LEFT(N26,4)),BASE!$E$12:$F$23,2,0),IFERROR(VLOOKUP((LEFT(N26,3)),BASE!$E$12:$F$23,2,0),IFERROR(VLOOKUP((LEFT(N26,2)),BASE!$E$12:$F$23,2,0),IFERROR(VLOOKUP((LEFT(N26,1)),BASE!$E$12:$F$23,2,0),N26))))</f>
        <v/>
      </c>
      <c r="CM26" s="58" t="str">
        <f>IFERROR(VLOOKUP((LEFT(M26,4)),BASE!$E$12:$F$23,2,0),IFERROR(VLOOKUP((LEFT(M26,3)),BASE!$E$12:$F$23,2,0),IFERROR(VLOOKUP((LEFT(M26,2)),BASE!$E$12:$F$23,2,0),IFERROR(VLOOKUP((LEFT(M26,1)),BASE!$E$12:$F$23,2,0),M26))))</f>
        <v/>
      </c>
      <c r="CN26" s="58" t="str">
        <f>IFERROR(VLOOKUP((LEFT(L26,4)),BASE!$E$12:$F$23,2,0),IFERROR(VLOOKUP((LEFT(L26,3)),BASE!$E$12:$F$23,2,0),IFERROR(VLOOKUP((LEFT(L26,2)),BASE!$E$12:$F$23,2,0),IFERROR(VLOOKUP((LEFT(L26,1)),BASE!$E$12:$F$23,2,0),L26))))</f>
        <v/>
      </c>
      <c r="CO26" s="58" t="str">
        <f t="shared" si="6"/>
        <v>நிரைநேர்</v>
      </c>
      <c r="CP26" s="58" t="str">
        <f>VLOOKUP(CO26,BASE!$E$25:$F$79,2,0)</f>
        <v>புளிமா</v>
      </c>
      <c r="CQ26" s="58" t="str">
        <f>VLOOKUP(CO26,BASE!$E$25:$G$79,3,0)&amp;CE27</f>
        <v>மாநிரை</v>
      </c>
      <c r="CR26" s="58" t="str">
        <f>VLOOKUP(CQ26,BASE!$E$86:$G$93,2,0)</f>
        <v>மாமுன் நிரை</v>
      </c>
      <c r="CS26" s="58" t="str">
        <f>VLOOKUP(CQ26,BASE!$E$86:$G$93,3,0)</f>
        <v>இயற்சீர் வெண்டளை</v>
      </c>
      <c r="CT26" s="58" t="str">
        <f t="shared" si="7"/>
        <v>மூவசைக்கு மிகவில்லை</v>
      </c>
      <c r="CU26" s="58" t="str">
        <f t="shared" si="8"/>
        <v>சரி</v>
      </c>
      <c r="CV26" s="193"/>
    </row>
    <row r="27" spans="1:100" ht="19.5" customHeight="1" x14ac:dyDescent="0.35">
      <c r="A27" s="119"/>
      <c r="B27" s="12">
        <f>IFERROR(VLOOKUP((LEFT(L27,4)),BASE!$E$12:$F$23,1,0),IFERROR(VLOOKUP((LEFT(L27,3)),BASE!$E$12:$F$23,1,0),IFERROR(VLOOKUP((LEFT(L27,2)),BASE!$E$12:$F$23,1,0),IFERROR(VLOOKUP((LEFT(L27,1)),BASE!$E$12:$F$23,1,0),100))))</f>
        <v>100</v>
      </c>
      <c r="C27" s="12">
        <f>IFERROR(VLOOKUP((LEFT(M27,4)),BASE!$E$12:$F$23,1,0),IFERROR(VLOOKUP((LEFT(M27,3)),BASE!$E$12:$F$23,1,0),IFERROR(VLOOKUP((LEFT(M27,2)),BASE!$E$12:$F$23,1,0),IFERROR(VLOOKUP((LEFT(M27,1)),BASE!$E$12:$F$23,1,0),100))))</f>
        <v>100</v>
      </c>
      <c r="D27" s="12">
        <f>IFERROR(VLOOKUP((LEFT(N27,4)),BASE!$E$12:$F$23,1,0),IFERROR(VLOOKUP((LEFT(N27,3)),BASE!$E$12:$F$23,1,0),IFERROR(VLOOKUP((LEFT(N27,2)),BASE!$E$12:$F$23,1,0),IFERROR(VLOOKUP((LEFT(N27,1)),BASE!$E$12:$F$23,1,0),100))))</f>
        <v>100</v>
      </c>
      <c r="E27" s="12">
        <f>IFERROR(VLOOKUP((LEFT(O27,4)),BASE!$E$12:$F$23,1,0),IFERROR(VLOOKUP((LEFT(O27,3)),BASE!$E$12:$F$23,1,0),IFERROR(VLOOKUP((LEFT(O27,2)),BASE!$E$12:$F$23,1,0),IFERROR(VLOOKUP((LEFT(O27,1)),BASE!$E$12:$F$23,1,0),100))))</f>
        <v>100</v>
      </c>
      <c r="F27" s="12">
        <f>IFERROR(VLOOKUP((LEFT(P27,4)),BASE!$E$12:$F$23,1,0),IFERROR(VLOOKUP((LEFT(P27,3)),BASE!$E$12:$F$23,1,0),IFERROR(VLOOKUP((LEFT(P27,2)),BASE!$E$12:$F$23,1,0),IFERROR(VLOOKUP((LEFT(P27,1)),BASE!$E$12:$F$23,1,0),100))))</f>
        <v>100</v>
      </c>
      <c r="G27" s="12">
        <f>IFERROR(VLOOKUP((LEFT(Q27,4)),BASE!$E$12:$F$23,1,0),IFERROR(VLOOKUP((LEFT(Q27,3)),BASE!$E$12:$F$23,1,0),IFERROR(VLOOKUP((LEFT(Q27,2)),BASE!$E$12:$F$23,1,0),IFERROR(VLOOKUP((LEFT(Q27,1)),BASE!$E$12:$F$23,1,0),100))))</f>
        <v>100</v>
      </c>
      <c r="H27" s="12">
        <f>IFERROR(VLOOKUP((LEFT(R27,4)),BASE!$E$12:$F$23,1,0),IFERROR(VLOOKUP((LEFT(R27,3)),BASE!$E$12:$F$23,1,0),IFERROR(VLOOKUP((LEFT(R27,2)),BASE!$E$12:$F$23,1,0),IFERROR(VLOOKUP((LEFT(R27,1)),BASE!$E$12:$F$23,1,0),100))))</f>
        <v>100</v>
      </c>
      <c r="I27" s="12" t="str">
        <f>IFERROR(VLOOKUP((LEFT(S27,4)),BASE!$E$12:$F$23,1,0),IFERROR(VLOOKUP((LEFT(S27,3)),BASE!$E$12:$F$23,1,0),IFERROR(VLOOKUP((LEFT(S27,2)),BASE!$E$12:$F$23,1,0),IFERROR(VLOOKUP((LEFT(S27,1)),BASE!$E$12:$F$23,1,0),100))))</f>
        <v>n</v>
      </c>
      <c r="J27" s="12" t="str">
        <f>IFERROR(VLOOKUP((LEFT(T27,4)),BASE!$E$12:$F$24,1,0),IFERROR(VLOOKUP((LEFT(T27,3)),BASE!$E$12:$F$24,1,0),IFERROR(VLOOKUP((LEFT(T27,2)),BASE!$E$12:$F$24,1,0),IFERROR(VLOOKUP((LEFT(T27,1)),BASE!$E$12:$F$24,1,0),100))))</f>
        <v>kko</v>
      </c>
      <c r="K27" s="12" t="str">
        <f>IFERROR(VLOOKUP((LEFT(U27,4)),BASE!$E$12:$F$23,1,0),IFERROR(VLOOKUP((LEFT(U27,3)),BASE!$E$12:$F$23,1,0),IFERROR(VLOOKUP((LEFT(U27,2)),BASE!$E$12:$F$23,1,0),IFERROR(VLOOKUP((LEFT(U27,1)),BASE!$E$12:$F$23,1,0),100))))</f>
        <v>kk</v>
      </c>
      <c r="L27" s="14" t="str">
        <f t="shared" si="0"/>
        <v/>
      </c>
      <c r="M27" s="14" t="str">
        <f t="shared" si="0"/>
        <v/>
      </c>
      <c r="N27" s="14" t="str">
        <f t="shared" si="0"/>
        <v/>
      </c>
      <c r="O27" s="14" t="str">
        <f t="shared" si="0"/>
        <v/>
      </c>
      <c r="P27" s="14" t="str">
        <f t="shared" si="0"/>
        <v/>
      </c>
      <c r="Q27" s="14" t="str">
        <f t="shared" si="0"/>
        <v/>
      </c>
      <c r="R27" s="14" t="str">
        <f t="shared" si="0"/>
        <v/>
      </c>
      <c r="S27" s="14" t="str">
        <f t="shared" si="0"/>
        <v>n</v>
      </c>
      <c r="T27" s="14" t="str">
        <f t="shared" si="0"/>
        <v>kkon</v>
      </c>
      <c r="U27" s="14" t="str">
        <f t="shared" si="1"/>
        <v>kkkkon</v>
      </c>
      <c r="V27" s="13">
        <f>IFERROR(VLOOKUP(LEFT(AZ27,2),BASE!$C$96:$E$342,3,0),IFERROR(VLOOKUP(LEFT(AZ27,1),BASE!$C$96:$E$342,3,0),100))</f>
        <v>100</v>
      </c>
      <c r="W27" s="13">
        <f>IFERROR(VLOOKUP(LEFT(BA27,2),BASE!$C$96:$E$342,3,0),IFERROR(VLOOKUP(LEFT(BA27,1),BASE!$C$96:$E$342,3,0),100))</f>
        <v>100</v>
      </c>
      <c r="X27" s="13">
        <f>IFERROR(VLOOKUP(LEFT(BB27,2),BASE!$C$96:$E$342,3,0),IFERROR(VLOOKUP(LEFT(BB27,1),BASE!$C$96:$E$342,3,0),100))</f>
        <v>100</v>
      </c>
      <c r="Y27" s="13">
        <f>IFERROR(VLOOKUP(LEFT(BC27,2),BASE!$C$96:$E$342,3,0),IFERROR(VLOOKUP(LEFT(BC27,1),BASE!$C$96:$E$342,3,0),100))</f>
        <v>100</v>
      </c>
      <c r="Z27" s="13">
        <f>IFERROR(VLOOKUP(LEFT(BD27,2),BASE!$C$96:$E$342,3,0),IFERROR(VLOOKUP(LEFT(BD27,1),BASE!$C$96:$E$342,3,0),100))</f>
        <v>2</v>
      </c>
      <c r="AA27" s="13">
        <f>IFERROR(VLOOKUP(LEFT(BE27,2),BASE!$C$96:$E$342,3,0),IFERROR(VLOOKUP(LEFT(BE27,1),BASE!$C$96:$E$342,3,0),100))</f>
        <v>2</v>
      </c>
      <c r="AB27" s="13">
        <f>IFERROR(VLOOKUP(LEFT(BF27,2),BASE!$C$96:$E$342,3,0),IFERROR(VLOOKUP(LEFT(BF27,1),BASE!$C$96:$E$342,3,0),100))</f>
        <v>1</v>
      </c>
      <c r="AC27" s="13">
        <f>IFERROR(VLOOKUP(LEFT(BG27,2),BASE!$C$96:$E$342,3,0),IFERROR(VLOOKUP(LEFT(BG27,1),BASE!$C$96:$E$342,3,0),100))</f>
        <v>1</v>
      </c>
      <c r="AD27" s="13">
        <f>IFERROR(VLOOKUP(LEFT(BH27,2),BASE!$C$96:$E$342,3,0),IFERROR(VLOOKUP(LEFT(BH27,1),BASE!$C$96:$E$342,3,0),100))</f>
        <v>2</v>
      </c>
      <c r="AE27" s="13">
        <f>IFERROR(VLOOKUP(LEFT(BI27,2),BASE!$C$96:$E$342,3,0),IFERROR(VLOOKUP(LEFT(BI27,1),BASE!$C$96:$E$342,3,0),100))</f>
        <v>2</v>
      </c>
      <c r="AF27" s="187" t="str">
        <f>IF(AND(BS27=BR27,AG27="o"),"A", (IFERROR(VLOOKUP(LEFT(AZ27,2),BASE!$C$346:$D$592,2,0),IFERROR(VLOOKUP(LEFT(AZ27,1),BASE!$C$346:$D$5922,2,0),AZ27))))</f>
        <v/>
      </c>
      <c r="AG27" s="187" t="str">
        <f>IF(AND(BR27=BQ27,AH27="o"),"A", (IFERROR(VLOOKUP(LEFT(BA27,2),BASE!$C$346:$D$592,2,0),IFERROR(VLOOKUP(LEFT(BA27,1),BASE!$C$346:$D$592,2,0),BA27))))</f>
        <v/>
      </c>
      <c r="AH27" s="187" t="str">
        <f>IF(AND(BQ27=BP27,AI27="o"),"A", (IFERROR(VLOOKUP(LEFT(BB27,2),BASE!$C$346:$D$592,2,0),IFERROR(VLOOKUP(LEFT(BB27,1),BASE!$C$346:$D$592,2,0),BB27))))</f>
        <v/>
      </c>
      <c r="AI27" s="187" t="str">
        <f>IF(AND(BP27=BO27,AJ27="o"),"A", (IFERROR(VLOOKUP(LEFT(BC27,2),BASE!$C$346:$D$592,2,0),IFERROR(VLOOKUP(LEFT(BC27,1),BASE!$C$346:$D$592,2,0),BC27))))</f>
        <v/>
      </c>
      <c r="AJ27" s="187" t="str">
        <f>IF(AND(BO27=BN27,AK27="o"),"A", (IFERROR(VLOOKUP(LEFT(BD27,2),BASE!$C$346:$D$592,2,0),IFERROR(VLOOKUP(LEFT(BD27,1),BASE!$C$346:$D$592,2,0),BD27))))</f>
        <v>n</v>
      </c>
      <c r="AK27" s="187" t="str">
        <f>IF(AND(BN27=BM27,AL27="o"),"A", (IFERROR(VLOOKUP(LEFT(BE27,2),BASE!$C$346:$D$592,2,0),IFERROR(VLOOKUP(LEFT(BE27,1),BASE!$C$346:$D$592,2,0),BE27))))</f>
        <v>o</v>
      </c>
      <c r="AL27" s="187" t="str">
        <f>IF(AND(BM27=BL27,AM27="o"),"A", (IFERROR(VLOOKUP(LEFT(BF27,2),BASE!$C$346:$D$592,2,0),IFERROR(VLOOKUP(LEFT(BF27,1),BASE!$C$346:$D$592,2,0),BF27))))</f>
        <v>k</v>
      </c>
      <c r="AM27" s="187" t="str">
        <f>IF(AND(BL27=BK27,AN27="o"),"A",(IFERROR(VLOOKUP(LEFT(BG27,2),BASE!$C$346:$D$592,2,0),IFERROR(VLOOKUP(LEFT(BG27,1),BASE!$C$346:$D$592,2,0),BG27))))</f>
        <v>k</v>
      </c>
      <c r="AN27" s="187" t="str">
        <f>(IFERROR(VLOOKUP(LEFT(BH27,2),BASE!$C$346:$D$592,2,0),IFERROR(VLOOKUP(LEFT(BH27,1),BASE!$C$346:$D$592,2,0),BH27)))</f>
        <v>k</v>
      </c>
      <c r="AO27" s="187" t="str">
        <f>(IFERROR(VLOOKUP(LEFT(BI27,2),BASE!$C$96:$D$342,2,0),IFERROR(VLOOKUP(LEFT(BI27,1),BASE!$C$96:$D$342,2,0),BI27)))</f>
        <v>k</v>
      </c>
      <c r="AP27" s="5">
        <f t="shared" si="2"/>
        <v>10</v>
      </c>
      <c r="AQ27" s="5">
        <f t="shared" si="2"/>
        <v>10</v>
      </c>
      <c r="AR27" s="5">
        <f t="shared" si="2"/>
        <v>10</v>
      </c>
      <c r="AS27" s="5">
        <f t="shared" si="2"/>
        <v>10</v>
      </c>
      <c r="AT27" s="5">
        <f t="shared" si="2"/>
        <v>10</v>
      </c>
      <c r="AU27" s="5">
        <f t="shared" si="2"/>
        <v>10</v>
      </c>
      <c r="AV27" s="5">
        <f t="shared" si="2"/>
        <v>10</v>
      </c>
      <c r="AW27" s="5">
        <f t="shared" si="2"/>
        <v>10</v>
      </c>
      <c r="AX27" s="5">
        <f t="shared" si="2"/>
        <v>10</v>
      </c>
      <c r="AY27" s="5">
        <f t="shared" si="3"/>
        <v>10</v>
      </c>
      <c r="AZ27" s="12" t="str">
        <f t="shared" si="4"/>
        <v/>
      </c>
      <c r="BA27" s="12" t="str">
        <f t="shared" si="4"/>
        <v/>
      </c>
      <c r="BB27" s="12" t="str">
        <f t="shared" si="4"/>
        <v/>
      </c>
      <c r="BC27" s="12" t="str">
        <f t="shared" si="4"/>
        <v/>
      </c>
      <c r="BD27" s="12" t="str">
        <f t="shared" si="4"/>
        <v>கே</v>
      </c>
      <c r="BE27" s="12" t="str">
        <f t="shared" si="4"/>
        <v>ற்கே</v>
      </c>
      <c r="BF27" s="12" t="str">
        <f t="shared" si="4"/>
        <v>ழற்கே</v>
      </c>
      <c r="BG27" s="12" t="str">
        <f t="shared" si="4"/>
        <v>கழற்கே</v>
      </c>
      <c r="BH27" s="43" t="str">
        <f t="shared" si="4"/>
        <v>ரைகழற்கே</v>
      </c>
      <c r="BI27" s="57" t="str">
        <f>CF10</f>
        <v>குரைகழற்கே</v>
      </c>
      <c r="BJ27" s="58" t="str">
        <f>IFERROR(VLOOKUP(LEFT(BI27,2),BASE!$C$96:$F$342,1,0),IFERROR(VLOOKUP(LEFT(BI27,1),BASE!$C$96:$F$342,1,0),BI27))</f>
        <v>கு</v>
      </c>
      <c r="BK27" s="58" t="str">
        <f>IFERROR(VLOOKUP(LEFT(BH27,2),BASE!$C$96:$D$342,1,0),IFERROR(VLOOKUP(LEFT(BH27,1),BASE!$C$96:$D$342,1,0),BH27))</f>
        <v>ரை</v>
      </c>
      <c r="BL27" s="58" t="str">
        <f>IFERROR(VLOOKUP(LEFT(BG27,2),BASE!$C$96:$D$342,1,0),IFERROR(VLOOKUP(LEFT(BG27,1),BASE!$C$96:$D$342,1,0),BG27))</f>
        <v>க</v>
      </c>
      <c r="BM27" s="58" t="str">
        <f>IFERROR(VLOOKUP(LEFT(BF27,2),BASE!$C$96:$D$342,1,0),IFERROR(VLOOKUP(LEFT(BF27,1),BASE!$C$96:$D$342,1,0),BF27))</f>
        <v>ழ</v>
      </c>
      <c r="BN27" s="58" t="str">
        <f>IFERROR(VLOOKUP(LEFT(BE27,2),BASE!$C$96:$D$342,1,0),IFERROR(VLOOKUP(LEFT(BE27,1),BASE!$C$96:$D$342,1,0),BE27))</f>
        <v>ற்</v>
      </c>
      <c r="BO27" s="58" t="str">
        <f>IFERROR(VLOOKUP(LEFT(BD27,2),BASE!$C$96:$D$342,1,0),IFERROR(VLOOKUP(LEFT(BD27,1),BASE!$C$96:$D$342,1,0),BD27))</f>
        <v>கே</v>
      </c>
      <c r="BP27" s="58" t="str">
        <f>IFERROR(VLOOKUP(LEFT(BC27,2),BASE!$C$96:$D$342,1,0),IFERROR(VLOOKUP(LEFT(BC27,1),BASE!$C$96:$D$342,1,0),BC27))</f>
        <v/>
      </c>
      <c r="BQ27" s="58" t="str">
        <f>IFERROR(VLOOKUP(LEFT(BB27,2),BASE!$C$96:$D$342,1,0),IFERROR(VLOOKUP(LEFT(BB27,1),BASE!$C$96:$D$342,1,0),BB27))</f>
        <v/>
      </c>
      <c r="BR27" s="58" t="str">
        <f>IFERROR(VLOOKUP(LEFT(BA27,2),BASE!$C$96:$D$342,1,0),IFERROR(VLOOKUP(LEFT(BA27,1),BASE!$C$96:$D$342,1,0),BA27))</f>
        <v/>
      </c>
      <c r="BS27" s="58" t="str">
        <f>IFERROR(VLOOKUP(LEFT(AZ27,2),BASE!$C$96:$D$342,1,0),IFERROR(VLOOKUP(LEFT(AZ27,1),BASE!$C$96:$D$342,1,0),AZ27))</f>
        <v/>
      </c>
      <c r="BT27" s="186" t="str">
        <f>(IFERROR(VLOOKUP(LEFT(BI27,2),BASE!$C$96:$F$342,4,0),IFERROR(VLOOKUP(LEFT(BI27,1),BASE!$C$96:$F$342,4,0),BI27)))</f>
        <v>கு</v>
      </c>
      <c r="BU27" s="186" t="str">
        <f>(IFERROR(VLOOKUP(LEFT(BH27,2),BASE!$C$346:$F$592,4,0),IFERROR(VLOOKUP(LEFT(BH27,1),BASE!$C$346:$F$592,4,0),BH27)))</f>
        <v>கு</v>
      </c>
      <c r="BV27" s="186" t="str">
        <f>(IFERROR(VLOOKUP(LEFT(BG27,2),BASE!$C$346:$F$592,4,0),IFERROR(VLOOKUP(LEFT(BG27,1),BASE!$C$346:$F$592,4,0),BG27)))</f>
        <v>கு</v>
      </c>
      <c r="BW27" s="186" t="str">
        <f>(IFERROR(VLOOKUP(LEFT(BF27,2),BASE!$C$346:$F$592,4,0),IFERROR(VLOOKUP(LEFT(BF27,1),BASE!$C$346:$F$592,4,0),BF27)))</f>
        <v>கு</v>
      </c>
      <c r="BX27" s="186" t="str">
        <f>(IFERROR(VLOOKUP(LEFT(BE27,2),BASE!$C$346:$F$592,4,0),IFERROR(VLOOKUP(LEFT(BE27,1),BASE!$C$346:$F$592,4,0),BE27)))</f>
        <v>ஒ</v>
      </c>
      <c r="BY27" s="186" t="str">
        <f>(IFERROR(VLOOKUP(LEFT(BD27,2),BASE!$C$346:$F$592,4,0),IFERROR(VLOOKUP(LEFT(BD27,1),BASE!$C$346:$F$592,4,0),BD27)))</f>
        <v>நெ</v>
      </c>
      <c r="BZ27" s="186" t="str">
        <f>(IFERROR(VLOOKUP(LEFT(BC27,2),BASE!$C$346:$F$592,4,0),IFERROR(VLOOKUP(LEFT(BC27,1),BASE!$C$346:$F$592,4,0),BC27)))</f>
        <v/>
      </c>
      <c r="CA27" s="186" t="str">
        <f>(IFERROR(VLOOKUP(LEFT(BB27,2),BASE!$C$346:$F$592,4,0),IFERROR(VLOOKUP(LEFT(BB27,1),BASE!$C$346:$F$592,4,0),BB27)))</f>
        <v/>
      </c>
      <c r="CB27" s="186" t="str">
        <f>(IFERROR(VLOOKUP(LEFT(BA27,2),BASE!$C$346:$F$592,4,0),IFERROR(VLOOKUP(LEFT(BA27,1),BASE!$C$346:$F$592,4,0),BA27)))</f>
        <v/>
      </c>
      <c r="CC27" s="186" t="str">
        <f>(IFERROR(VLOOKUP(LEFT(AZ27,2),BASE!$C$346:$F$592,4,0),IFERROR(VLOOKUP(LEFT(AZ27,1),BASE!$C$346:$F$592,4,0),AZ27)))</f>
        <v/>
      </c>
      <c r="CD27" s="58" t="str">
        <f t="shared" si="5"/>
        <v>குகுகுகுஒநெ</v>
      </c>
      <c r="CE27" s="58" t="str">
        <f>IFERROR(VLOOKUP((LEFT(U27,4)),BASE!$E$12:$F$23,2,0),IFERROR(VLOOKUP((LEFT(U27,3)),BASE!$E$12:$F$23,2,0),IFERROR(VLOOKUP((LEFT(U27,2)),BASE!$E$12:$F$23,2,0),IFERROR(VLOOKUP((LEFT(U27,1)),BASE!$E$12:$F$23,2,0),U27))))</f>
        <v>நிரை</v>
      </c>
      <c r="CF27" s="58" t="str">
        <f>IFERROR(VLOOKUP((LEFT(T27,4)),BASE!$E$12:$F$24,2,0),IFERROR(VLOOKUP((LEFT(T27,3)),BASE!$E$12:$F$24,2,0),IFERROR(VLOOKUP((LEFT(T27,2)),BASE!$E$12:$F$24,2,0),IFERROR(VLOOKUP((LEFT(T27,1)),BASE!$E$12:$F$24,2,0),T27))))</f>
        <v>நிரை</v>
      </c>
      <c r="CG27" s="58" t="str">
        <f>IFERROR(VLOOKUP((LEFT(S27,4)),BASE!$E$12:$F$23,2,0),IFERROR(VLOOKUP((LEFT(S27,3)),BASE!$E$12:$F$23,2,0),IFERROR(VLOOKUP((LEFT(S27,2)),BASE!$E$12:$F$23,2,0),IFERROR(VLOOKUP((LEFT(S27,1)),BASE!$E$12:$F$23,2,0),S27))))</f>
        <v>நேர்</v>
      </c>
      <c r="CH27" s="58" t="str">
        <f>IFERROR(VLOOKUP((LEFT(R27,4)),BASE!$E$12:$F$23,2,0),IFERROR(VLOOKUP((LEFT(R27,3)),BASE!$E$12:$F$23,2,0),IFERROR(VLOOKUP((LEFT(R27,2)),BASE!$E$12:$F$23,2,0),IFERROR(VLOOKUP((LEFT(R27,1)),BASE!$E$12:$F$23,2,0),R27))))</f>
        <v/>
      </c>
      <c r="CI27" s="58" t="str">
        <f>IFERROR(VLOOKUP((LEFT(Q27,4)),BASE!$E$12:$F$23,2,0),IFERROR(VLOOKUP((LEFT(Q27,3)),BASE!$E$12:$F$23,2,0),IFERROR(VLOOKUP((LEFT(Q27,2)),BASE!$E$12:$F$23,2,0),IFERROR(VLOOKUP((LEFT(Q27,1)),BASE!$E$12:$F$23,2,0),Q27))))</f>
        <v/>
      </c>
      <c r="CJ27" s="58" t="str">
        <f>IFERROR(VLOOKUP((LEFT(P27,4)),BASE!$E$12:$F$23,2,0),IFERROR(VLOOKUP((LEFT(P27,3)),BASE!$E$12:$F$23,2,0),IFERROR(VLOOKUP((LEFT(P27,2)),BASE!$E$12:$F$23,2,0),IFERROR(VLOOKUP((LEFT(P27,1)),BASE!$E$12:$F$23,2,0),P27))))</f>
        <v/>
      </c>
      <c r="CK27" s="58" t="str">
        <f>IFERROR(VLOOKUP((LEFT(O27,4)),BASE!$E$12:$F$23,2,0),IFERROR(VLOOKUP((LEFT(O27,3)),BASE!$E$12:$F$23,2,0),IFERROR(VLOOKUP((LEFT(O27,2)),BASE!$E$12:$F$23,2,0),IFERROR(VLOOKUP((LEFT(O27,1)),BASE!$E$12:$F$23,2,0),O27))))</f>
        <v/>
      </c>
      <c r="CL27" s="58" t="str">
        <f>IFERROR(VLOOKUP((LEFT(N27,4)),BASE!$E$12:$F$23,2,0),IFERROR(VLOOKUP((LEFT(N27,3)),BASE!$E$12:$F$23,2,0),IFERROR(VLOOKUP((LEFT(N27,2)),BASE!$E$12:$F$23,2,0),IFERROR(VLOOKUP((LEFT(N27,1)),BASE!$E$12:$F$23,2,0),N27))))</f>
        <v/>
      </c>
      <c r="CM27" s="58" t="str">
        <f>IFERROR(VLOOKUP((LEFT(M27,4)),BASE!$E$12:$F$23,2,0),IFERROR(VLOOKUP((LEFT(M27,3)),BASE!$E$12:$F$23,2,0),IFERROR(VLOOKUP((LEFT(M27,2)),BASE!$E$12:$F$23,2,0),IFERROR(VLOOKUP((LEFT(M27,1)),BASE!$E$12:$F$23,2,0),M27))))</f>
        <v/>
      </c>
      <c r="CN27" s="58" t="str">
        <f>IFERROR(VLOOKUP((LEFT(L27,4)),BASE!$E$12:$F$23,2,0),IFERROR(VLOOKUP((LEFT(L27,3)),BASE!$E$12:$F$23,2,0),IFERROR(VLOOKUP((LEFT(L27,2)),BASE!$E$12:$F$23,2,0),IFERROR(VLOOKUP((LEFT(L27,1)),BASE!$E$12:$F$23,2,0),L27))))</f>
        <v/>
      </c>
      <c r="CO27" s="58" t="str">
        <f t="shared" si="6"/>
        <v>நிரைநிரைநேர்</v>
      </c>
      <c r="CP27" s="58" t="str">
        <f>VLOOKUP(CO27,BASE!$E$25:$F$79,2,0)</f>
        <v>கருவிளங்காய்</v>
      </c>
      <c r="CQ27" s="58" t="str">
        <f>VLOOKUP(CO27,BASE!$E$25:$G$79,3,0)&amp;CE28</f>
        <v>காய்நேர்</v>
      </c>
      <c r="CR27" s="58" t="str">
        <f>VLOOKUP(CQ27,BASE!$E$86:$G$93,2,0)</f>
        <v>காய் முன் நேர்</v>
      </c>
      <c r="CS27" s="58" t="str">
        <f>VLOOKUP(CQ27,BASE!$E$86:$G$93,3,0)</f>
        <v>வெண்சீர் வெண்டளை</v>
      </c>
      <c r="CT27" s="58" t="str">
        <f t="shared" si="7"/>
        <v>மூவசைக்கு மிகவில்லை</v>
      </c>
      <c r="CU27" s="58" t="str">
        <f t="shared" si="8"/>
        <v>சரி</v>
      </c>
      <c r="CV27" s="193"/>
    </row>
    <row r="28" spans="1:100" ht="19.5" customHeight="1" x14ac:dyDescent="0.35">
      <c r="A28" s="119"/>
      <c r="B28" s="12">
        <f>IFERROR(VLOOKUP((LEFT(L28,4)),BASE!$E$12:$F$23,1,0),IFERROR(VLOOKUP((LEFT(L28,3)),BASE!$E$12:$F$23,1,0),IFERROR(VLOOKUP((LEFT(L28,2)),BASE!$E$12:$F$23,1,0),IFERROR(VLOOKUP((LEFT(L28,1)),BASE!$E$12:$F$23,1,0),100))))</f>
        <v>100</v>
      </c>
      <c r="C28" s="12">
        <f>IFERROR(VLOOKUP((LEFT(M28,4)),BASE!$E$12:$F$23,1,0),IFERROR(VLOOKUP((LEFT(M28,3)),BASE!$E$12:$F$23,1,0),IFERROR(VLOOKUP((LEFT(M28,2)),BASE!$E$12:$F$23,1,0),IFERROR(VLOOKUP((LEFT(M28,1)),BASE!$E$12:$F$23,1,0),100))))</f>
        <v>100</v>
      </c>
      <c r="D28" s="12">
        <f>IFERROR(VLOOKUP((LEFT(N28,4)),BASE!$E$12:$F$23,1,0),IFERROR(VLOOKUP((LEFT(N28,3)),BASE!$E$12:$F$23,1,0),IFERROR(VLOOKUP((LEFT(N28,2)),BASE!$E$12:$F$23,1,0),IFERROR(VLOOKUP((LEFT(N28,1)),BASE!$E$12:$F$23,1,0),100))))</f>
        <v>100</v>
      </c>
      <c r="E28" s="12">
        <f>IFERROR(VLOOKUP((LEFT(O28,4)),BASE!$E$12:$F$23,1,0),IFERROR(VLOOKUP((LEFT(O28,3)),BASE!$E$12:$F$23,1,0),IFERROR(VLOOKUP((LEFT(O28,2)),BASE!$E$12:$F$23,1,0),IFERROR(VLOOKUP((LEFT(O28,1)),BASE!$E$12:$F$23,1,0),100))))</f>
        <v>100</v>
      </c>
      <c r="F28" s="12">
        <f>IFERROR(VLOOKUP((LEFT(P28,4)),BASE!$E$12:$F$23,1,0),IFERROR(VLOOKUP((LEFT(P28,3)),BASE!$E$12:$F$23,1,0),IFERROR(VLOOKUP((LEFT(P28,2)),BASE!$E$12:$F$23,1,0),IFERROR(VLOOKUP((LEFT(P28,1)),BASE!$E$12:$F$23,1,0),100))))</f>
        <v>100</v>
      </c>
      <c r="G28" s="12">
        <f>IFERROR(VLOOKUP((LEFT(Q28,4)),BASE!$E$12:$F$23,1,0),IFERROR(VLOOKUP((LEFT(Q28,3)),BASE!$E$12:$F$23,1,0),IFERROR(VLOOKUP((LEFT(Q28,2)),BASE!$E$12:$F$23,1,0),IFERROR(VLOOKUP((LEFT(Q28,1)),BASE!$E$12:$F$23,1,0),100))))</f>
        <v>100</v>
      </c>
      <c r="H28" s="12">
        <f>IFERROR(VLOOKUP((LEFT(R28,4)),BASE!$E$12:$F$23,1,0),IFERROR(VLOOKUP((LEFT(R28,3)),BASE!$E$12:$F$23,1,0),IFERROR(VLOOKUP((LEFT(R28,2)),BASE!$E$12:$F$23,1,0),IFERROR(VLOOKUP((LEFT(R28,1)),BASE!$E$12:$F$23,1,0),100))))</f>
        <v>100</v>
      </c>
      <c r="I28" s="12">
        <f>IFERROR(VLOOKUP((LEFT(S28,4)),BASE!$E$12:$F$23,1,0),IFERROR(VLOOKUP((LEFT(S28,3)),BASE!$E$12:$F$23,1,0),IFERROR(VLOOKUP((LEFT(S28,2)),BASE!$E$12:$F$23,1,0),IFERROR(VLOOKUP((LEFT(S28,1)),BASE!$E$12:$F$23,1,0),100))))</f>
        <v>100</v>
      </c>
      <c r="J28" s="12" t="str">
        <f>IFERROR(VLOOKUP((LEFT(T28,4)),BASE!$E$12:$F$24,1,0),IFERROR(VLOOKUP((LEFT(T28,3)),BASE!$E$12:$F$24,1,0),IFERROR(VLOOKUP((LEFT(T28,2)),BASE!$E$12:$F$24,1,0),IFERROR(VLOOKUP((LEFT(T28,1)),BASE!$E$12:$F$24,1,0),100))))</f>
        <v>k</v>
      </c>
      <c r="K28" s="12" t="str">
        <f>IFERROR(VLOOKUP((LEFT(U28,4)),BASE!$E$12:$F$23,1,0),IFERROR(VLOOKUP((LEFT(U28,3)),BASE!$E$12:$F$23,1,0),IFERROR(VLOOKUP((LEFT(U28,2)),BASE!$E$12:$F$23,1,0),IFERROR(VLOOKUP((LEFT(U28,1)),BASE!$E$12:$F$23,1,0),100))))</f>
        <v>ko</v>
      </c>
      <c r="L28" s="14" t="str">
        <f t="shared" si="0"/>
        <v/>
      </c>
      <c r="M28" s="14" t="str">
        <f t="shared" si="0"/>
        <v/>
      </c>
      <c r="N28" s="14" t="str">
        <f t="shared" si="0"/>
        <v/>
      </c>
      <c r="O28" s="14" t="str">
        <f t="shared" si="0"/>
        <v/>
      </c>
      <c r="P28" s="14" t="str">
        <f t="shared" si="0"/>
        <v/>
      </c>
      <c r="Q28" s="14" t="str">
        <f t="shared" si="0"/>
        <v/>
      </c>
      <c r="R28" s="14" t="str">
        <f t="shared" si="0"/>
        <v/>
      </c>
      <c r="S28" s="14" t="str">
        <f t="shared" si="0"/>
        <v/>
      </c>
      <c r="T28" s="14" t="str">
        <f t="shared" si="0"/>
        <v>k</v>
      </c>
      <c r="U28" s="14" t="str">
        <f t="shared" si="1"/>
        <v>kok</v>
      </c>
      <c r="V28" s="13">
        <f>IFERROR(VLOOKUP(LEFT(AZ28,2),BASE!$C$96:$E$342,3,0),IFERROR(VLOOKUP(LEFT(AZ28,1),BASE!$C$96:$E$342,3,0),100))</f>
        <v>100</v>
      </c>
      <c r="W28" s="13">
        <f>IFERROR(VLOOKUP(LEFT(BA28,2),BASE!$C$96:$E$342,3,0),IFERROR(VLOOKUP(LEFT(BA28,1),BASE!$C$96:$E$342,3,0),100))</f>
        <v>100</v>
      </c>
      <c r="X28" s="13">
        <f>IFERROR(VLOOKUP(LEFT(BB28,2),BASE!$C$96:$E$342,3,0),IFERROR(VLOOKUP(LEFT(BB28,1),BASE!$C$96:$E$342,3,0),100))</f>
        <v>100</v>
      </c>
      <c r="Y28" s="13">
        <f>IFERROR(VLOOKUP(LEFT(BC28,2),BASE!$C$96:$E$342,3,0),IFERROR(VLOOKUP(LEFT(BC28,1),BASE!$C$96:$E$342,3,0),100))</f>
        <v>100</v>
      </c>
      <c r="Z28" s="13">
        <f>IFERROR(VLOOKUP(LEFT(BD28,2),BASE!$C$96:$E$342,3,0),IFERROR(VLOOKUP(LEFT(BD28,1),BASE!$C$96:$E$342,3,0),100))</f>
        <v>100</v>
      </c>
      <c r="AA28" s="13">
        <f>IFERROR(VLOOKUP(LEFT(BE28,2),BASE!$C$96:$E$342,3,0),IFERROR(VLOOKUP(LEFT(BE28,1),BASE!$C$96:$E$342,3,0),100))</f>
        <v>100</v>
      </c>
      <c r="AB28" s="13">
        <f>IFERROR(VLOOKUP(LEFT(BF28,2),BASE!$C$96:$E$342,3,0),IFERROR(VLOOKUP(LEFT(BF28,1),BASE!$C$96:$E$342,3,0),100))</f>
        <v>100</v>
      </c>
      <c r="AC28" s="13">
        <f>IFERROR(VLOOKUP(LEFT(BG28,2),BASE!$C$96:$E$342,3,0),IFERROR(VLOOKUP(LEFT(BG28,1),BASE!$C$96:$E$342,3,0),100))</f>
        <v>2</v>
      </c>
      <c r="AD28" s="13">
        <f>IFERROR(VLOOKUP(LEFT(BH28,2),BASE!$C$96:$E$342,3,0),IFERROR(VLOOKUP(LEFT(BH28,1),BASE!$C$96:$E$342,3,0),100))</f>
        <v>2</v>
      </c>
      <c r="AE28" s="13">
        <f>IFERROR(VLOOKUP(LEFT(BI28,2),BASE!$C$96:$E$342,3,0),IFERROR(VLOOKUP(LEFT(BI28,1),BASE!$C$96:$E$342,3,0),100))</f>
        <v>2</v>
      </c>
      <c r="AF28" s="187" t="str">
        <f>IF(AND(BS28=BR28,AG28="o"),"A", (IFERROR(VLOOKUP(LEFT(AZ28,2),BASE!$C$346:$D$592,2,0),IFERROR(VLOOKUP(LEFT(AZ28,1),BASE!$C$346:$D$5922,2,0),AZ28))))</f>
        <v/>
      </c>
      <c r="AG28" s="187" t="str">
        <f>IF(AND(BR28=BQ28,AH28="o"),"A", (IFERROR(VLOOKUP(LEFT(BA28,2),BASE!$C$346:$D$592,2,0),IFERROR(VLOOKUP(LEFT(BA28,1),BASE!$C$346:$D$592,2,0),BA28))))</f>
        <v/>
      </c>
      <c r="AH28" s="187" t="str">
        <f>IF(AND(BQ28=BP28,AI28="o"),"A", (IFERROR(VLOOKUP(LEFT(BB28,2),BASE!$C$346:$D$592,2,0),IFERROR(VLOOKUP(LEFT(BB28,1),BASE!$C$346:$D$592,2,0),BB28))))</f>
        <v/>
      </c>
      <c r="AI28" s="187" t="str">
        <f>IF(AND(BP28=BO28,AJ28="o"),"A", (IFERROR(VLOOKUP(LEFT(BC28,2),BASE!$C$346:$D$592,2,0),IFERROR(VLOOKUP(LEFT(BC28,1),BASE!$C$346:$D$592,2,0),BC28))))</f>
        <v/>
      </c>
      <c r="AJ28" s="187" t="str">
        <f>IF(AND(BO28=BN28,AK28="o"),"A", (IFERROR(VLOOKUP(LEFT(BD28,2),BASE!$C$346:$D$592,2,0),IFERROR(VLOOKUP(LEFT(BD28,1),BASE!$C$346:$D$592,2,0),BD28))))</f>
        <v/>
      </c>
      <c r="AK28" s="187" t="str">
        <f>IF(AND(BN28=BM28,AL28="o"),"A", (IFERROR(VLOOKUP(LEFT(BE28,2),BASE!$C$346:$D$592,2,0),IFERROR(VLOOKUP(LEFT(BE28,1),BASE!$C$346:$D$592,2,0),BE28))))</f>
        <v/>
      </c>
      <c r="AL28" s="187" t="str">
        <f>IF(AND(BM28=BL28,AM28="o"),"A", (IFERROR(VLOOKUP(LEFT(BF28,2),BASE!$C$346:$D$592,2,0),IFERROR(VLOOKUP(LEFT(BF28,1),BASE!$C$346:$D$592,2,0),BF28))))</f>
        <v/>
      </c>
      <c r="AM28" s="187" t="str">
        <f>IF(AND(BL28=BK28,AN28="o"),"A",(IFERROR(VLOOKUP(LEFT(BG28,2),BASE!$C$346:$D$592,2,0),IFERROR(VLOOKUP(LEFT(BG28,1),BASE!$C$346:$D$592,2,0),BG28))))</f>
        <v>k</v>
      </c>
      <c r="AN28" s="187" t="str">
        <f>(IFERROR(VLOOKUP(LEFT(BH28,2),BASE!$C$346:$D$592,2,0),IFERROR(VLOOKUP(LEFT(BH28,1),BASE!$C$346:$D$592,2,0),BH28)))</f>
        <v>o</v>
      </c>
      <c r="AO28" s="187" t="str">
        <f>(IFERROR(VLOOKUP(LEFT(BI28,2),BASE!$C$96:$D$342,2,0),IFERROR(VLOOKUP(LEFT(BI28,1),BASE!$C$96:$D$342,2,0),BI28)))</f>
        <v>k</v>
      </c>
      <c r="AP28" s="5">
        <f t="shared" si="2"/>
        <v>6</v>
      </c>
      <c r="AQ28" s="5">
        <f t="shared" si="2"/>
        <v>6</v>
      </c>
      <c r="AR28" s="5">
        <f t="shared" si="2"/>
        <v>6</v>
      </c>
      <c r="AS28" s="5">
        <f t="shared" si="2"/>
        <v>6</v>
      </c>
      <c r="AT28" s="5">
        <f t="shared" si="2"/>
        <v>6</v>
      </c>
      <c r="AU28" s="5">
        <f t="shared" si="2"/>
        <v>6</v>
      </c>
      <c r="AV28" s="5">
        <f t="shared" si="2"/>
        <v>6</v>
      </c>
      <c r="AW28" s="5">
        <f t="shared" si="2"/>
        <v>6</v>
      </c>
      <c r="AX28" s="5">
        <f t="shared" si="2"/>
        <v>6</v>
      </c>
      <c r="AY28" s="5">
        <f t="shared" si="3"/>
        <v>6</v>
      </c>
      <c r="AZ28" s="12" t="str">
        <f t="shared" si="4"/>
        <v/>
      </c>
      <c r="BA28" s="12" t="str">
        <f t="shared" si="4"/>
        <v/>
      </c>
      <c r="BB28" s="12" t="str">
        <f t="shared" si="4"/>
        <v/>
      </c>
      <c r="BC28" s="12" t="str">
        <f t="shared" si="4"/>
        <v/>
      </c>
      <c r="BD28" s="12" t="str">
        <f t="shared" si="4"/>
        <v/>
      </c>
      <c r="BE28" s="12" t="str">
        <f t="shared" si="4"/>
        <v/>
      </c>
      <c r="BF28" s="12" t="str">
        <f t="shared" si="4"/>
        <v/>
      </c>
      <c r="BG28" s="12" t="str">
        <f t="shared" si="4"/>
        <v>சி</v>
      </c>
      <c r="BH28" s="43" t="str">
        <f t="shared" si="4"/>
        <v>ச்சி</v>
      </c>
      <c r="BI28" s="57" t="str">
        <f>CG10</f>
        <v>மெச்சி</v>
      </c>
      <c r="BJ28" s="58" t="str">
        <f>IFERROR(VLOOKUP(LEFT(BI28,2),BASE!$C$96:$F$342,1,0),IFERROR(VLOOKUP(LEFT(BI28,1),BASE!$C$96:$F$342,1,0),BI28))</f>
        <v>மெ</v>
      </c>
      <c r="BK28" s="58" t="str">
        <f>IFERROR(VLOOKUP(LEFT(BH28,2),BASE!$C$96:$D$342,1,0),IFERROR(VLOOKUP(LEFT(BH28,1),BASE!$C$96:$D$342,1,0),BH28))</f>
        <v>ச்</v>
      </c>
      <c r="BL28" s="58" t="str">
        <f>IFERROR(VLOOKUP(LEFT(BG28,2),BASE!$C$96:$D$342,1,0),IFERROR(VLOOKUP(LEFT(BG28,1),BASE!$C$96:$D$342,1,0),BG28))</f>
        <v>சி</v>
      </c>
      <c r="BM28" s="58" t="str">
        <f>IFERROR(VLOOKUP(LEFT(BF28,2),BASE!$C$96:$D$342,1,0),IFERROR(VLOOKUP(LEFT(BF28,1),BASE!$C$96:$D$342,1,0),BF28))</f>
        <v/>
      </c>
      <c r="BN28" s="58" t="str">
        <f>IFERROR(VLOOKUP(LEFT(BE28,2),BASE!$C$96:$D$342,1,0),IFERROR(VLOOKUP(LEFT(BE28,1),BASE!$C$96:$D$342,1,0),BE28))</f>
        <v/>
      </c>
      <c r="BO28" s="58" t="str">
        <f>IFERROR(VLOOKUP(LEFT(BD28,2),BASE!$C$96:$D$342,1,0),IFERROR(VLOOKUP(LEFT(BD28,1),BASE!$C$96:$D$342,1,0),BD28))</f>
        <v/>
      </c>
      <c r="BP28" s="58" t="str">
        <f>IFERROR(VLOOKUP(LEFT(BC28,2),BASE!$C$96:$D$342,1,0),IFERROR(VLOOKUP(LEFT(BC28,1),BASE!$C$96:$D$342,1,0),BC28))</f>
        <v/>
      </c>
      <c r="BQ28" s="58" t="str">
        <f>IFERROR(VLOOKUP(LEFT(BB28,2),BASE!$C$96:$D$342,1,0),IFERROR(VLOOKUP(LEFT(BB28,1),BASE!$C$96:$D$342,1,0),BB28))</f>
        <v/>
      </c>
      <c r="BR28" s="58" t="str">
        <f>IFERROR(VLOOKUP(LEFT(BA28,2),BASE!$C$96:$D$342,1,0),IFERROR(VLOOKUP(LEFT(BA28,1),BASE!$C$96:$D$342,1,0),BA28))</f>
        <v/>
      </c>
      <c r="BS28" s="58" t="str">
        <f>IFERROR(VLOOKUP(LEFT(AZ28,2),BASE!$C$96:$D$342,1,0),IFERROR(VLOOKUP(LEFT(AZ28,1),BASE!$C$96:$D$342,1,0),AZ28))</f>
        <v/>
      </c>
      <c r="BT28" s="186" t="str">
        <f>(IFERROR(VLOOKUP(LEFT(BI28,2),BASE!$C$96:$F$342,4,0),IFERROR(VLOOKUP(LEFT(BI28,1),BASE!$C$96:$F$342,4,0),BI28)))</f>
        <v>கு</v>
      </c>
      <c r="BU28" s="186" t="str">
        <f>(IFERROR(VLOOKUP(LEFT(BH28,2),BASE!$C$346:$F$592,4,0),IFERROR(VLOOKUP(LEFT(BH28,1),BASE!$C$346:$F$592,4,0),BH28)))</f>
        <v>ஒ</v>
      </c>
      <c r="BV28" s="186" t="str">
        <f>(IFERROR(VLOOKUP(LEFT(BG28,2),BASE!$C$346:$F$592,4,0),IFERROR(VLOOKUP(LEFT(BG28,1),BASE!$C$346:$F$592,4,0),BG28)))</f>
        <v>கு</v>
      </c>
      <c r="BW28" s="186" t="str">
        <f>(IFERROR(VLOOKUP(LEFT(BF28,2),BASE!$C$346:$F$592,4,0),IFERROR(VLOOKUP(LEFT(BF28,1),BASE!$C$346:$F$592,4,0),BF28)))</f>
        <v/>
      </c>
      <c r="BX28" s="186" t="str">
        <f>(IFERROR(VLOOKUP(LEFT(BE28,2),BASE!$C$346:$F$592,4,0),IFERROR(VLOOKUP(LEFT(BE28,1),BASE!$C$346:$F$592,4,0),BE28)))</f>
        <v/>
      </c>
      <c r="BY28" s="186" t="str">
        <f>(IFERROR(VLOOKUP(LEFT(BD28,2),BASE!$C$346:$F$592,4,0),IFERROR(VLOOKUP(LEFT(BD28,1),BASE!$C$346:$F$592,4,0),BD28)))</f>
        <v/>
      </c>
      <c r="BZ28" s="186" t="str">
        <f>(IFERROR(VLOOKUP(LEFT(BC28,2),BASE!$C$346:$F$592,4,0),IFERROR(VLOOKUP(LEFT(BC28,1),BASE!$C$346:$F$592,4,0),BC28)))</f>
        <v/>
      </c>
      <c r="CA28" s="186" t="str">
        <f>(IFERROR(VLOOKUP(LEFT(BB28,2),BASE!$C$346:$F$592,4,0),IFERROR(VLOOKUP(LEFT(BB28,1),BASE!$C$346:$F$592,4,0),BB28)))</f>
        <v/>
      </c>
      <c r="CB28" s="186" t="str">
        <f>(IFERROR(VLOOKUP(LEFT(BA28,2),BASE!$C$346:$F$592,4,0),IFERROR(VLOOKUP(LEFT(BA28,1),BASE!$C$346:$F$592,4,0),BA28)))</f>
        <v/>
      </c>
      <c r="CC28" s="186" t="str">
        <f>(IFERROR(VLOOKUP(LEFT(AZ28,2),BASE!$C$346:$F$592,4,0),IFERROR(VLOOKUP(LEFT(AZ28,1),BASE!$C$346:$F$592,4,0),AZ28)))</f>
        <v/>
      </c>
      <c r="CD28" s="58" t="str">
        <f t="shared" si="5"/>
        <v>குஒகு</v>
      </c>
      <c r="CE28" s="58" t="str">
        <f>IFERROR(VLOOKUP((LEFT(U28,4)),BASE!$E$12:$F$23,2,0),IFERROR(VLOOKUP((LEFT(U28,3)),BASE!$E$12:$F$23,2,0),IFERROR(VLOOKUP((LEFT(U28,2)),BASE!$E$12:$F$23,2,0),IFERROR(VLOOKUP((LEFT(U28,1)),BASE!$E$12:$F$23,2,0),U28))))</f>
        <v>நேர்</v>
      </c>
      <c r="CF28" s="58" t="str">
        <f>IFERROR(VLOOKUP((LEFT(T28,4)),BASE!$E$12:$F$24,2,0),IFERROR(VLOOKUP((LEFT(T28,3)),BASE!$E$12:$F$24,2,0),IFERROR(VLOOKUP((LEFT(T28,2)),BASE!$E$12:$F$24,2,0),IFERROR(VLOOKUP((LEFT(T28,1)),BASE!$E$12:$F$24,2,0),T28))))</f>
        <v>நேர்</v>
      </c>
      <c r="CG28" s="58" t="str">
        <f>IFERROR(VLOOKUP((LEFT(S28,4)),BASE!$E$12:$F$23,2,0),IFERROR(VLOOKUP((LEFT(S28,3)),BASE!$E$12:$F$23,2,0),IFERROR(VLOOKUP((LEFT(S28,2)),BASE!$E$12:$F$23,2,0),IFERROR(VLOOKUP((LEFT(S28,1)),BASE!$E$12:$F$23,2,0),S28))))</f>
        <v/>
      </c>
      <c r="CH28" s="58" t="str">
        <f>IFERROR(VLOOKUP((LEFT(R28,4)),BASE!$E$12:$F$23,2,0),IFERROR(VLOOKUP((LEFT(R28,3)),BASE!$E$12:$F$23,2,0),IFERROR(VLOOKUP((LEFT(R28,2)),BASE!$E$12:$F$23,2,0),IFERROR(VLOOKUP((LEFT(R28,1)),BASE!$E$12:$F$23,2,0),R28))))</f>
        <v/>
      </c>
      <c r="CI28" s="58" t="str">
        <f>IFERROR(VLOOKUP((LEFT(Q28,4)),BASE!$E$12:$F$23,2,0),IFERROR(VLOOKUP((LEFT(Q28,3)),BASE!$E$12:$F$23,2,0),IFERROR(VLOOKUP((LEFT(Q28,2)),BASE!$E$12:$F$23,2,0),IFERROR(VLOOKUP((LEFT(Q28,1)),BASE!$E$12:$F$23,2,0),Q28))))</f>
        <v/>
      </c>
      <c r="CJ28" s="58" t="str">
        <f>IFERROR(VLOOKUP((LEFT(P28,4)),BASE!$E$12:$F$23,2,0),IFERROR(VLOOKUP((LEFT(P28,3)),BASE!$E$12:$F$23,2,0),IFERROR(VLOOKUP((LEFT(P28,2)),BASE!$E$12:$F$23,2,0),IFERROR(VLOOKUP((LEFT(P28,1)),BASE!$E$12:$F$23,2,0),P28))))</f>
        <v/>
      </c>
      <c r="CK28" s="58" t="str">
        <f>IFERROR(VLOOKUP((LEFT(O28,4)),BASE!$E$12:$F$23,2,0),IFERROR(VLOOKUP((LEFT(O28,3)),BASE!$E$12:$F$23,2,0),IFERROR(VLOOKUP((LEFT(O28,2)),BASE!$E$12:$F$23,2,0),IFERROR(VLOOKUP((LEFT(O28,1)),BASE!$E$12:$F$23,2,0),O28))))</f>
        <v/>
      </c>
      <c r="CL28" s="58" t="str">
        <f>IFERROR(VLOOKUP((LEFT(N28,4)),BASE!$E$12:$F$23,2,0),IFERROR(VLOOKUP((LEFT(N28,3)),BASE!$E$12:$F$23,2,0),IFERROR(VLOOKUP((LEFT(N28,2)),BASE!$E$12:$F$23,2,0),IFERROR(VLOOKUP((LEFT(N28,1)),BASE!$E$12:$F$23,2,0),N28))))</f>
        <v/>
      </c>
      <c r="CM28" s="58" t="str">
        <f>IFERROR(VLOOKUP((LEFT(M28,4)),BASE!$E$12:$F$23,2,0),IFERROR(VLOOKUP((LEFT(M28,3)),BASE!$E$12:$F$23,2,0),IFERROR(VLOOKUP((LEFT(M28,2)),BASE!$E$12:$F$23,2,0),IFERROR(VLOOKUP((LEFT(M28,1)),BASE!$E$12:$F$23,2,0),M28))))</f>
        <v/>
      </c>
      <c r="CN28" s="58" t="str">
        <f>IFERROR(VLOOKUP((LEFT(L28,4)),BASE!$E$12:$F$23,2,0),IFERROR(VLOOKUP((LEFT(L28,3)),BASE!$E$12:$F$23,2,0),IFERROR(VLOOKUP((LEFT(L28,2)),BASE!$E$12:$F$23,2,0),IFERROR(VLOOKUP((LEFT(L28,1)),BASE!$E$12:$F$23,2,0),L28))))</f>
        <v/>
      </c>
      <c r="CO28" s="58" t="str">
        <f t="shared" si="6"/>
        <v>நேர்நேர்</v>
      </c>
      <c r="CP28" s="58" t="str">
        <f>VLOOKUP(CO28,BASE!$E$25:$F$79,2,0)</f>
        <v>தேமா</v>
      </c>
      <c r="CQ28" s="58" t="str">
        <f>VLOOKUP(CO28,BASE!$E$25:$G$79,3,0)&amp;CE29</f>
        <v>மாநிரை</v>
      </c>
      <c r="CR28" s="58" t="str">
        <f>VLOOKUP(CQ28,BASE!$E$86:$G$93,2,0)</f>
        <v>மாமுன் நிரை</v>
      </c>
      <c r="CS28" s="58" t="str">
        <f>VLOOKUP(CQ28,BASE!$E$86:$G$93,3,0)</f>
        <v>இயற்சீர் வெண்டளை</v>
      </c>
      <c r="CT28" s="58" t="str">
        <f t="shared" si="7"/>
        <v>மூவசைக்கு மிகவில்லை</v>
      </c>
      <c r="CU28" s="58" t="str">
        <f t="shared" si="8"/>
        <v>சரி</v>
      </c>
      <c r="CV28" s="193"/>
    </row>
    <row r="29" spans="1:100" ht="19.5" customHeight="1" x14ac:dyDescent="0.35">
      <c r="A29" s="119"/>
      <c r="B29" s="12">
        <f>IFERROR(VLOOKUP((LEFT(L29,4)),BASE!$E$12:$F$23,1,0),IFERROR(VLOOKUP((LEFT(L29,3)),BASE!$E$12:$F$23,1,0),IFERROR(VLOOKUP((LEFT(L29,2)),BASE!$E$12:$F$23,1,0),IFERROR(VLOOKUP((LEFT(L29,1)),BASE!$E$12:$F$23,1,0),100))))</f>
        <v>100</v>
      </c>
      <c r="C29" s="12">
        <f>IFERROR(VLOOKUP((LEFT(M29,4)),BASE!$E$12:$F$23,1,0),IFERROR(VLOOKUP((LEFT(M29,3)),BASE!$E$12:$F$23,1,0),IFERROR(VLOOKUP((LEFT(M29,2)),BASE!$E$12:$F$23,1,0),IFERROR(VLOOKUP((LEFT(M29,1)),BASE!$E$12:$F$23,1,0),100))))</f>
        <v>100</v>
      </c>
      <c r="D29" s="12">
        <f>IFERROR(VLOOKUP((LEFT(N29,4)),BASE!$E$12:$F$23,1,0),IFERROR(VLOOKUP((LEFT(N29,3)),BASE!$E$12:$F$23,1,0),IFERROR(VLOOKUP((LEFT(N29,2)),BASE!$E$12:$F$23,1,0),IFERROR(VLOOKUP((LEFT(N29,1)),BASE!$E$12:$F$23,1,0),100))))</f>
        <v>100</v>
      </c>
      <c r="E29" s="12">
        <f>IFERROR(VLOOKUP((LEFT(O29,4)),BASE!$E$12:$F$23,1,0),IFERROR(VLOOKUP((LEFT(O29,3)),BASE!$E$12:$F$23,1,0),IFERROR(VLOOKUP((LEFT(O29,2)),BASE!$E$12:$F$23,1,0),IFERROR(VLOOKUP((LEFT(O29,1)),BASE!$E$12:$F$23,1,0),100))))</f>
        <v>100</v>
      </c>
      <c r="F29" s="12">
        <f>IFERROR(VLOOKUP((LEFT(P29,4)),BASE!$E$12:$F$23,1,0),IFERROR(VLOOKUP((LEFT(P29,3)),BASE!$E$12:$F$23,1,0),IFERROR(VLOOKUP((LEFT(P29,2)),BASE!$E$12:$F$23,1,0),IFERROR(VLOOKUP((LEFT(P29,1)),BASE!$E$12:$F$23,1,0),100))))</f>
        <v>100</v>
      </c>
      <c r="G29" s="12">
        <f>IFERROR(VLOOKUP((LEFT(Q29,4)),BASE!$E$12:$F$23,1,0),IFERROR(VLOOKUP((LEFT(Q29,3)),BASE!$E$12:$F$23,1,0),IFERROR(VLOOKUP((LEFT(Q29,2)),BASE!$E$12:$F$23,1,0),IFERROR(VLOOKUP((LEFT(Q29,1)),BASE!$E$12:$F$23,1,0),100))))</f>
        <v>100</v>
      </c>
      <c r="H29" s="12">
        <f>IFERROR(VLOOKUP((LEFT(R29,4)),BASE!$E$12:$F$23,1,0),IFERROR(VLOOKUP((LEFT(R29,3)),BASE!$E$12:$F$23,1,0),IFERROR(VLOOKUP((LEFT(R29,2)),BASE!$E$12:$F$23,1,0),IFERROR(VLOOKUP((LEFT(R29,1)),BASE!$E$12:$F$23,1,0),100))))</f>
        <v>100</v>
      </c>
      <c r="I29" s="12">
        <f>IFERROR(VLOOKUP((LEFT(S29,4)),BASE!$E$12:$F$23,1,0),IFERROR(VLOOKUP((LEFT(S29,3)),BASE!$E$12:$F$23,1,0),IFERROR(VLOOKUP((LEFT(S29,2)),BASE!$E$12:$F$23,1,0),IFERROR(VLOOKUP((LEFT(S29,1)),BASE!$E$12:$F$23,1,0),100))))</f>
        <v>100</v>
      </c>
      <c r="J29" s="12" t="str">
        <f>IFERROR(VLOOKUP((LEFT(T29,4)),BASE!$E$12:$F$24,1,0),IFERROR(VLOOKUP((LEFT(T29,3)),BASE!$E$12:$F$24,1,0),IFERROR(VLOOKUP((LEFT(T29,2)),BASE!$E$12:$F$24,1,0),IFERROR(VLOOKUP((LEFT(T29,1)),BASE!$E$12:$F$24,1,0),100))))</f>
        <v>kko</v>
      </c>
      <c r="K29" s="12" t="str">
        <f>IFERROR(VLOOKUP((LEFT(U29,4)),BASE!$E$12:$F$23,1,0),IFERROR(VLOOKUP((LEFT(U29,3)),BASE!$E$12:$F$23,1,0),IFERROR(VLOOKUP((LEFT(U29,2)),BASE!$E$12:$F$23,1,0),IFERROR(VLOOKUP((LEFT(U29,1)),BASE!$E$12:$F$23,1,0),100))))</f>
        <v>kk</v>
      </c>
      <c r="L29" s="14" t="str">
        <f t="shared" si="0"/>
        <v/>
      </c>
      <c r="M29" s="14" t="str">
        <f t="shared" si="0"/>
        <v/>
      </c>
      <c r="N29" s="14" t="str">
        <f t="shared" si="0"/>
        <v/>
      </c>
      <c r="O29" s="14" t="str">
        <f t="shared" si="0"/>
        <v/>
      </c>
      <c r="P29" s="14" t="str">
        <f t="shared" si="0"/>
        <v/>
      </c>
      <c r="Q29" s="14" t="str">
        <f t="shared" si="0"/>
        <v/>
      </c>
      <c r="R29" s="14" t="str">
        <f t="shared" si="0"/>
        <v/>
      </c>
      <c r="S29" s="14" t="str">
        <f t="shared" si="0"/>
        <v/>
      </c>
      <c r="T29" s="14" t="str">
        <f t="shared" si="0"/>
        <v>kko</v>
      </c>
      <c r="U29" s="14" t="str">
        <f t="shared" si="1"/>
        <v>kkkko</v>
      </c>
      <c r="V29" s="13">
        <f>IFERROR(VLOOKUP(LEFT(AZ29,2),BASE!$C$96:$E$342,3,0),IFERROR(VLOOKUP(LEFT(AZ29,1),BASE!$C$96:$E$342,3,0),100))</f>
        <v>100</v>
      </c>
      <c r="W29" s="13">
        <f>IFERROR(VLOOKUP(LEFT(BA29,2),BASE!$C$96:$E$342,3,0),IFERROR(VLOOKUP(LEFT(BA29,1),BASE!$C$96:$E$342,3,0),100))</f>
        <v>100</v>
      </c>
      <c r="X29" s="13">
        <f>IFERROR(VLOOKUP(LEFT(BB29,2),BASE!$C$96:$E$342,3,0),IFERROR(VLOOKUP(LEFT(BB29,1),BASE!$C$96:$E$342,3,0),100))</f>
        <v>100</v>
      </c>
      <c r="Y29" s="13">
        <f>IFERROR(VLOOKUP(LEFT(BC29,2),BASE!$C$96:$E$342,3,0),IFERROR(VLOOKUP(LEFT(BC29,1),BASE!$C$96:$E$342,3,0),100))</f>
        <v>100</v>
      </c>
      <c r="Z29" s="13">
        <f>IFERROR(VLOOKUP(LEFT(BD29,2),BASE!$C$96:$E$342,3,0),IFERROR(VLOOKUP(LEFT(BD29,1),BASE!$C$96:$E$342,3,0),100))</f>
        <v>100</v>
      </c>
      <c r="AA29" s="13">
        <f>IFERROR(VLOOKUP(LEFT(BE29,2),BASE!$C$96:$E$342,3,0),IFERROR(VLOOKUP(LEFT(BE29,1),BASE!$C$96:$E$342,3,0),100))</f>
        <v>2</v>
      </c>
      <c r="AB29" s="13">
        <f>IFERROR(VLOOKUP(LEFT(BF29,2),BASE!$C$96:$E$342,3,0),IFERROR(VLOOKUP(LEFT(BF29,1),BASE!$C$96:$E$342,3,0),100))</f>
        <v>2</v>
      </c>
      <c r="AC29" s="13">
        <f>IFERROR(VLOOKUP(LEFT(BG29,2),BASE!$C$96:$E$342,3,0),IFERROR(VLOOKUP(LEFT(BG29,1),BASE!$C$96:$E$342,3,0),100))</f>
        <v>2</v>
      </c>
      <c r="AD29" s="13">
        <f>IFERROR(VLOOKUP(LEFT(BH29,2),BASE!$C$96:$E$342,3,0),IFERROR(VLOOKUP(LEFT(BH29,1),BASE!$C$96:$E$342,3,0),100))</f>
        <v>2</v>
      </c>
      <c r="AE29" s="13">
        <f>IFERROR(VLOOKUP(LEFT(BI29,2),BASE!$C$96:$E$342,3,0),IFERROR(VLOOKUP(LEFT(BI29,1),BASE!$C$96:$E$342,3,0),100))</f>
        <v>1</v>
      </c>
      <c r="AF29" s="187" t="str">
        <f>IF(AND(BS29=BR29,AG29="o"),"A", (IFERROR(VLOOKUP(LEFT(AZ29,2),BASE!$C$346:$D$592,2,0),IFERROR(VLOOKUP(LEFT(AZ29,1),BASE!$C$346:$D$5922,2,0),AZ29))))</f>
        <v/>
      </c>
      <c r="AG29" s="187" t="str">
        <f>IF(AND(BR29=BQ29,AH29="o"),"A", (IFERROR(VLOOKUP(LEFT(BA29,2),BASE!$C$346:$D$592,2,0),IFERROR(VLOOKUP(LEFT(BA29,1),BASE!$C$346:$D$592,2,0),BA29))))</f>
        <v/>
      </c>
      <c r="AH29" s="187" t="str">
        <f>IF(AND(BQ29=BP29,AI29="o"),"A", (IFERROR(VLOOKUP(LEFT(BB29,2),BASE!$C$346:$D$592,2,0),IFERROR(VLOOKUP(LEFT(BB29,1),BASE!$C$346:$D$592,2,0),BB29))))</f>
        <v/>
      </c>
      <c r="AI29" s="187" t="str">
        <f>IF(AND(BP29=BO29,AJ29="o"),"A", (IFERROR(VLOOKUP(LEFT(BC29,2),BASE!$C$346:$D$592,2,0),IFERROR(VLOOKUP(LEFT(BC29,1),BASE!$C$346:$D$592,2,0),BC29))))</f>
        <v/>
      </c>
      <c r="AJ29" s="187" t="str">
        <f>IF(AND(BO29=BN29,AK29="o"),"A", (IFERROR(VLOOKUP(LEFT(BD29,2),BASE!$C$346:$D$592,2,0),IFERROR(VLOOKUP(LEFT(BD29,1),BASE!$C$346:$D$592,2,0),BD29))))</f>
        <v/>
      </c>
      <c r="AK29" s="187" t="str">
        <f>IF(AND(BN29=BM29,AL29="o"),"A", (IFERROR(VLOOKUP(LEFT(BE29,2),BASE!$C$346:$D$592,2,0),IFERROR(VLOOKUP(LEFT(BE29,1),BASE!$C$346:$D$592,2,0),BE29))))</f>
        <v>o</v>
      </c>
      <c r="AL29" s="187" t="str">
        <f>IF(AND(BM29=BL29,AM29="o"),"A", (IFERROR(VLOOKUP(LEFT(BF29,2),BASE!$C$346:$D$592,2,0),IFERROR(VLOOKUP(LEFT(BF29,1),BASE!$C$346:$D$592,2,0),BF29))))</f>
        <v>k</v>
      </c>
      <c r="AM29" s="187" t="str">
        <f>IF(AND(BL29=BK29,AN29="o"),"A",(IFERROR(VLOOKUP(LEFT(BG29,2),BASE!$C$346:$D$592,2,0),IFERROR(VLOOKUP(LEFT(BG29,1),BASE!$C$346:$D$592,2,0),BG29))))</f>
        <v>k</v>
      </c>
      <c r="AN29" s="187" t="str">
        <f>(IFERROR(VLOOKUP(LEFT(BH29,2),BASE!$C$346:$D$592,2,0),IFERROR(VLOOKUP(LEFT(BH29,1),BASE!$C$346:$D$592,2,0),BH29)))</f>
        <v>k</v>
      </c>
      <c r="AO29" s="187" t="str">
        <f>(IFERROR(VLOOKUP(LEFT(BI29,2),BASE!$C$96:$D$342,2,0),IFERROR(VLOOKUP(LEFT(BI29,1),BASE!$C$96:$D$342,2,0),BI29)))</f>
        <v>k</v>
      </c>
      <c r="AP29" s="5">
        <f t="shared" si="2"/>
        <v>9</v>
      </c>
      <c r="AQ29" s="5">
        <f t="shared" si="2"/>
        <v>9</v>
      </c>
      <c r="AR29" s="5">
        <f t="shared" si="2"/>
        <v>9</v>
      </c>
      <c r="AS29" s="5">
        <f t="shared" si="2"/>
        <v>9</v>
      </c>
      <c r="AT29" s="5">
        <f t="shared" si="2"/>
        <v>9</v>
      </c>
      <c r="AU29" s="5">
        <f t="shared" si="2"/>
        <v>9</v>
      </c>
      <c r="AV29" s="5">
        <f t="shared" si="2"/>
        <v>9</v>
      </c>
      <c r="AW29" s="5">
        <f t="shared" si="2"/>
        <v>9</v>
      </c>
      <c r="AX29" s="5">
        <f t="shared" si="2"/>
        <v>9</v>
      </c>
      <c r="AY29" s="5">
        <f t="shared" si="3"/>
        <v>9</v>
      </c>
      <c r="AZ29" s="12" t="str">
        <f t="shared" si="4"/>
        <v/>
      </c>
      <c r="BA29" s="12" t="str">
        <f t="shared" si="4"/>
        <v/>
      </c>
      <c r="BB29" s="12" t="str">
        <f t="shared" si="4"/>
        <v/>
      </c>
      <c r="BC29" s="12" t="str">
        <f t="shared" si="4"/>
        <v/>
      </c>
      <c r="BD29" s="12" t="str">
        <f t="shared" si="4"/>
        <v/>
      </c>
      <c r="BE29" s="12" t="str">
        <f t="shared" si="4"/>
        <v>ப்</v>
      </c>
      <c r="BF29" s="12" t="str">
        <f t="shared" si="4"/>
        <v>கைப்</v>
      </c>
      <c r="BG29" s="12" t="str">
        <f t="shared" si="4"/>
        <v>மைகைப்</v>
      </c>
      <c r="BH29" s="43" t="str">
        <f t="shared" si="4"/>
        <v>டிமைகைப்</v>
      </c>
      <c r="BI29" s="57" t="str">
        <f>CD12</f>
        <v>அடிமைகைப்</v>
      </c>
      <c r="BJ29" s="58" t="str">
        <f>IFERROR(VLOOKUP(LEFT(BI29,2),BASE!$C$96:$F$342,1,0),IFERROR(VLOOKUP(LEFT(BI29,1),BASE!$C$96:$F$342,1,0),BI29))</f>
        <v>அ</v>
      </c>
      <c r="BK29" s="58" t="str">
        <f>IFERROR(VLOOKUP(LEFT(BH29,2),BASE!$C$96:$D$342,1,0),IFERROR(VLOOKUP(LEFT(BH29,1),BASE!$C$96:$D$342,1,0),BH29))</f>
        <v>டி</v>
      </c>
      <c r="BL29" s="58" t="str">
        <f>IFERROR(VLOOKUP(LEFT(BG29,2),BASE!$C$96:$D$342,1,0),IFERROR(VLOOKUP(LEFT(BG29,1),BASE!$C$96:$D$342,1,0),BG29))</f>
        <v>மை</v>
      </c>
      <c r="BM29" s="58" t="str">
        <f>IFERROR(VLOOKUP(LEFT(BF29,2),BASE!$C$96:$D$342,1,0),IFERROR(VLOOKUP(LEFT(BF29,1),BASE!$C$96:$D$342,1,0),BF29))</f>
        <v>கை</v>
      </c>
      <c r="BN29" s="58" t="str">
        <f>IFERROR(VLOOKUP(LEFT(BE29,2),BASE!$C$96:$D$342,1,0),IFERROR(VLOOKUP(LEFT(BE29,1),BASE!$C$96:$D$342,1,0),BE29))</f>
        <v>ப்</v>
      </c>
      <c r="BO29" s="58" t="str">
        <f>IFERROR(VLOOKUP(LEFT(BD29,2),BASE!$C$96:$D$342,1,0),IFERROR(VLOOKUP(LEFT(BD29,1),BASE!$C$96:$D$342,1,0),BD29))</f>
        <v/>
      </c>
      <c r="BP29" s="58" t="str">
        <f>IFERROR(VLOOKUP(LEFT(BC29,2),BASE!$C$96:$D$342,1,0),IFERROR(VLOOKUP(LEFT(BC29,1),BASE!$C$96:$D$342,1,0),BC29))</f>
        <v/>
      </c>
      <c r="BQ29" s="58" t="str">
        <f>IFERROR(VLOOKUP(LEFT(BB29,2),BASE!$C$96:$D$342,1,0),IFERROR(VLOOKUP(LEFT(BB29,1),BASE!$C$96:$D$342,1,0),BB29))</f>
        <v/>
      </c>
      <c r="BR29" s="58" t="str">
        <f>IFERROR(VLOOKUP(LEFT(BA29,2),BASE!$C$96:$D$342,1,0),IFERROR(VLOOKUP(LEFT(BA29,1),BASE!$C$96:$D$342,1,0),BA29))</f>
        <v/>
      </c>
      <c r="BS29" s="58" t="str">
        <f>IFERROR(VLOOKUP(LEFT(AZ29,2),BASE!$C$96:$D$342,1,0),IFERROR(VLOOKUP(LEFT(AZ29,1),BASE!$C$96:$D$342,1,0),AZ29))</f>
        <v/>
      </c>
      <c r="BT29" s="186" t="str">
        <f>(IFERROR(VLOOKUP(LEFT(BI29,2),BASE!$C$96:$F$342,4,0),IFERROR(VLOOKUP(LEFT(BI29,1),BASE!$C$96:$F$342,4,0),BI29)))</f>
        <v>கு</v>
      </c>
      <c r="BU29" s="186" t="str">
        <f>(IFERROR(VLOOKUP(LEFT(BH29,2),BASE!$C$346:$F$592,4,0),IFERROR(VLOOKUP(LEFT(BH29,1),BASE!$C$346:$F$592,4,0),BH29)))</f>
        <v>கு</v>
      </c>
      <c r="BV29" s="186" t="str">
        <f>(IFERROR(VLOOKUP(LEFT(BG29,2),BASE!$C$346:$F$592,4,0),IFERROR(VLOOKUP(LEFT(BG29,1),BASE!$C$346:$F$592,4,0),BG29)))</f>
        <v>கு</v>
      </c>
      <c r="BW29" s="186" t="str">
        <f>(IFERROR(VLOOKUP(LEFT(BF29,2),BASE!$C$346:$F$592,4,0),IFERROR(VLOOKUP(LEFT(BF29,1),BASE!$C$346:$F$592,4,0),BF29)))</f>
        <v>கு</v>
      </c>
      <c r="BX29" s="186" t="str">
        <f>(IFERROR(VLOOKUP(LEFT(BE29,2),BASE!$C$346:$F$592,4,0),IFERROR(VLOOKUP(LEFT(BE29,1),BASE!$C$346:$F$592,4,0),BE29)))</f>
        <v>ஒ</v>
      </c>
      <c r="BY29" s="186" t="str">
        <f>(IFERROR(VLOOKUP(LEFT(BD29,2),BASE!$C$346:$F$592,4,0),IFERROR(VLOOKUP(LEFT(BD29,1),BASE!$C$346:$F$592,4,0),BD29)))</f>
        <v/>
      </c>
      <c r="BZ29" s="186" t="str">
        <f>(IFERROR(VLOOKUP(LEFT(BC29,2),BASE!$C$346:$F$592,4,0),IFERROR(VLOOKUP(LEFT(BC29,1),BASE!$C$346:$F$592,4,0),BC29)))</f>
        <v/>
      </c>
      <c r="CA29" s="186" t="str">
        <f>(IFERROR(VLOOKUP(LEFT(BB29,2),BASE!$C$346:$F$592,4,0),IFERROR(VLOOKUP(LEFT(BB29,1),BASE!$C$346:$F$592,4,0),BB29)))</f>
        <v/>
      </c>
      <c r="CB29" s="186" t="str">
        <f>(IFERROR(VLOOKUP(LEFT(BA29,2),BASE!$C$346:$F$592,4,0),IFERROR(VLOOKUP(LEFT(BA29,1),BASE!$C$346:$F$592,4,0),BA29)))</f>
        <v/>
      </c>
      <c r="CC29" s="186" t="str">
        <f>(IFERROR(VLOOKUP(LEFT(AZ29,2),BASE!$C$346:$F$592,4,0),IFERROR(VLOOKUP(LEFT(AZ29,1),BASE!$C$346:$F$592,4,0),AZ29)))</f>
        <v/>
      </c>
      <c r="CD29" s="58" t="str">
        <f t="shared" si="5"/>
        <v>குகுகுகுஒ</v>
      </c>
      <c r="CE29" s="58" t="str">
        <f>IFERROR(VLOOKUP((LEFT(U29,4)),BASE!$E$12:$F$23,2,0),IFERROR(VLOOKUP((LEFT(U29,3)),BASE!$E$12:$F$23,2,0),IFERROR(VLOOKUP((LEFT(U29,2)),BASE!$E$12:$F$23,2,0),IFERROR(VLOOKUP((LEFT(U29,1)),BASE!$E$12:$F$23,2,0),U29))))</f>
        <v>நிரை</v>
      </c>
      <c r="CF29" s="58" t="str">
        <f>IFERROR(VLOOKUP((LEFT(T29,4)),BASE!$E$12:$F$24,2,0),IFERROR(VLOOKUP((LEFT(T29,3)),BASE!$E$12:$F$24,2,0),IFERROR(VLOOKUP((LEFT(T29,2)),BASE!$E$12:$F$24,2,0),IFERROR(VLOOKUP((LEFT(T29,1)),BASE!$E$12:$F$24,2,0),T29))))</f>
        <v>நிரை</v>
      </c>
      <c r="CG29" s="58" t="str">
        <f>IFERROR(VLOOKUP((LEFT(S29,4)),BASE!$E$12:$F$23,2,0),IFERROR(VLOOKUP((LEFT(S29,3)),BASE!$E$12:$F$23,2,0),IFERROR(VLOOKUP((LEFT(S29,2)),BASE!$E$12:$F$23,2,0),IFERROR(VLOOKUP((LEFT(S29,1)),BASE!$E$12:$F$23,2,0),S29))))</f>
        <v/>
      </c>
      <c r="CH29" s="58" t="str">
        <f>IFERROR(VLOOKUP((LEFT(R29,4)),BASE!$E$12:$F$23,2,0),IFERROR(VLOOKUP((LEFT(R29,3)),BASE!$E$12:$F$23,2,0),IFERROR(VLOOKUP((LEFT(R29,2)),BASE!$E$12:$F$23,2,0),IFERROR(VLOOKUP((LEFT(R29,1)),BASE!$E$12:$F$23,2,0),R29))))</f>
        <v/>
      </c>
      <c r="CI29" s="58" t="str">
        <f>IFERROR(VLOOKUP((LEFT(Q29,4)),BASE!$E$12:$F$23,2,0),IFERROR(VLOOKUP((LEFT(Q29,3)),BASE!$E$12:$F$23,2,0),IFERROR(VLOOKUP((LEFT(Q29,2)),BASE!$E$12:$F$23,2,0),IFERROR(VLOOKUP((LEFT(Q29,1)),BASE!$E$12:$F$23,2,0),Q29))))</f>
        <v/>
      </c>
      <c r="CJ29" s="58" t="str">
        <f>IFERROR(VLOOKUP((LEFT(P29,4)),BASE!$E$12:$F$23,2,0),IFERROR(VLOOKUP((LEFT(P29,3)),BASE!$E$12:$F$23,2,0),IFERROR(VLOOKUP((LEFT(P29,2)),BASE!$E$12:$F$23,2,0),IFERROR(VLOOKUP((LEFT(P29,1)),BASE!$E$12:$F$23,2,0),P29))))</f>
        <v/>
      </c>
      <c r="CK29" s="58" t="str">
        <f>IFERROR(VLOOKUP((LEFT(O29,4)),BASE!$E$12:$F$23,2,0),IFERROR(VLOOKUP((LEFT(O29,3)),BASE!$E$12:$F$23,2,0),IFERROR(VLOOKUP((LEFT(O29,2)),BASE!$E$12:$F$23,2,0),IFERROR(VLOOKUP((LEFT(O29,1)),BASE!$E$12:$F$23,2,0),O29))))</f>
        <v/>
      </c>
      <c r="CL29" s="58" t="str">
        <f>IFERROR(VLOOKUP((LEFT(N29,4)),BASE!$E$12:$F$23,2,0),IFERROR(VLOOKUP((LEFT(N29,3)),BASE!$E$12:$F$23,2,0),IFERROR(VLOOKUP((LEFT(N29,2)),BASE!$E$12:$F$23,2,0),IFERROR(VLOOKUP((LEFT(N29,1)),BASE!$E$12:$F$23,2,0),N29))))</f>
        <v/>
      </c>
      <c r="CM29" s="58" t="str">
        <f>IFERROR(VLOOKUP((LEFT(M29,4)),BASE!$E$12:$F$23,2,0),IFERROR(VLOOKUP((LEFT(M29,3)),BASE!$E$12:$F$23,2,0),IFERROR(VLOOKUP((LEFT(M29,2)),BASE!$E$12:$F$23,2,0),IFERROR(VLOOKUP((LEFT(M29,1)),BASE!$E$12:$F$23,2,0),M29))))</f>
        <v/>
      </c>
      <c r="CN29" s="58" t="str">
        <f>IFERROR(VLOOKUP((LEFT(L29,4)),BASE!$E$12:$F$23,2,0),IFERROR(VLOOKUP((LEFT(L29,3)),BASE!$E$12:$F$23,2,0),IFERROR(VLOOKUP((LEFT(L29,2)),BASE!$E$12:$F$23,2,0),IFERROR(VLOOKUP((LEFT(L29,1)),BASE!$E$12:$F$23,2,0),L29))))</f>
        <v/>
      </c>
      <c r="CO29" s="58" t="str">
        <f t="shared" si="6"/>
        <v>நிரைநிரை</v>
      </c>
      <c r="CP29" s="58" t="str">
        <f>VLOOKUP(CO29,BASE!$E$25:$F$79,2,0)</f>
        <v>கருவிளம்</v>
      </c>
      <c r="CQ29" s="58" t="str">
        <f>VLOOKUP(CO29,BASE!$E$25:$G$79,3,0)&amp;CE30</f>
        <v>விளம்நேர்</v>
      </c>
      <c r="CR29" s="58" t="str">
        <f>VLOOKUP(CQ29,BASE!$E$86:$G$93,2,0)</f>
        <v>விளமுன் நேர்</v>
      </c>
      <c r="CS29" s="58" t="str">
        <f>VLOOKUP(CQ29,BASE!$E$86:$G$93,3,0)</f>
        <v>இயற்சீர் வெண்டளை</v>
      </c>
      <c r="CT29" s="58" t="str">
        <f t="shared" si="7"/>
        <v>மூவசைக்கு மிகவில்லை</v>
      </c>
      <c r="CU29" s="58" t="str">
        <f t="shared" si="8"/>
        <v>சரி</v>
      </c>
      <c r="CV29" s="193"/>
    </row>
    <row r="30" spans="1:100" ht="19.5" customHeight="1" x14ac:dyDescent="0.35">
      <c r="A30" s="119"/>
      <c r="B30" s="12">
        <f>IFERROR(VLOOKUP((LEFT(L30,4)),BASE!$E$12:$F$23,1,0),IFERROR(VLOOKUP((LEFT(L30,3)),BASE!$E$12:$F$23,1,0),IFERROR(VLOOKUP((LEFT(L30,2)),BASE!$E$12:$F$23,1,0),IFERROR(VLOOKUP((LEFT(L30,1)),BASE!$E$12:$F$23,1,0),100))))</f>
        <v>100</v>
      </c>
      <c r="C30" s="12">
        <f>IFERROR(VLOOKUP((LEFT(M30,4)),BASE!$E$12:$F$23,1,0),IFERROR(VLOOKUP((LEFT(M30,3)),BASE!$E$12:$F$23,1,0),IFERROR(VLOOKUP((LEFT(M30,2)),BASE!$E$12:$F$23,1,0),IFERROR(VLOOKUP((LEFT(M30,1)),BASE!$E$12:$F$23,1,0),100))))</f>
        <v>100</v>
      </c>
      <c r="D30" s="12">
        <f>IFERROR(VLOOKUP((LEFT(N30,4)),BASE!$E$12:$F$23,1,0),IFERROR(VLOOKUP((LEFT(N30,3)),BASE!$E$12:$F$23,1,0),IFERROR(VLOOKUP((LEFT(N30,2)),BASE!$E$12:$F$23,1,0),IFERROR(VLOOKUP((LEFT(N30,1)),BASE!$E$12:$F$23,1,0),100))))</f>
        <v>100</v>
      </c>
      <c r="E30" s="12">
        <f>IFERROR(VLOOKUP((LEFT(O30,4)),BASE!$E$12:$F$23,1,0),IFERROR(VLOOKUP((LEFT(O30,3)),BASE!$E$12:$F$23,1,0),IFERROR(VLOOKUP((LEFT(O30,2)),BASE!$E$12:$F$23,1,0),IFERROR(VLOOKUP((LEFT(O30,1)),BASE!$E$12:$F$23,1,0),100))))</f>
        <v>100</v>
      </c>
      <c r="F30" s="12">
        <f>IFERROR(VLOOKUP((LEFT(P30,4)),BASE!$E$12:$F$23,1,0),IFERROR(VLOOKUP((LEFT(P30,3)),BASE!$E$12:$F$23,1,0),IFERROR(VLOOKUP((LEFT(P30,2)),BASE!$E$12:$F$23,1,0),IFERROR(VLOOKUP((LEFT(P30,1)),BASE!$E$12:$F$23,1,0),100))))</f>
        <v>100</v>
      </c>
      <c r="G30" s="12">
        <f>IFERROR(VLOOKUP((LEFT(Q30,4)),BASE!$E$12:$F$23,1,0),IFERROR(VLOOKUP((LEFT(Q30,3)),BASE!$E$12:$F$23,1,0),IFERROR(VLOOKUP((LEFT(Q30,2)),BASE!$E$12:$F$23,1,0),IFERROR(VLOOKUP((LEFT(Q30,1)),BASE!$E$12:$F$23,1,0),100))))</f>
        <v>100</v>
      </c>
      <c r="H30" s="12">
        <f>IFERROR(VLOOKUP((LEFT(R30,4)),BASE!$E$12:$F$23,1,0),IFERROR(VLOOKUP((LEFT(R30,3)),BASE!$E$12:$F$23,1,0),IFERROR(VLOOKUP((LEFT(R30,2)),BASE!$E$12:$F$23,1,0),IFERROR(VLOOKUP((LEFT(R30,1)),BASE!$E$12:$F$23,1,0),100))))</f>
        <v>100</v>
      </c>
      <c r="I30" s="12">
        <f>IFERROR(VLOOKUP((LEFT(S30,4)),BASE!$E$12:$F$23,1,0),IFERROR(VLOOKUP((LEFT(S30,3)),BASE!$E$12:$F$23,1,0),IFERROR(VLOOKUP((LEFT(S30,2)),BASE!$E$12:$F$23,1,0),IFERROR(VLOOKUP((LEFT(S30,1)),BASE!$E$12:$F$23,1,0),100))))</f>
        <v>100</v>
      </c>
      <c r="J30" s="12" t="str">
        <f>IFERROR(VLOOKUP((LEFT(T30,4)),BASE!$E$12:$F$24,1,0),IFERROR(VLOOKUP((LEFT(T30,3)),BASE!$E$12:$F$24,1,0),IFERROR(VLOOKUP((LEFT(T30,2)),BASE!$E$12:$F$24,1,0),IFERROR(VLOOKUP((LEFT(T30,1)),BASE!$E$12:$F$24,1,0),100))))</f>
        <v>no</v>
      </c>
      <c r="K30" s="12" t="str">
        <f>IFERROR(VLOOKUP((LEFT(U30,4)),BASE!$E$12:$F$23,1,0),IFERROR(VLOOKUP((LEFT(U30,3)),BASE!$E$12:$F$23,1,0),IFERROR(VLOOKUP((LEFT(U30,2)),BASE!$E$12:$F$23,1,0),IFERROR(VLOOKUP((LEFT(U30,1)),BASE!$E$12:$F$23,1,0),100))))</f>
        <v>ko</v>
      </c>
      <c r="L30" s="14" t="str">
        <f t="shared" si="0"/>
        <v/>
      </c>
      <c r="M30" s="14" t="str">
        <f t="shared" si="0"/>
        <v/>
      </c>
      <c r="N30" s="14" t="str">
        <f t="shared" si="0"/>
        <v/>
      </c>
      <c r="O30" s="14" t="str">
        <f t="shared" si="0"/>
        <v/>
      </c>
      <c r="P30" s="14" t="str">
        <f t="shared" si="0"/>
        <v/>
      </c>
      <c r="Q30" s="14" t="str">
        <f t="shared" si="0"/>
        <v/>
      </c>
      <c r="R30" s="14" t="str">
        <f t="shared" si="0"/>
        <v/>
      </c>
      <c r="S30" s="14" t="str">
        <f t="shared" si="0"/>
        <v/>
      </c>
      <c r="T30" s="14" t="str">
        <f t="shared" si="0"/>
        <v>no</v>
      </c>
      <c r="U30" s="14" t="str">
        <f t="shared" si="1"/>
        <v>kono</v>
      </c>
      <c r="V30" s="13">
        <f>IFERROR(VLOOKUP(LEFT(AZ30,2),BASE!$C$96:$E$342,3,0),IFERROR(VLOOKUP(LEFT(AZ30,1),BASE!$C$96:$E$342,3,0),100))</f>
        <v>100</v>
      </c>
      <c r="W30" s="13">
        <f>IFERROR(VLOOKUP(LEFT(BA30,2),BASE!$C$96:$E$342,3,0),IFERROR(VLOOKUP(LEFT(BA30,1),BASE!$C$96:$E$342,3,0),100))</f>
        <v>100</v>
      </c>
      <c r="X30" s="13">
        <f>IFERROR(VLOOKUP(LEFT(BB30,2),BASE!$C$96:$E$342,3,0),IFERROR(VLOOKUP(LEFT(BB30,1),BASE!$C$96:$E$342,3,0),100))</f>
        <v>100</v>
      </c>
      <c r="Y30" s="13">
        <f>IFERROR(VLOOKUP(LEFT(BC30,2),BASE!$C$96:$E$342,3,0),IFERROR(VLOOKUP(LEFT(BC30,1),BASE!$C$96:$E$342,3,0),100))</f>
        <v>100</v>
      </c>
      <c r="Z30" s="13">
        <f>IFERROR(VLOOKUP(LEFT(BD30,2),BASE!$C$96:$E$342,3,0),IFERROR(VLOOKUP(LEFT(BD30,1),BASE!$C$96:$E$342,3,0),100))</f>
        <v>100</v>
      </c>
      <c r="AA30" s="13">
        <f>IFERROR(VLOOKUP(LEFT(BE30,2),BASE!$C$96:$E$342,3,0),IFERROR(VLOOKUP(LEFT(BE30,1),BASE!$C$96:$E$342,3,0),100))</f>
        <v>100</v>
      </c>
      <c r="AB30" s="13">
        <f>IFERROR(VLOOKUP(LEFT(BF30,2),BASE!$C$96:$E$342,3,0),IFERROR(VLOOKUP(LEFT(BF30,1),BASE!$C$96:$E$342,3,0),100))</f>
        <v>2</v>
      </c>
      <c r="AC30" s="13">
        <f>IFERROR(VLOOKUP(LEFT(BG30,2),BASE!$C$96:$E$342,3,0),IFERROR(VLOOKUP(LEFT(BG30,1),BASE!$C$96:$E$342,3,0),100))</f>
        <v>2</v>
      </c>
      <c r="AD30" s="13">
        <f>IFERROR(VLOOKUP(LEFT(BH30,2),BASE!$C$96:$E$342,3,0),IFERROR(VLOOKUP(LEFT(BH30,1),BASE!$C$96:$E$342,3,0),100))</f>
        <v>2</v>
      </c>
      <c r="AE30" s="13">
        <f>IFERROR(VLOOKUP(LEFT(BI30,2),BASE!$C$96:$E$342,3,0),IFERROR(VLOOKUP(LEFT(BI30,1),BASE!$C$96:$E$342,3,0),100))</f>
        <v>2</v>
      </c>
      <c r="AF30" s="187" t="str">
        <f>IF(AND(BS30=BR30,AG30="o"),"A", (IFERROR(VLOOKUP(LEFT(AZ30,2),BASE!$C$346:$D$592,2,0),IFERROR(VLOOKUP(LEFT(AZ30,1),BASE!$C$346:$D$5922,2,0),AZ30))))</f>
        <v/>
      </c>
      <c r="AG30" s="187" t="str">
        <f>IF(AND(BR30=BQ30,AH30="o"),"A", (IFERROR(VLOOKUP(LEFT(BA30,2),BASE!$C$346:$D$592,2,0),IFERROR(VLOOKUP(LEFT(BA30,1),BASE!$C$346:$D$592,2,0),BA30))))</f>
        <v/>
      </c>
      <c r="AH30" s="187" t="str">
        <f>IF(AND(BQ30=BP30,AI30="o"),"A", (IFERROR(VLOOKUP(LEFT(BB30,2),BASE!$C$346:$D$592,2,0),IFERROR(VLOOKUP(LEFT(BB30,1),BASE!$C$346:$D$592,2,0),BB30))))</f>
        <v/>
      </c>
      <c r="AI30" s="187" t="str">
        <f>IF(AND(BP30=BO30,AJ30="o"),"A", (IFERROR(VLOOKUP(LEFT(BC30,2),BASE!$C$346:$D$592,2,0),IFERROR(VLOOKUP(LEFT(BC30,1),BASE!$C$346:$D$592,2,0),BC30))))</f>
        <v/>
      </c>
      <c r="AJ30" s="187" t="str">
        <f>IF(AND(BO30=BN30,AK30="o"),"A", (IFERROR(VLOOKUP(LEFT(BD30,2),BASE!$C$346:$D$592,2,0),IFERROR(VLOOKUP(LEFT(BD30,1),BASE!$C$346:$D$592,2,0),BD30))))</f>
        <v/>
      </c>
      <c r="AK30" s="187" t="str">
        <f>IF(AND(BN30=BM30,AL30="o"),"A", (IFERROR(VLOOKUP(LEFT(BE30,2),BASE!$C$346:$D$592,2,0),IFERROR(VLOOKUP(LEFT(BE30,1),BASE!$C$346:$D$592,2,0),BE30))))</f>
        <v/>
      </c>
      <c r="AL30" s="187" t="str">
        <f>IF(AND(BM30=BL30,AM30="o"),"A", (IFERROR(VLOOKUP(LEFT(BF30,2),BASE!$C$346:$D$592,2,0),IFERROR(VLOOKUP(LEFT(BF30,1),BASE!$C$346:$D$592,2,0),BF30))))</f>
        <v>o</v>
      </c>
      <c r="AM30" s="187" t="str">
        <f>IF(AND(BL30=BK30,AN30="o"),"A",(IFERROR(VLOOKUP(LEFT(BG30,2),BASE!$C$346:$D$592,2,0),IFERROR(VLOOKUP(LEFT(BG30,1),BASE!$C$346:$D$592,2,0),BG30))))</f>
        <v>n</v>
      </c>
      <c r="AN30" s="187" t="str">
        <f>(IFERROR(VLOOKUP(LEFT(BH30,2),BASE!$C$346:$D$592,2,0),IFERROR(VLOOKUP(LEFT(BH30,1),BASE!$C$346:$D$592,2,0),BH30)))</f>
        <v>o</v>
      </c>
      <c r="AO30" s="187" t="str">
        <f>(IFERROR(VLOOKUP(LEFT(BI30,2),BASE!$C$96:$D$342,2,0),IFERROR(VLOOKUP(LEFT(BI30,1),BASE!$C$96:$D$342,2,0),BI30)))</f>
        <v>k</v>
      </c>
      <c r="AP30" s="5">
        <f t="shared" si="2"/>
        <v>8</v>
      </c>
      <c r="AQ30" s="5">
        <f t="shared" si="2"/>
        <v>8</v>
      </c>
      <c r="AR30" s="5">
        <f t="shared" si="2"/>
        <v>8</v>
      </c>
      <c r="AS30" s="5">
        <f t="shared" si="2"/>
        <v>8</v>
      </c>
      <c r="AT30" s="5">
        <f t="shared" si="2"/>
        <v>8</v>
      </c>
      <c r="AU30" s="5">
        <f t="shared" si="2"/>
        <v>8</v>
      </c>
      <c r="AV30" s="5">
        <f t="shared" si="2"/>
        <v>8</v>
      </c>
      <c r="AW30" s="5">
        <f t="shared" si="2"/>
        <v>8</v>
      </c>
      <c r="AX30" s="5">
        <f t="shared" si="2"/>
        <v>8</v>
      </c>
      <c r="AY30" s="5">
        <f t="shared" si="3"/>
        <v>8</v>
      </c>
      <c r="AZ30" s="12" t="str">
        <f t="shared" si="4"/>
        <v/>
      </c>
      <c r="BA30" s="12" t="str">
        <f t="shared" si="4"/>
        <v/>
      </c>
      <c r="BB30" s="12" t="str">
        <f t="shared" si="4"/>
        <v/>
      </c>
      <c r="BC30" s="12" t="str">
        <f t="shared" si="4"/>
        <v/>
      </c>
      <c r="BD30" s="12" t="str">
        <f t="shared" si="4"/>
        <v/>
      </c>
      <c r="BE30" s="12" t="str">
        <f t="shared" si="4"/>
        <v/>
      </c>
      <c r="BF30" s="12" t="str">
        <f t="shared" si="4"/>
        <v>ன்</v>
      </c>
      <c r="BG30" s="12" t="str">
        <f t="shared" si="4"/>
        <v>றேன்</v>
      </c>
      <c r="BH30" s="43" t="str">
        <f t="shared" si="4"/>
        <v>ற்றேன்</v>
      </c>
      <c r="BI30" s="57" t="str">
        <f>CE12</f>
        <v>பெற்றேன்</v>
      </c>
      <c r="BJ30" s="58" t="str">
        <f>IFERROR(VLOOKUP(LEFT(BI30,2),BASE!$C$96:$F$342,1,0),IFERROR(VLOOKUP(LEFT(BI30,1),BASE!$C$96:$F$342,1,0),BI30))</f>
        <v>பெ</v>
      </c>
      <c r="BK30" s="58" t="str">
        <f>IFERROR(VLOOKUP(LEFT(BH30,2),BASE!$C$96:$D$342,1,0),IFERROR(VLOOKUP(LEFT(BH30,1),BASE!$C$96:$D$342,1,0),BH30))</f>
        <v>ற்</v>
      </c>
      <c r="BL30" s="58" t="str">
        <f>IFERROR(VLOOKUP(LEFT(BG30,2),BASE!$C$96:$D$342,1,0),IFERROR(VLOOKUP(LEFT(BG30,1),BASE!$C$96:$D$342,1,0),BG30))</f>
        <v>றே</v>
      </c>
      <c r="BM30" s="58" t="str">
        <f>IFERROR(VLOOKUP(LEFT(BF30,2),BASE!$C$96:$D$342,1,0),IFERROR(VLOOKUP(LEFT(BF30,1),BASE!$C$96:$D$342,1,0),BF30))</f>
        <v>ன்</v>
      </c>
      <c r="BN30" s="58" t="str">
        <f>IFERROR(VLOOKUP(LEFT(BE30,2),BASE!$C$96:$D$342,1,0),IFERROR(VLOOKUP(LEFT(BE30,1),BASE!$C$96:$D$342,1,0),BE30))</f>
        <v/>
      </c>
      <c r="BO30" s="58" t="str">
        <f>IFERROR(VLOOKUP(LEFT(BD30,2),BASE!$C$96:$D$342,1,0),IFERROR(VLOOKUP(LEFT(BD30,1),BASE!$C$96:$D$342,1,0),BD30))</f>
        <v/>
      </c>
      <c r="BP30" s="58" t="str">
        <f>IFERROR(VLOOKUP(LEFT(BC30,2),BASE!$C$96:$D$342,1,0),IFERROR(VLOOKUP(LEFT(BC30,1),BASE!$C$96:$D$342,1,0),BC30))</f>
        <v/>
      </c>
      <c r="BQ30" s="58" t="str">
        <f>IFERROR(VLOOKUP(LEFT(BB30,2),BASE!$C$96:$D$342,1,0),IFERROR(VLOOKUP(LEFT(BB30,1),BASE!$C$96:$D$342,1,0),BB30))</f>
        <v/>
      </c>
      <c r="BR30" s="58" t="str">
        <f>IFERROR(VLOOKUP(LEFT(BA30,2),BASE!$C$96:$D$342,1,0),IFERROR(VLOOKUP(LEFT(BA30,1),BASE!$C$96:$D$342,1,0),BA30))</f>
        <v/>
      </c>
      <c r="BS30" s="58" t="str">
        <f>IFERROR(VLOOKUP(LEFT(AZ30,2),BASE!$C$96:$D$342,1,0),IFERROR(VLOOKUP(LEFT(AZ30,1),BASE!$C$96:$D$342,1,0),AZ30))</f>
        <v/>
      </c>
      <c r="BT30" s="186" t="str">
        <f>(IFERROR(VLOOKUP(LEFT(BI30,2),BASE!$C$96:$F$342,4,0),IFERROR(VLOOKUP(LEFT(BI30,1),BASE!$C$96:$F$342,4,0),BI30)))</f>
        <v>கு</v>
      </c>
      <c r="BU30" s="186" t="str">
        <f>(IFERROR(VLOOKUP(LEFT(BH30,2),BASE!$C$346:$F$592,4,0),IFERROR(VLOOKUP(LEFT(BH30,1),BASE!$C$346:$F$592,4,0),BH30)))</f>
        <v>ஒ</v>
      </c>
      <c r="BV30" s="186" t="str">
        <f>(IFERROR(VLOOKUP(LEFT(BG30,2),BASE!$C$346:$F$592,4,0),IFERROR(VLOOKUP(LEFT(BG30,1),BASE!$C$346:$F$592,4,0),BG30)))</f>
        <v>நெ</v>
      </c>
      <c r="BW30" s="186" t="str">
        <f>(IFERROR(VLOOKUP(LEFT(BF30,2),BASE!$C$346:$F$592,4,0),IFERROR(VLOOKUP(LEFT(BF30,1),BASE!$C$346:$F$592,4,0),BF30)))</f>
        <v>ஒ</v>
      </c>
      <c r="BX30" s="186" t="str">
        <f>(IFERROR(VLOOKUP(LEFT(BE30,2),BASE!$C$346:$F$592,4,0),IFERROR(VLOOKUP(LEFT(BE30,1),BASE!$C$346:$F$592,4,0),BE30)))</f>
        <v/>
      </c>
      <c r="BY30" s="186" t="str">
        <f>(IFERROR(VLOOKUP(LEFT(BD30,2),BASE!$C$346:$F$592,4,0),IFERROR(VLOOKUP(LEFT(BD30,1),BASE!$C$346:$F$592,4,0),BD30)))</f>
        <v/>
      </c>
      <c r="BZ30" s="186" t="str">
        <f>(IFERROR(VLOOKUP(LEFT(BC30,2),BASE!$C$346:$F$592,4,0),IFERROR(VLOOKUP(LEFT(BC30,1),BASE!$C$346:$F$592,4,0),BC30)))</f>
        <v/>
      </c>
      <c r="CA30" s="186" t="str">
        <f>(IFERROR(VLOOKUP(LEFT(BB30,2),BASE!$C$346:$F$592,4,0),IFERROR(VLOOKUP(LEFT(BB30,1),BASE!$C$346:$F$592,4,0),BB30)))</f>
        <v/>
      </c>
      <c r="CB30" s="186" t="str">
        <f>(IFERROR(VLOOKUP(LEFT(BA30,2),BASE!$C$346:$F$592,4,0),IFERROR(VLOOKUP(LEFT(BA30,1),BASE!$C$346:$F$592,4,0),BA30)))</f>
        <v/>
      </c>
      <c r="CC30" s="186" t="str">
        <f>(IFERROR(VLOOKUP(LEFT(AZ30,2),BASE!$C$346:$F$592,4,0),IFERROR(VLOOKUP(LEFT(AZ30,1),BASE!$C$346:$F$592,4,0),AZ30)))</f>
        <v/>
      </c>
      <c r="CD30" s="58" t="str">
        <f t="shared" si="5"/>
        <v>குஒநெஒ</v>
      </c>
      <c r="CE30" s="58" t="str">
        <f>IFERROR(VLOOKUP((LEFT(U30,4)),BASE!$E$12:$F$23,2,0),IFERROR(VLOOKUP((LEFT(U30,3)),BASE!$E$12:$F$23,2,0),IFERROR(VLOOKUP((LEFT(U30,2)),BASE!$E$12:$F$23,2,0),IFERROR(VLOOKUP((LEFT(U30,1)),BASE!$E$12:$F$23,2,0),U30))))</f>
        <v>நேர்</v>
      </c>
      <c r="CF30" s="58" t="str">
        <f>IFERROR(VLOOKUP((LEFT(T30,4)),BASE!$E$12:$F$24,2,0),IFERROR(VLOOKUP((LEFT(T30,3)),BASE!$E$12:$F$24,2,0),IFERROR(VLOOKUP((LEFT(T30,2)),BASE!$E$12:$F$24,2,0),IFERROR(VLOOKUP((LEFT(T30,1)),BASE!$E$12:$F$24,2,0),T30))))</f>
        <v>நேர்</v>
      </c>
      <c r="CG30" s="58" t="str">
        <f>IFERROR(VLOOKUP((LEFT(S30,4)),BASE!$E$12:$F$23,2,0),IFERROR(VLOOKUP((LEFT(S30,3)),BASE!$E$12:$F$23,2,0),IFERROR(VLOOKUP((LEFT(S30,2)),BASE!$E$12:$F$23,2,0),IFERROR(VLOOKUP((LEFT(S30,1)),BASE!$E$12:$F$23,2,0),S30))))</f>
        <v/>
      </c>
      <c r="CH30" s="58" t="str">
        <f>IFERROR(VLOOKUP((LEFT(R30,4)),BASE!$E$12:$F$23,2,0),IFERROR(VLOOKUP((LEFT(R30,3)),BASE!$E$12:$F$23,2,0),IFERROR(VLOOKUP((LEFT(R30,2)),BASE!$E$12:$F$23,2,0),IFERROR(VLOOKUP((LEFT(R30,1)),BASE!$E$12:$F$23,2,0),R30))))</f>
        <v/>
      </c>
      <c r="CI30" s="58" t="str">
        <f>IFERROR(VLOOKUP((LEFT(Q30,4)),BASE!$E$12:$F$23,2,0),IFERROR(VLOOKUP((LEFT(Q30,3)),BASE!$E$12:$F$23,2,0),IFERROR(VLOOKUP((LEFT(Q30,2)),BASE!$E$12:$F$23,2,0),IFERROR(VLOOKUP((LEFT(Q30,1)),BASE!$E$12:$F$23,2,0),Q30))))</f>
        <v/>
      </c>
      <c r="CJ30" s="58" t="str">
        <f>IFERROR(VLOOKUP((LEFT(P30,4)),BASE!$E$12:$F$23,2,0),IFERROR(VLOOKUP((LEFT(P30,3)),BASE!$E$12:$F$23,2,0),IFERROR(VLOOKUP((LEFT(P30,2)),BASE!$E$12:$F$23,2,0),IFERROR(VLOOKUP((LEFT(P30,1)),BASE!$E$12:$F$23,2,0),P30))))</f>
        <v/>
      </c>
      <c r="CK30" s="58" t="str">
        <f>IFERROR(VLOOKUP((LEFT(O30,4)),BASE!$E$12:$F$23,2,0),IFERROR(VLOOKUP((LEFT(O30,3)),BASE!$E$12:$F$23,2,0),IFERROR(VLOOKUP((LEFT(O30,2)),BASE!$E$12:$F$23,2,0),IFERROR(VLOOKUP((LEFT(O30,1)),BASE!$E$12:$F$23,2,0),O30))))</f>
        <v/>
      </c>
      <c r="CL30" s="58" t="str">
        <f>IFERROR(VLOOKUP((LEFT(N30,4)),BASE!$E$12:$F$23,2,0),IFERROR(VLOOKUP((LEFT(N30,3)),BASE!$E$12:$F$23,2,0),IFERROR(VLOOKUP((LEFT(N30,2)),BASE!$E$12:$F$23,2,0),IFERROR(VLOOKUP((LEFT(N30,1)),BASE!$E$12:$F$23,2,0),N30))))</f>
        <v/>
      </c>
      <c r="CM30" s="58" t="str">
        <f>IFERROR(VLOOKUP((LEFT(M30,4)),BASE!$E$12:$F$23,2,0),IFERROR(VLOOKUP((LEFT(M30,3)),BASE!$E$12:$F$23,2,0),IFERROR(VLOOKUP((LEFT(M30,2)),BASE!$E$12:$F$23,2,0),IFERROR(VLOOKUP((LEFT(M30,1)),BASE!$E$12:$F$23,2,0),M30))))</f>
        <v/>
      </c>
      <c r="CN30" s="58" t="str">
        <f>IFERROR(VLOOKUP((LEFT(L30,4)),BASE!$E$12:$F$23,2,0),IFERROR(VLOOKUP((LEFT(L30,3)),BASE!$E$12:$F$23,2,0),IFERROR(VLOOKUP((LEFT(L30,2)),BASE!$E$12:$F$23,2,0),IFERROR(VLOOKUP((LEFT(L30,1)),BASE!$E$12:$F$23,2,0),L30))))</f>
        <v/>
      </c>
      <c r="CO30" s="58" t="str">
        <f t="shared" si="6"/>
        <v>நேர்நேர்</v>
      </c>
      <c r="CP30" s="58" t="str">
        <f>VLOOKUP(CO30,BASE!$E$25:$F$79,2,0)</f>
        <v>தேமா</v>
      </c>
      <c r="CQ30" s="58" t="str">
        <f>VLOOKUP(CO30,BASE!$E$25:$G$79,3,0)&amp;CE31</f>
        <v>மாநிரை</v>
      </c>
      <c r="CR30" s="58" t="str">
        <f>VLOOKUP(CQ30,BASE!$E$86:$G$93,2,0)</f>
        <v>மாமுன் நிரை</v>
      </c>
      <c r="CS30" s="58" t="str">
        <f>VLOOKUP(CQ30,BASE!$E$86:$G$93,3,0)</f>
        <v>இயற்சீர் வெண்டளை</v>
      </c>
      <c r="CT30" s="58" t="str">
        <f t="shared" si="7"/>
        <v>மூவசைக்கு மிகவில்லை</v>
      </c>
      <c r="CU30" s="58" t="str">
        <f t="shared" si="8"/>
        <v>சரி</v>
      </c>
      <c r="CV30" s="193"/>
    </row>
    <row r="31" spans="1:100" ht="19.5" customHeight="1" x14ac:dyDescent="0.35">
      <c r="A31" s="119"/>
      <c r="B31" s="12">
        <f>IFERROR(VLOOKUP((LEFT(L31,4)),BASE!$E$12:$F$23,1,0),IFERROR(VLOOKUP((LEFT(L31,3)),BASE!$E$12:$F$23,1,0),IFERROR(VLOOKUP((LEFT(L31,2)),BASE!$E$12:$F$23,1,0),IFERROR(VLOOKUP((LEFT(L31,1)),BASE!$E$12:$F$23,1,0),100))))</f>
        <v>100</v>
      </c>
      <c r="C31" s="12">
        <f>IFERROR(VLOOKUP((LEFT(M31,4)),BASE!$E$12:$F$23,1,0),IFERROR(VLOOKUP((LEFT(M31,3)),BASE!$E$12:$F$23,1,0),IFERROR(VLOOKUP((LEFT(M31,2)),BASE!$E$12:$F$23,1,0),IFERROR(VLOOKUP((LEFT(M31,1)),BASE!$E$12:$F$23,1,0),100))))</f>
        <v>100</v>
      </c>
      <c r="D31" s="12">
        <f>IFERROR(VLOOKUP((LEFT(N31,4)),BASE!$E$12:$F$23,1,0),IFERROR(VLOOKUP((LEFT(N31,3)),BASE!$E$12:$F$23,1,0),IFERROR(VLOOKUP((LEFT(N31,2)),BASE!$E$12:$F$23,1,0),IFERROR(VLOOKUP((LEFT(N31,1)),BASE!$E$12:$F$23,1,0),100))))</f>
        <v>100</v>
      </c>
      <c r="E31" s="12">
        <f>IFERROR(VLOOKUP((LEFT(O31,4)),BASE!$E$12:$F$23,1,0),IFERROR(VLOOKUP((LEFT(O31,3)),BASE!$E$12:$F$23,1,0),IFERROR(VLOOKUP((LEFT(O31,2)),BASE!$E$12:$F$23,1,0),IFERROR(VLOOKUP((LEFT(O31,1)),BASE!$E$12:$F$23,1,0),100))))</f>
        <v>100</v>
      </c>
      <c r="F31" s="12">
        <f>IFERROR(VLOOKUP((LEFT(P31,4)),BASE!$E$12:$F$23,1,0),IFERROR(VLOOKUP((LEFT(P31,3)),BASE!$E$12:$F$23,1,0),IFERROR(VLOOKUP((LEFT(P31,2)),BASE!$E$12:$F$23,1,0),IFERROR(VLOOKUP((LEFT(P31,1)),BASE!$E$12:$F$23,1,0),100))))</f>
        <v>100</v>
      </c>
      <c r="G31" s="12">
        <f>IFERROR(VLOOKUP((LEFT(Q31,4)),BASE!$E$12:$F$23,1,0),IFERROR(VLOOKUP((LEFT(Q31,3)),BASE!$E$12:$F$23,1,0),IFERROR(VLOOKUP((LEFT(Q31,2)),BASE!$E$12:$F$23,1,0),IFERROR(VLOOKUP((LEFT(Q31,1)),BASE!$E$12:$F$23,1,0),100))))</f>
        <v>100</v>
      </c>
      <c r="H31" s="12">
        <f>IFERROR(VLOOKUP((LEFT(R31,4)),BASE!$E$12:$F$23,1,0),IFERROR(VLOOKUP((LEFT(R31,3)),BASE!$E$12:$F$23,1,0),IFERROR(VLOOKUP((LEFT(R31,2)),BASE!$E$12:$F$23,1,0),IFERROR(VLOOKUP((LEFT(R31,1)),BASE!$E$12:$F$23,1,0),100))))</f>
        <v>100</v>
      </c>
      <c r="I31" s="12">
        <f>IFERROR(VLOOKUP((LEFT(S31,4)),BASE!$E$12:$F$23,1,0),IFERROR(VLOOKUP((LEFT(S31,3)),BASE!$E$12:$F$23,1,0),IFERROR(VLOOKUP((LEFT(S31,2)),BASE!$E$12:$F$23,1,0),IFERROR(VLOOKUP((LEFT(S31,1)),BASE!$E$12:$F$23,1,0),100))))</f>
        <v>100</v>
      </c>
      <c r="J31" s="12" t="str">
        <f>IFERROR(VLOOKUP((LEFT(T31,4)),BASE!$E$12:$F$24,1,0),IFERROR(VLOOKUP((LEFT(T31,3)),BASE!$E$12:$F$24,1,0),IFERROR(VLOOKUP((LEFT(T31,2)),BASE!$E$12:$F$24,1,0),IFERROR(VLOOKUP((LEFT(T31,1)),BASE!$E$12:$F$24,1,0),100))))</f>
        <v>k</v>
      </c>
      <c r="K31" s="12" t="str">
        <f>IFERROR(VLOOKUP((LEFT(U31,4)),BASE!$E$12:$F$23,1,0),IFERROR(VLOOKUP((LEFT(U31,3)),BASE!$E$12:$F$23,1,0),IFERROR(VLOOKUP((LEFT(U31,2)),BASE!$E$12:$F$23,1,0),IFERROR(VLOOKUP((LEFT(U31,1)),BASE!$E$12:$F$23,1,0),100))))</f>
        <v>kko</v>
      </c>
      <c r="L31" s="14" t="str">
        <f t="shared" si="0"/>
        <v/>
      </c>
      <c r="M31" s="14" t="str">
        <f t="shared" si="0"/>
        <v/>
      </c>
      <c r="N31" s="14" t="str">
        <f t="shared" si="0"/>
        <v/>
      </c>
      <c r="O31" s="14" t="str">
        <f t="shared" si="0"/>
        <v/>
      </c>
      <c r="P31" s="14" t="str">
        <f t="shared" si="0"/>
        <v/>
      </c>
      <c r="Q31" s="14" t="str">
        <f t="shared" si="0"/>
        <v/>
      </c>
      <c r="R31" s="14" t="str">
        <f t="shared" si="0"/>
        <v/>
      </c>
      <c r="S31" s="14" t="str">
        <f t="shared" si="0"/>
        <v/>
      </c>
      <c r="T31" s="14" t="str">
        <f t="shared" si="0"/>
        <v>k</v>
      </c>
      <c r="U31" s="14" t="str">
        <f t="shared" si="1"/>
        <v>kkok</v>
      </c>
      <c r="V31" s="13">
        <f>IFERROR(VLOOKUP(LEFT(AZ31,2),BASE!$C$96:$E$342,3,0),IFERROR(VLOOKUP(LEFT(AZ31,1),BASE!$C$96:$E$342,3,0),100))</f>
        <v>100</v>
      </c>
      <c r="W31" s="13">
        <f>IFERROR(VLOOKUP(LEFT(BA31,2),BASE!$C$96:$E$342,3,0),IFERROR(VLOOKUP(LEFT(BA31,1),BASE!$C$96:$E$342,3,0),100))</f>
        <v>100</v>
      </c>
      <c r="X31" s="13">
        <f>IFERROR(VLOOKUP(LEFT(BB31,2),BASE!$C$96:$E$342,3,0),IFERROR(VLOOKUP(LEFT(BB31,1),BASE!$C$96:$E$342,3,0),100))</f>
        <v>100</v>
      </c>
      <c r="Y31" s="13">
        <f>IFERROR(VLOOKUP(LEFT(BC31,2),BASE!$C$96:$E$342,3,0),IFERROR(VLOOKUP(LEFT(BC31,1),BASE!$C$96:$E$342,3,0),100))</f>
        <v>100</v>
      </c>
      <c r="Z31" s="13">
        <f>IFERROR(VLOOKUP(LEFT(BD31,2),BASE!$C$96:$E$342,3,0),IFERROR(VLOOKUP(LEFT(BD31,1),BASE!$C$96:$E$342,3,0),100))</f>
        <v>100</v>
      </c>
      <c r="AA31" s="13">
        <f>IFERROR(VLOOKUP(LEFT(BE31,2),BASE!$C$96:$E$342,3,0),IFERROR(VLOOKUP(LEFT(BE31,1),BASE!$C$96:$E$342,3,0),100))</f>
        <v>100</v>
      </c>
      <c r="AB31" s="13">
        <f>IFERROR(VLOOKUP(LEFT(BF31,2),BASE!$C$96:$E$342,3,0),IFERROR(VLOOKUP(LEFT(BF31,1),BASE!$C$96:$E$342,3,0),100))</f>
        <v>2</v>
      </c>
      <c r="AC31" s="13">
        <f>IFERROR(VLOOKUP(LEFT(BG31,2),BASE!$C$96:$E$342,3,0),IFERROR(VLOOKUP(LEFT(BG31,1),BASE!$C$96:$E$342,3,0),100))</f>
        <v>2</v>
      </c>
      <c r="AD31" s="13">
        <f>IFERROR(VLOOKUP(LEFT(BH31,2),BASE!$C$96:$E$342,3,0),IFERROR(VLOOKUP(LEFT(BH31,1),BASE!$C$96:$E$342,3,0),100))</f>
        <v>2</v>
      </c>
      <c r="AE31" s="13">
        <f>IFERROR(VLOOKUP(LEFT(BI31,2),BASE!$C$96:$E$342,3,0),IFERROR(VLOOKUP(LEFT(BI31,1),BASE!$C$96:$E$342,3,0),100))</f>
        <v>1</v>
      </c>
      <c r="AF31" s="187" t="str">
        <f>IF(AND(BS31=BR31,AG31="o"),"A", (IFERROR(VLOOKUP(LEFT(AZ31,2),BASE!$C$346:$D$592,2,0),IFERROR(VLOOKUP(LEFT(AZ31,1),BASE!$C$346:$D$5922,2,0),AZ31))))</f>
        <v/>
      </c>
      <c r="AG31" s="187" t="str">
        <f>IF(AND(BR31=BQ31,AH31="o"),"A", (IFERROR(VLOOKUP(LEFT(BA31,2),BASE!$C$346:$D$592,2,0),IFERROR(VLOOKUP(LEFT(BA31,1),BASE!$C$346:$D$592,2,0),BA31))))</f>
        <v/>
      </c>
      <c r="AH31" s="187" t="str">
        <f>IF(AND(BQ31=BP31,AI31="o"),"A", (IFERROR(VLOOKUP(LEFT(BB31,2),BASE!$C$346:$D$592,2,0),IFERROR(VLOOKUP(LEFT(BB31,1),BASE!$C$346:$D$592,2,0),BB31))))</f>
        <v/>
      </c>
      <c r="AI31" s="187" t="str">
        <f>IF(AND(BP31=BO31,AJ31="o"),"A", (IFERROR(VLOOKUP(LEFT(BC31,2),BASE!$C$346:$D$592,2,0),IFERROR(VLOOKUP(LEFT(BC31,1),BASE!$C$346:$D$592,2,0),BC31))))</f>
        <v/>
      </c>
      <c r="AJ31" s="187" t="str">
        <f>IF(AND(BO31=BN31,AK31="o"),"A", (IFERROR(VLOOKUP(LEFT(BD31,2),BASE!$C$346:$D$592,2,0),IFERROR(VLOOKUP(LEFT(BD31,1),BASE!$C$346:$D$592,2,0),BD31))))</f>
        <v/>
      </c>
      <c r="AK31" s="187" t="str">
        <f>IF(AND(BN31=BM31,AL31="o"),"A", (IFERROR(VLOOKUP(LEFT(BE31,2),BASE!$C$346:$D$592,2,0),IFERROR(VLOOKUP(LEFT(BE31,1),BASE!$C$346:$D$592,2,0),BE31))))</f>
        <v/>
      </c>
      <c r="AL31" s="187" t="str">
        <f>IF(AND(BM31=BL31,AM31="o"),"A", (IFERROR(VLOOKUP(LEFT(BF31,2),BASE!$C$346:$D$592,2,0),IFERROR(VLOOKUP(LEFT(BF31,1),BASE!$C$346:$D$592,2,0),BF31))))</f>
        <v>k</v>
      </c>
      <c r="AM31" s="187" t="str">
        <f>IF(AND(BL31=BK31,AN31="o"),"A",(IFERROR(VLOOKUP(LEFT(BG31,2),BASE!$C$346:$D$592,2,0),IFERROR(VLOOKUP(LEFT(BG31,1),BASE!$C$346:$D$592,2,0),BG31))))</f>
        <v>o</v>
      </c>
      <c r="AN31" s="187" t="str">
        <f>(IFERROR(VLOOKUP(LEFT(BH31,2),BASE!$C$346:$D$592,2,0),IFERROR(VLOOKUP(LEFT(BH31,1),BASE!$C$346:$D$592,2,0),BH31)))</f>
        <v>k</v>
      </c>
      <c r="AO31" s="187" t="str">
        <f>(IFERROR(VLOOKUP(LEFT(BI31,2),BASE!$C$96:$D$342,2,0),IFERROR(VLOOKUP(LEFT(BI31,1),BASE!$C$96:$D$342,2,0),BI31)))</f>
        <v>k</v>
      </c>
      <c r="AP31" s="5">
        <f t="shared" si="2"/>
        <v>7</v>
      </c>
      <c r="AQ31" s="5">
        <f t="shared" si="2"/>
        <v>7</v>
      </c>
      <c r="AR31" s="5">
        <f t="shared" si="2"/>
        <v>7</v>
      </c>
      <c r="AS31" s="5">
        <f t="shared" si="2"/>
        <v>7</v>
      </c>
      <c r="AT31" s="5">
        <f t="shared" si="2"/>
        <v>7</v>
      </c>
      <c r="AU31" s="5">
        <f t="shared" si="2"/>
        <v>7</v>
      </c>
      <c r="AV31" s="5">
        <f t="shared" si="2"/>
        <v>7</v>
      </c>
      <c r="AW31" s="5">
        <f t="shared" si="2"/>
        <v>7</v>
      </c>
      <c r="AX31" s="5">
        <f t="shared" si="2"/>
        <v>7</v>
      </c>
      <c r="AY31" s="5">
        <f t="shared" si="3"/>
        <v>7</v>
      </c>
      <c r="AZ31" s="12" t="str">
        <f t="shared" si="4"/>
        <v/>
      </c>
      <c r="BA31" s="12" t="str">
        <f t="shared" si="4"/>
        <v/>
      </c>
      <c r="BB31" s="12" t="str">
        <f t="shared" si="4"/>
        <v/>
      </c>
      <c r="BC31" s="12" t="str">
        <f t="shared" si="4"/>
        <v/>
      </c>
      <c r="BD31" s="12" t="str">
        <f t="shared" si="4"/>
        <v/>
      </c>
      <c r="BE31" s="12" t="str">
        <f t="shared" si="4"/>
        <v/>
      </c>
      <c r="BF31" s="12" t="str">
        <f t="shared" si="4"/>
        <v>து</v>
      </c>
      <c r="BG31" s="12" t="str">
        <f t="shared" si="4"/>
        <v>ந்து</v>
      </c>
      <c r="BH31" s="43" t="str">
        <f t="shared" si="4"/>
        <v>றிந்து</v>
      </c>
      <c r="BI31" s="57" t="str">
        <f>CF12</f>
        <v>அறிந்து</v>
      </c>
      <c r="BJ31" s="58" t="str">
        <f>IFERROR(VLOOKUP(LEFT(BI31,2),BASE!$C$96:$F$342,1,0),IFERROR(VLOOKUP(LEFT(BI31,1),BASE!$C$96:$F$342,1,0),BI31))</f>
        <v>அ</v>
      </c>
      <c r="BK31" s="58" t="str">
        <f>IFERROR(VLOOKUP(LEFT(BH31,2),BASE!$C$96:$D$342,1,0),IFERROR(VLOOKUP(LEFT(BH31,1),BASE!$C$96:$D$342,1,0),BH31))</f>
        <v>றி</v>
      </c>
      <c r="BL31" s="58" t="str">
        <f>IFERROR(VLOOKUP(LEFT(BG31,2),BASE!$C$96:$D$342,1,0),IFERROR(VLOOKUP(LEFT(BG31,1),BASE!$C$96:$D$342,1,0),BG31))</f>
        <v>ந்</v>
      </c>
      <c r="BM31" s="58" t="str">
        <f>IFERROR(VLOOKUP(LEFT(BF31,2),BASE!$C$96:$D$342,1,0),IFERROR(VLOOKUP(LEFT(BF31,1),BASE!$C$96:$D$342,1,0),BF31))</f>
        <v>து</v>
      </c>
      <c r="BN31" s="58" t="str">
        <f>IFERROR(VLOOKUP(LEFT(BE31,2),BASE!$C$96:$D$342,1,0),IFERROR(VLOOKUP(LEFT(BE31,1),BASE!$C$96:$D$342,1,0),BE31))</f>
        <v/>
      </c>
      <c r="BO31" s="58" t="str">
        <f>IFERROR(VLOOKUP(LEFT(BD31,2),BASE!$C$96:$D$342,1,0),IFERROR(VLOOKUP(LEFT(BD31,1),BASE!$C$96:$D$342,1,0),BD31))</f>
        <v/>
      </c>
      <c r="BP31" s="58" t="str">
        <f>IFERROR(VLOOKUP(LEFT(BC31,2),BASE!$C$96:$D$342,1,0),IFERROR(VLOOKUP(LEFT(BC31,1),BASE!$C$96:$D$342,1,0),BC31))</f>
        <v/>
      </c>
      <c r="BQ31" s="58" t="str">
        <f>IFERROR(VLOOKUP(LEFT(BB31,2),BASE!$C$96:$D$342,1,0),IFERROR(VLOOKUP(LEFT(BB31,1),BASE!$C$96:$D$342,1,0),BB31))</f>
        <v/>
      </c>
      <c r="BR31" s="58" t="str">
        <f>IFERROR(VLOOKUP(LEFT(BA31,2),BASE!$C$96:$D$342,1,0),IFERROR(VLOOKUP(LEFT(BA31,1),BASE!$C$96:$D$342,1,0),BA31))</f>
        <v/>
      </c>
      <c r="BS31" s="58" t="str">
        <f>IFERROR(VLOOKUP(LEFT(AZ31,2),BASE!$C$96:$D$342,1,0),IFERROR(VLOOKUP(LEFT(AZ31,1),BASE!$C$96:$D$342,1,0),AZ31))</f>
        <v/>
      </c>
      <c r="BT31" s="186" t="str">
        <f>(IFERROR(VLOOKUP(LEFT(BI31,2),BASE!$C$96:$F$342,4,0),IFERROR(VLOOKUP(LEFT(BI31,1),BASE!$C$96:$F$342,4,0),BI31)))</f>
        <v>கு</v>
      </c>
      <c r="BU31" s="186" t="str">
        <f>(IFERROR(VLOOKUP(LEFT(BH31,2),BASE!$C$346:$F$592,4,0),IFERROR(VLOOKUP(LEFT(BH31,1),BASE!$C$346:$F$592,4,0),BH31)))</f>
        <v>கு</v>
      </c>
      <c r="BV31" s="186" t="str">
        <f>(IFERROR(VLOOKUP(LEFT(BG31,2),BASE!$C$346:$F$592,4,0),IFERROR(VLOOKUP(LEFT(BG31,1),BASE!$C$346:$F$592,4,0),BG31)))</f>
        <v>ஒ</v>
      </c>
      <c r="BW31" s="186" t="str">
        <f>(IFERROR(VLOOKUP(LEFT(BF31,2),BASE!$C$346:$F$592,4,0),IFERROR(VLOOKUP(LEFT(BF31,1),BASE!$C$346:$F$592,4,0),BF31)))</f>
        <v>கு</v>
      </c>
      <c r="BX31" s="186" t="str">
        <f>(IFERROR(VLOOKUP(LEFT(BE31,2),BASE!$C$346:$F$592,4,0),IFERROR(VLOOKUP(LEFT(BE31,1),BASE!$C$346:$F$592,4,0),BE31)))</f>
        <v/>
      </c>
      <c r="BY31" s="186" t="str">
        <f>(IFERROR(VLOOKUP(LEFT(BD31,2),BASE!$C$346:$F$592,4,0),IFERROR(VLOOKUP(LEFT(BD31,1),BASE!$C$346:$F$592,4,0),BD31)))</f>
        <v/>
      </c>
      <c r="BZ31" s="186" t="str">
        <f>(IFERROR(VLOOKUP(LEFT(BC31,2),BASE!$C$346:$F$592,4,0),IFERROR(VLOOKUP(LEFT(BC31,1),BASE!$C$346:$F$592,4,0),BC31)))</f>
        <v/>
      </c>
      <c r="CA31" s="186" t="str">
        <f>(IFERROR(VLOOKUP(LEFT(BB31,2),BASE!$C$346:$F$592,4,0),IFERROR(VLOOKUP(LEFT(BB31,1),BASE!$C$346:$F$592,4,0),BB31)))</f>
        <v/>
      </c>
      <c r="CB31" s="186" t="str">
        <f>(IFERROR(VLOOKUP(LEFT(BA31,2),BASE!$C$346:$F$592,4,0),IFERROR(VLOOKUP(LEFT(BA31,1),BASE!$C$346:$F$592,4,0),BA31)))</f>
        <v/>
      </c>
      <c r="CC31" s="186" t="str">
        <f>(IFERROR(VLOOKUP(LEFT(AZ31,2),BASE!$C$346:$F$592,4,0),IFERROR(VLOOKUP(LEFT(AZ31,1),BASE!$C$346:$F$592,4,0),AZ31)))</f>
        <v/>
      </c>
      <c r="CD31" s="58" t="str">
        <f t="shared" si="5"/>
        <v>குகுஒகு</v>
      </c>
      <c r="CE31" s="58" t="str">
        <f>IFERROR(VLOOKUP((LEFT(U31,4)),BASE!$E$12:$F$23,2,0),IFERROR(VLOOKUP((LEFT(U31,3)),BASE!$E$12:$F$23,2,0),IFERROR(VLOOKUP((LEFT(U31,2)),BASE!$E$12:$F$23,2,0),IFERROR(VLOOKUP((LEFT(U31,1)),BASE!$E$12:$F$23,2,0),U31))))</f>
        <v>நிரை</v>
      </c>
      <c r="CF31" s="58" t="str">
        <f>IFERROR(VLOOKUP((LEFT(T31,4)),BASE!$E$12:$F$24,2,0),IFERROR(VLOOKUP((LEFT(T31,3)),BASE!$E$12:$F$24,2,0),IFERROR(VLOOKUP((LEFT(T31,2)),BASE!$E$12:$F$24,2,0),IFERROR(VLOOKUP((LEFT(T31,1)),BASE!$E$12:$F$24,2,0),T31))))</f>
        <v>நேர்</v>
      </c>
      <c r="CG31" s="58" t="str">
        <f>IFERROR(VLOOKUP((LEFT(S31,4)),BASE!$E$12:$F$23,2,0),IFERROR(VLOOKUP((LEFT(S31,3)),BASE!$E$12:$F$23,2,0),IFERROR(VLOOKUP((LEFT(S31,2)),BASE!$E$12:$F$23,2,0),IFERROR(VLOOKUP((LEFT(S31,1)),BASE!$E$12:$F$23,2,0),S31))))</f>
        <v/>
      </c>
      <c r="CH31" s="58" t="str">
        <f>IFERROR(VLOOKUP((LEFT(R31,4)),BASE!$E$12:$F$23,2,0),IFERROR(VLOOKUP((LEFT(R31,3)),BASE!$E$12:$F$23,2,0),IFERROR(VLOOKUP((LEFT(R31,2)),BASE!$E$12:$F$23,2,0),IFERROR(VLOOKUP((LEFT(R31,1)),BASE!$E$12:$F$23,2,0),R31))))</f>
        <v/>
      </c>
      <c r="CI31" s="58" t="str">
        <f>IFERROR(VLOOKUP((LEFT(Q31,4)),BASE!$E$12:$F$23,2,0),IFERROR(VLOOKUP((LEFT(Q31,3)),BASE!$E$12:$F$23,2,0),IFERROR(VLOOKUP((LEFT(Q31,2)),BASE!$E$12:$F$23,2,0),IFERROR(VLOOKUP((LEFT(Q31,1)),BASE!$E$12:$F$23,2,0),Q31))))</f>
        <v/>
      </c>
      <c r="CJ31" s="58" t="str">
        <f>IFERROR(VLOOKUP((LEFT(P31,4)),BASE!$E$12:$F$23,2,0),IFERROR(VLOOKUP((LEFT(P31,3)),BASE!$E$12:$F$23,2,0),IFERROR(VLOOKUP((LEFT(P31,2)),BASE!$E$12:$F$23,2,0),IFERROR(VLOOKUP((LEFT(P31,1)),BASE!$E$12:$F$23,2,0),P31))))</f>
        <v/>
      </c>
      <c r="CK31" s="58" t="str">
        <f>IFERROR(VLOOKUP((LEFT(O31,4)),BASE!$E$12:$F$23,2,0),IFERROR(VLOOKUP((LEFT(O31,3)),BASE!$E$12:$F$23,2,0),IFERROR(VLOOKUP((LEFT(O31,2)),BASE!$E$12:$F$23,2,0),IFERROR(VLOOKUP((LEFT(O31,1)),BASE!$E$12:$F$23,2,0),O31))))</f>
        <v/>
      </c>
      <c r="CL31" s="58" t="str">
        <f>IFERROR(VLOOKUP((LEFT(N31,4)),BASE!$E$12:$F$23,2,0),IFERROR(VLOOKUP((LEFT(N31,3)),BASE!$E$12:$F$23,2,0),IFERROR(VLOOKUP((LEFT(N31,2)),BASE!$E$12:$F$23,2,0),IFERROR(VLOOKUP((LEFT(N31,1)),BASE!$E$12:$F$23,2,0),N31))))</f>
        <v/>
      </c>
      <c r="CM31" s="58" t="str">
        <f>IFERROR(VLOOKUP((LEFT(M31,4)),BASE!$E$12:$F$23,2,0),IFERROR(VLOOKUP((LEFT(M31,3)),BASE!$E$12:$F$23,2,0),IFERROR(VLOOKUP((LEFT(M31,2)),BASE!$E$12:$F$23,2,0),IFERROR(VLOOKUP((LEFT(M31,1)),BASE!$E$12:$F$23,2,0),M31))))</f>
        <v/>
      </c>
      <c r="CN31" s="58" t="str">
        <f>IFERROR(VLOOKUP((LEFT(L31,4)),BASE!$E$12:$F$23,2,0),IFERROR(VLOOKUP((LEFT(L31,3)),BASE!$E$12:$F$23,2,0),IFERROR(VLOOKUP((LEFT(L31,2)),BASE!$E$12:$F$23,2,0),IFERROR(VLOOKUP((LEFT(L31,1)),BASE!$E$12:$F$23,2,0),L31))))</f>
        <v/>
      </c>
      <c r="CO31" s="58" t="str">
        <f t="shared" si="6"/>
        <v>நிரைநேர்</v>
      </c>
      <c r="CP31" s="58" t="str">
        <f>VLOOKUP(CO31,BASE!E81:F84,2,0)</f>
        <v>பிறப்பு</v>
      </c>
      <c r="CQ31" s="58"/>
      <c r="CR31" s="58"/>
      <c r="CS31" s="58"/>
      <c r="CT31" s="58" t="str">
        <f>IF((OR(CG31="நிரை",CG31="நேர்")),"இரு அசைகட்கு மிகக்கூடாது","ஈரசைக்கு மிகவில்லை")</f>
        <v>ஈரசைக்கு மிகவில்லை</v>
      </c>
      <c r="CU31" s="58" t="str">
        <f>IFERROR((IF((OR(CP31="நாள்",CP31="மலர்",CP31="காசு",CP31="பிறப்பு")),"சரி","தளை தட்டுகிறது")),"பிழை")</f>
        <v>சரி</v>
      </c>
      <c r="CV31" s="193"/>
    </row>
    <row r="32" spans="1:100" s="82" customFormat="1" ht="19.5" customHeight="1" x14ac:dyDescent="0.35">
      <c r="A32" s="1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12"/>
      <c r="BA32" s="12"/>
      <c r="BB32" s="12"/>
      <c r="BC32" s="12"/>
      <c r="BD32" s="12"/>
      <c r="BE32" s="12"/>
      <c r="BF32" s="12"/>
      <c r="BG32" s="12"/>
      <c r="BH32" s="43"/>
      <c r="BI32" s="48"/>
      <c r="BJ32" s="31"/>
      <c r="BK32" s="31"/>
      <c r="BL32" s="31"/>
      <c r="BM32" s="31"/>
      <c r="BN32" s="31"/>
      <c r="BO32" s="31"/>
      <c r="BP32" s="31"/>
      <c r="BQ32" s="31"/>
      <c r="BR32" s="31"/>
      <c r="BS32" s="31"/>
      <c r="BT32" s="31"/>
      <c r="BU32" s="31"/>
      <c r="BV32" s="31"/>
      <c r="BW32" s="31"/>
      <c r="BX32" s="31"/>
      <c r="BY32" s="31"/>
      <c r="BZ32" s="31"/>
      <c r="CA32" s="31"/>
      <c r="CB32" s="31"/>
      <c r="CC32" s="31"/>
      <c r="CD32" s="31"/>
      <c r="CE32" s="31"/>
      <c r="CF32" s="31"/>
      <c r="CG32" s="31"/>
      <c r="CH32" s="31"/>
      <c r="CI32" s="31"/>
      <c r="CJ32" s="31"/>
      <c r="CK32" s="31"/>
      <c r="CL32" s="31"/>
      <c r="CM32" s="31"/>
      <c r="CN32" s="31"/>
      <c r="CO32" s="31"/>
      <c r="CP32" s="31"/>
      <c r="CQ32" s="31"/>
      <c r="CR32" s="31"/>
      <c r="CS32" s="31"/>
      <c r="CT32" s="31"/>
      <c r="CU32" s="31"/>
      <c r="CV32" s="49"/>
    </row>
    <row r="33" spans="1:100" s="82" customFormat="1" ht="19.5" customHeight="1" x14ac:dyDescent="0.35">
      <c r="A33" s="1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12"/>
      <c r="BA33" s="12"/>
      <c r="BB33" s="12"/>
      <c r="BC33" s="12"/>
      <c r="BD33" s="12"/>
      <c r="BE33" s="12"/>
      <c r="BF33" s="12"/>
      <c r="BG33" s="12"/>
      <c r="BH33" s="43"/>
      <c r="BI33" s="48"/>
      <c r="BJ33" s="31"/>
      <c r="BK33" s="31"/>
      <c r="BL33" s="31"/>
      <c r="BM33" s="31"/>
      <c r="BN33" s="31"/>
      <c r="BO33" s="31"/>
      <c r="BP33" s="31"/>
      <c r="BQ33" s="31"/>
      <c r="BR33" s="31"/>
      <c r="BS33" s="31"/>
      <c r="BT33" s="31"/>
      <c r="BU33" s="31"/>
      <c r="BV33" s="31"/>
      <c r="BW33" s="31"/>
      <c r="BX33" s="31"/>
      <c r="BY33" s="31"/>
      <c r="BZ33" s="31"/>
      <c r="CA33" s="31"/>
      <c r="CB33" s="31"/>
      <c r="CC33" s="31"/>
      <c r="CD33" s="31"/>
      <c r="CE33" s="31"/>
      <c r="CF33" s="31"/>
      <c r="CG33" s="31"/>
      <c r="CH33" s="31"/>
      <c r="CI33" s="31"/>
      <c r="CJ33" s="31"/>
      <c r="CK33" s="31"/>
      <c r="CL33" s="31"/>
      <c r="CM33" s="31"/>
      <c r="CN33" s="31"/>
      <c r="CO33" s="31"/>
      <c r="CP33" s="31"/>
      <c r="CQ33" s="31"/>
      <c r="CR33" s="31"/>
      <c r="CS33" s="31"/>
      <c r="CT33" s="31"/>
      <c r="CU33" s="31"/>
      <c r="CV33" s="49"/>
    </row>
    <row r="34" spans="1:100" s="82" customFormat="1" ht="19.5" customHeight="1" thickBot="1" x14ac:dyDescent="0.4">
      <c r="A34" s="1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12"/>
      <c r="BA34" s="12"/>
      <c r="BB34" s="12"/>
      <c r="BC34" s="12"/>
      <c r="BD34" s="12"/>
      <c r="BE34" s="12"/>
      <c r="BF34" s="12"/>
      <c r="BG34" s="12"/>
      <c r="BH34" s="43"/>
      <c r="BI34" s="54"/>
      <c r="BJ34" s="55"/>
      <c r="BK34" s="55"/>
      <c r="BL34" s="55"/>
      <c r="BM34" s="55"/>
      <c r="BN34" s="55"/>
      <c r="BO34" s="55"/>
      <c r="BP34" s="55"/>
      <c r="BQ34" s="55"/>
      <c r="BR34" s="55"/>
      <c r="BS34" s="55"/>
      <c r="BT34" s="55"/>
      <c r="BU34" s="55"/>
      <c r="BV34" s="55"/>
      <c r="BW34" s="55"/>
      <c r="BX34" s="55"/>
      <c r="BY34" s="55"/>
      <c r="BZ34" s="55"/>
      <c r="CA34" s="55"/>
      <c r="CB34" s="55"/>
      <c r="CC34" s="55"/>
      <c r="CD34" s="55"/>
      <c r="CE34" s="55"/>
      <c r="CF34" s="55"/>
      <c r="CG34" s="55"/>
      <c r="CH34" s="55"/>
      <c r="CI34" s="55"/>
      <c r="CJ34" s="55"/>
      <c r="CK34" s="55"/>
      <c r="CL34" s="55"/>
      <c r="CM34" s="55"/>
      <c r="CN34" s="55"/>
      <c r="CO34" s="55"/>
      <c r="CP34" s="55"/>
      <c r="CQ34" s="55"/>
      <c r="CR34" s="55"/>
      <c r="CS34" s="55"/>
      <c r="CT34" s="55"/>
      <c r="CU34" s="55"/>
      <c r="CV34" s="56"/>
    </row>
    <row r="35" spans="1:100" s="82" customFormat="1" ht="19.5" customHeight="1" x14ac:dyDescent="0.35">
      <c r="B35" s="80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1"/>
    </row>
    <row r="36" spans="1:100" s="82" customFormat="1" ht="19.5" customHeight="1" x14ac:dyDescent="0.35"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</row>
    <row r="37" spans="1:100" s="82" customFormat="1" ht="19.5" customHeight="1" x14ac:dyDescent="0.35">
      <c r="B37" s="80"/>
      <c r="C37" s="80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</row>
    <row r="38" spans="1:100" s="82" customFormat="1" ht="19.5" customHeight="1" x14ac:dyDescent="0.35">
      <c r="B38" s="80"/>
      <c r="C38" s="80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</row>
    <row r="39" spans="1:100" s="82" customFormat="1" ht="19.5" customHeight="1" x14ac:dyDescent="0.35">
      <c r="B39" s="80"/>
      <c r="C39" s="80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</row>
    <row r="40" spans="1:100" s="82" customFormat="1" ht="19.5" customHeight="1" x14ac:dyDescent="0.35">
      <c r="B40" s="80"/>
      <c r="C40" s="80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</row>
    <row r="41" spans="1:100" s="82" customFormat="1" ht="19.5" customHeight="1" x14ac:dyDescent="0.35">
      <c r="B41" s="80"/>
      <c r="C41" s="80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</row>
    <row r="42" spans="1:100" s="82" customFormat="1" ht="19.5" customHeight="1" x14ac:dyDescent="0.35">
      <c r="B42" s="80"/>
      <c r="C42" s="80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  <c r="O42" s="80"/>
      <c r="P42" s="80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</row>
    <row r="43" spans="1:100" s="82" customFormat="1" ht="19.5" customHeight="1" x14ac:dyDescent="0.35"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</row>
    <row r="44" spans="1:100" s="82" customFormat="1" ht="19.5" customHeight="1" x14ac:dyDescent="0.35">
      <c r="B44" s="80"/>
      <c r="C44" s="80"/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</row>
    <row r="45" spans="1:100" s="82" customFormat="1" ht="19.5" customHeight="1" x14ac:dyDescent="0.35">
      <c r="B45" s="80"/>
      <c r="C45" s="80"/>
      <c r="D45" s="80"/>
      <c r="E45" s="80"/>
      <c r="F45" s="80"/>
      <c r="G45" s="80"/>
      <c r="H45" s="80"/>
      <c r="I45" s="80"/>
      <c r="J45" s="80"/>
      <c r="K45" s="80"/>
      <c r="L45" s="80"/>
      <c r="M45" s="80"/>
      <c r="N45" s="80"/>
      <c r="O45" s="80"/>
      <c r="P45" s="80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</row>
    <row r="46" spans="1:100" s="82" customFormat="1" ht="19.5" customHeight="1" x14ac:dyDescent="0.35">
      <c r="B46" s="80"/>
      <c r="C46" s="80"/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</row>
    <row r="47" spans="1:100" s="82" customFormat="1" ht="19.5" customHeight="1" x14ac:dyDescent="0.35">
      <c r="B47" s="80"/>
      <c r="C47" s="80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</row>
    <row r="48" spans="1:100" s="82" customFormat="1" ht="15.75" customHeight="1" x14ac:dyDescent="0.35">
      <c r="B48" s="80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3"/>
    </row>
    <row r="49" spans="60:92" s="82" customFormat="1" ht="29.25" customHeight="1" x14ac:dyDescent="0.35">
      <c r="BH49" s="84"/>
      <c r="BI49" s="85"/>
      <c r="BJ49" s="86"/>
      <c r="BK49" s="86"/>
      <c r="BL49" s="86"/>
      <c r="BM49" s="86"/>
      <c r="BN49" s="84"/>
      <c r="BO49" s="84"/>
      <c r="BP49" s="84"/>
      <c r="BQ49" s="84"/>
      <c r="BR49" s="84"/>
      <c r="BS49" s="84"/>
      <c r="BT49" s="84"/>
      <c r="BU49" s="84"/>
      <c r="BV49" s="84"/>
      <c r="BW49" s="84"/>
      <c r="BX49" s="84"/>
      <c r="BY49" s="84"/>
      <c r="BZ49" s="84"/>
      <c r="CA49" s="84"/>
      <c r="CB49" s="84"/>
      <c r="CC49" s="84"/>
      <c r="CD49" s="84"/>
      <c r="CE49" s="84"/>
      <c r="CF49" s="84"/>
      <c r="CG49" s="84"/>
      <c r="CH49" s="84"/>
      <c r="CI49" s="84"/>
      <c r="CJ49" s="84"/>
      <c r="CK49" s="84"/>
      <c r="CL49" s="84"/>
      <c r="CM49" s="84"/>
      <c r="CN49" s="84"/>
    </row>
    <row r="50" spans="60:92" s="82" customFormat="1" ht="15.75" customHeight="1" x14ac:dyDescent="0.35">
      <c r="BH50" s="84"/>
      <c r="BI50" s="85"/>
      <c r="BJ50" s="86"/>
      <c r="BK50" s="86"/>
      <c r="BL50" s="86"/>
      <c r="BM50" s="86"/>
      <c r="BN50" s="84"/>
      <c r="BO50" s="84"/>
      <c r="BP50" s="84"/>
      <c r="BQ50" s="84"/>
      <c r="BR50" s="84"/>
      <c r="BS50" s="84"/>
      <c r="BT50" s="84"/>
      <c r="BU50" s="84"/>
      <c r="BV50" s="84"/>
      <c r="BW50" s="84"/>
      <c r="BX50" s="84"/>
      <c r="BY50" s="84"/>
      <c r="BZ50" s="84"/>
      <c r="CA50" s="84"/>
      <c r="CB50" s="84"/>
      <c r="CC50" s="84"/>
      <c r="CD50" s="84"/>
      <c r="CE50" s="84"/>
      <c r="CF50" s="84"/>
      <c r="CG50" s="84"/>
      <c r="CH50" s="84"/>
      <c r="CI50" s="84"/>
      <c r="CJ50" s="84"/>
      <c r="CK50" s="84"/>
      <c r="CL50" s="84"/>
      <c r="CM50" s="84"/>
      <c r="CN50" s="84"/>
    </row>
    <row r="51" spans="60:92" s="82" customFormat="1" ht="18" x14ac:dyDescent="0.35">
      <c r="BH51" s="84"/>
      <c r="BI51" s="85"/>
      <c r="BJ51" s="86"/>
      <c r="BK51" s="86"/>
      <c r="BL51" s="86"/>
      <c r="BM51" s="86"/>
      <c r="BN51" s="84"/>
      <c r="BO51" s="84"/>
      <c r="BP51" s="84"/>
      <c r="BQ51" s="84"/>
      <c r="BR51" s="84"/>
      <c r="BS51" s="84"/>
      <c r="BT51" s="84"/>
      <c r="BU51" s="84"/>
      <c r="BV51" s="84"/>
      <c r="BW51" s="84"/>
      <c r="BX51" s="84"/>
      <c r="BY51" s="84"/>
      <c r="BZ51" s="84"/>
      <c r="CA51" s="84"/>
      <c r="CB51" s="84"/>
      <c r="CC51" s="84"/>
      <c r="CD51" s="84"/>
      <c r="CE51" s="84"/>
      <c r="CF51" s="84"/>
      <c r="CG51" s="84"/>
      <c r="CH51" s="84"/>
      <c r="CI51" s="84"/>
      <c r="CJ51" s="84"/>
      <c r="CK51" s="84"/>
      <c r="CL51" s="84"/>
      <c r="CM51" s="84"/>
      <c r="CN51" s="84"/>
    </row>
    <row r="52" spans="60:92" s="82" customFormat="1" ht="18" x14ac:dyDescent="0.35">
      <c r="BH52" s="84"/>
      <c r="BI52" s="85"/>
      <c r="BJ52" s="86"/>
      <c r="BK52" s="86"/>
      <c r="BL52" s="86"/>
      <c r="BM52" s="86"/>
      <c r="BN52" s="84"/>
      <c r="BO52" s="84"/>
      <c r="BP52" s="84"/>
      <c r="BQ52" s="84"/>
      <c r="BR52" s="84"/>
      <c r="BS52" s="84"/>
      <c r="BT52" s="84"/>
      <c r="BU52" s="84"/>
      <c r="BV52" s="84"/>
      <c r="BW52" s="84"/>
      <c r="BX52" s="84"/>
      <c r="BY52" s="84"/>
      <c r="BZ52" s="84"/>
      <c r="CA52" s="84"/>
      <c r="CB52" s="84"/>
      <c r="CC52" s="84"/>
      <c r="CD52" s="84"/>
      <c r="CE52" s="84"/>
      <c r="CF52" s="84"/>
      <c r="CG52" s="84"/>
      <c r="CH52" s="84"/>
      <c r="CI52" s="84"/>
      <c r="CJ52" s="84"/>
      <c r="CK52" s="84"/>
      <c r="CL52" s="84"/>
      <c r="CM52" s="84"/>
      <c r="CN52" s="84"/>
    </row>
    <row r="53" spans="60:92" s="82" customFormat="1" ht="18" x14ac:dyDescent="0.35">
      <c r="BH53" s="84"/>
      <c r="BI53" s="85"/>
      <c r="BJ53" s="86"/>
      <c r="BK53" s="86"/>
      <c r="BL53" s="86"/>
      <c r="BM53" s="86"/>
      <c r="BN53" s="84"/>
      <c r="BO53" s="84"/>
      <c r="BP53" s="84"/>
      <c r="BQ53" s="84"/>
      <c r="BR53" s="84"/>
      <c r="BS53" s="84"/>
      <c r="BT53" s="84"/>
      <c r="BU53" s="84"/>
      <c r="BV53" s="84"/>
      <c r="BW53" s="84"/>
      <c r="BX53" s="84"/>
      <c r="BY53" s="84"/>
      <c r="BZ53" s="84"/>
      <c r="CA53" s="84"/>
      <c r="CB53" s="84"/>
      <c r="CC53" s="84"/>
      <c r="CD53" s="84"/>
      <c r="CE53" s="84"/>
      <c r="CF53" s="84"/>
      <c r="CG53" s="84"/>
      <c r="CH53" s="84"/>
      <c r="CI53" s="84"/>
      <c r="CJ53" s="84"/>
      <c r="CK53" s="84"/>
      <c r="CL53" s="84"/>
      <c r="CM53" s="84"/>
      <c r="CN53" s="84"/>
    </row>
    <row r="54" spans="60:92" ht="15.75" customHeight="1" x14ac:dyDescent="0.35">
      <c r="BH54"/>
      <c r="BI54" s="16"/>
      <c r="BJ54" s="10"/>
      <c r="BK54" s="10"/>
      <c r="BL54" s="10"/>
      <c r="BM54" s="10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</row>
    <row r="55" spans="60:92" ht="15.75" customHeight="1" x14ac:dyDescent="0.35">
      <c r="BH55"/>
      <c r="BI55" s="16"/>
      <c r="BJ55" s="10"/>
      <c r="BK55" s="10"/>
      <c r="BL55" s="10"/>
      <c r="BM55" s="10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</row>
    <row r="56" spans="60:92" ht="15.75" customHeight="1" x14ac:dyDescent="0.35">
      <c r="BH56"/>
      <c r="BI56" s="1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</row>
    <row r="57" spans="60:92" ht="15.75" customHeight="1" x14ac:dyDescent="0.35">
      <c r="BH57"/>
      <c r="BI57" s="16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</row>
    <row r="58" spans="60:92" ht="15.75" customHeight="1" x14ac:dyDescent="0.35">
      <c r="BH58"/>
      <c r="BI58" s="16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</row>
    <row r="59" spans="60:92" ht="15.75" customHeight="1" x14ac:dyDescent="0.35">
      <c r="BH59"/>
      <c r="BI59" s="16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</row>
    <row r="60" spans="60:92" ht="15.75" customHeight="1" x14ac:dyDescent="0.35">
      <c r="BH60"/>
      <c r="BI60" s="16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</row>
    <row r="61" spans="60:92" ht="15.75" customHeight="1" x14ac:dyDescent="0.35">
      <c r="BH61"/>
      <c r="BI61" s="16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</row>
    <row r="62" spans="60:92" ht="15.75" customHeight="1" x14ac:dyDescent="0.35">
      <c r="BH62"/>
      <c r="BI62" s="16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</row>
    <row r="63" spans="60:92" ht="15.75" customHeight="1" x14ac:dyDescent="0.35">
      <c r="BH63"/>
      <c r="BI63" s="16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</row>
    <row r="64" spans="60:92" ht="15.75" customHeight="1" x14ac:dyDescent="0.35">
      <c r="BH64"/>
      <c r="BI64" s="16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</row>
    <row r="65" spans="60:92" ht="15.75" customHeight="1" x14ac:dyDescent="0.35">
      <c r="BH65"/>
      <c r="BI65" s="16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</row>
    <row r="66" spans="60:92" ht="15.75" customHeight="1" x14ac:dyDescent="0.35">
      <c r="BH66"/>
      <c r="BI66" s="1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</row>
    <row r="67" spans="60:92" ht="15.75" customHeight="1" x14ac:dyDescent="0.35">
      <c r="BH67"/>
      <c r="BI67" s="16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</row>
    <row r="68" spans="60:92" ht="15.75" customHeight="1" x14ac:dyDescent="0.35">
      <c r="BH68"/>
      <c r="BI68" s="16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</row>
    <row r="69" spans="60:92" ht="15.75" customHeight="1" x14ac:dyDescent="0.35">
      <c r="BH69"/>
      <c r="BI69" s="16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</row>
    <row r="70" spans="60:92" ht="15.75" customHeight="1" x14ac:dyDescent="0.35">
      <c r="BH70"/>
      <c r="BI70" s="16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</row>
    <row r="71" spans="60:92" ht="15.75" customHeight="1" x14ac:dyDescent="0.35">
      <c r="BH71"/>
      <c r="BI71" s="16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</row>
    <row r="72" spans="60:92" ht="15.75" customHeight="1" x14ac:dyDescent="0.35">
      <c r="BH72"/>
      <c r="BI72" s="16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</row>
    <row r="73" spans="60:92" ht="15.75" customHeight="1" x14ac:dyDescent="0.35">
      <c r="BH73"/>
      <c r="BI73" s="16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</row>
    <row r="74" spans="60:92" ht="15.75" customHeight="1" x14ac:dyDescent="0.35">
      <c r="BH74"/>
      <c r="BI74" s="16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</row>
    <row r="75" spans="60:92" ht="15.75" customHeight="1" x14ac:dyDescent="0.35">
      <c r="BH75"/>
      <c r="BI75" s="16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</row>
    <row r="76" spans="60:92" ht="15.75" customHeight="1" x14ac:dyDescent="0.35">
      <c r="BH76"/>
      <c r="BI76" s="1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</row>
    <row r="77" spans="60:92" ht="15.75" customHeight="1" x14ac:dyDescent="0.35">
      <c r="BH77"/>
      <c r="BI77" s="16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</row>
    <row r="78" spans="60:92" ht="15.75" customHeight="1" x14ac:dyDescent="0.35">
      <c r="BH78"/>
      <c r="BI78" s="16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</row>
    <row r="79" spans="60:92" ht="15.75" customHeight="1" x14ac:dyDescent="0.35">
      <c r="BH79"/>
      <c r="BI79" s="16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</row>
    <row r="80" spans="60:92" ht="15.75" customHeight="1" x14ac:dyDescent="0.35">
      <c r="BH80"/>
      <c r="BI80" s="16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</row>
    <row r="81" spans="60:92" ht="15.75" customHeight="1" x14ac:dyDescent="0.35">
      <c r="BH81"/>
      <c r="BI81" s="16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</row>
    <row r="82" spans="60:92" ht="15.75" customHeight="1" x14ac:dyDescent="0.35">
      <c r="BH82"/>
      <c r="BI82" s="16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</row>
    <row r="83" spans="60:92" ht="15.75" customHeight="1" x14ac:dyDescent="0.35">
      <c r="BH83"/>
      <c r="BI83" s="16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</row>
    <row r="84" spans="60:92" ht="15.75" customHeight="1" x14ac:dyDescent="0.35">
      <c r="BH84"/>
      <c r="BI84" s="16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</row>
    <row r="85" spans="60:92" ht="15.75" customHeight="1" x14ac:dyDescent="0.35">
      <c r="BH85"/>
      <c r="BI85" s="16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</row>
    <row r="86" spans="60:92" ht="15.75" customHeight="1" x14ac:dyDescent="0.35">
      <c r="BH86"/>
      <c r="BI86" s="1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</row>
    <row r="87" spans="60:92" ht="15.75" customHeight="1" x14ac:dyDescent="0.35">
      <c r="BH87"/>
      <c r="BI87" s="16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</row>
    <row r="88" spans="60:92" ht="15.75" customHeight="1" x14ac:dyDescent="0.35">
      <c r="BH88"/>
      <c r="BI88" s="16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</row>
    <row r="89" spans="60:92" ht="15.75" customHeight="1" x14ac:dyDescent="0.35">
      <c r="BH89"/>
      <c r="BI89" s="16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</row>
    <row r="90" spans="60:92" ht="15.75" customHeight="1" x14ac:dyDescent="0.35">
      <c r="BH90"/>
      <c r="BI90" s="16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</row>
    <row r="91" spans="60:92" ht="15.75" customHeight="1" x14ac:dyDescent="0.35">
      <c r="BH91"/>
      <c r="BI91" s="16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</row>
    <row r="92" spans="60:92" ht="15.75" customHeight="1" x14ac:dyDescent="0.35">
      <c r="BH92"/>
      <c r="BI92" s="16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</row>
    <row r="93" spans="60:92" ht="15.75" customHeight="1" x14ac:dyDescent="0.35">
      <c r="BH93"/>
      <c r="BI93" s="16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</row>
    <row r="94" spans="60:92" ht="15.75" customHeight="1" x14ac:dyDescent="0.35">
      <c r="BH94"/>
      <c r="BI94" s="16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</row>
    <row r="95" spans="60:92" ht="15.75" customHeight="1" x14ac:dyDescent="0.35">
      <c r="BH95"/>
      <c r="BI95" s="16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</row>
    <row r="96" spans="60:92" ht="15.75" customHeight="1" x14ac:dyDescent="0.35">
      <c r="BH96"/>
      <c r="BI96" s="1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</row>
    <row r="97" spans="63:64" ht="15.75" customHeight="1" x14ac:dyDescent="0.45">
      <c r="BK97" s="2"/>
      <c r="BL97" s="2"/>
    </row>
    <row r="98" spans="63:64" ht="15.75" customHeight="1" x14ac:dyDescent="0.45">
      <c r="BK98" s="2"/>
      <c r="BL98" s="2"/>
    </row>
    <row r="99" spans="63:64" ht="15.75" customHeight="1" x14ac:dyDescent="0.45">
      <c r="BK99" s="2"/>
      <c r="BL99" s="2"/>
    </row>
    <row r="100" spans="63:64" ht="15.75" customHeight="1" x14ac:dyDescent="0.45">
      <c r="BK100" s="2"/>
      <c r="BL100" s="2"/>
    </row>
    <row r="101" spans="63:64" ht="15.75" customHeight="1" x14ac:dyDescent="0.45">
      <c r="BK101" s="2"/>
      <c r="BL101" s="2"/>
    </row>
    <row r="102" spans="63:64" ht="15.75" customHeight="1" x14ac:dyDescent="0.45">
      <c r="BK102" s="2"/>
      <c r="BL102" s="2"/>
    </row>
    <row r="103" spans="63:64" ht="15.75" customHeight="1" x14ac:dyDescent="0.45">
      <c r="BK103" s="2"/>
      <c r="BL103" s="2"/>
    </row>
    <row r="104" spans="63:64" ht="15.75" customHeight="1" x14ac:dyDescent="0.45">
      <c r="BK104" s="2"/>
      <c r="BL104" s="2"/>
    </row>
    <row r="105" spans="63:64" ht="15.75" customHeight="1" x14ac:dyDescent="0.45">
      <c r="BK105" s="2"/>
      <c r="BL105" s="2"/>
    </row>
    <row r="106" spans="63:64" ht="15.75" customHeight="1" x14ac:dyDescent="0.45">
      <c r="BK106" s="2"/>
      <c r="BL106" s="2"/>
    </row>
    <row r="107" spans="63:64" ht="15.75" customHeight="1" x14ac:dyDescent="0.45">
      <c r="BK107" s="2"/>
      <c r="BL107" s="2"/>
    </row>
    <row r="108" spans="63:64" ht="15.75" customHeight="1" x14ac:dyDescent="0.45">
      <c r="BK108" s="2"/>
      <c r="BL108" s="2"/>
    </row>
    <row r="109" spans="63:64" ht="15.75" customHeight="1" x14ac:dyDescent="0.45">
      <c r="BK109" s="2"/>
      <c r="BL109" s="2"/>
    </row>
    <row r="110" spans="63:64" ht="15.75" customHeight="1" x14ac:dyDescent="0.45">
      <c r="BK110" s="2"/>
      <c r="BL110" s="2"/>
    </row>
    <row r="111" spans="63:64" ht="15.75" customHeight="1" x14ac:dyDescent="0.45">
      <c r="BK111" s="2"/>
      <c r="BL111" s="2"/>
    </row>
    <row r="112" spans="63:64" ht="15.75" customHeight="1" x14ac:dyDescent="0.45">
      <c r="BK112" s="2"/>
      <c r="BL112" s="2"/>
    </row>
    <row r="113" spans="63:64" ht="15.75" customHeight="1" x14ac:dyDescent="0.45">
      <c r="BK113" s="2"/>
      <c r="BL113" s="2"/>
    </row>
    <row r="114" spans="63:64" ht="15.75" customHeight="1" x14ac:dyDescent="0.45">
      <c r="BK114" s="2"/>
      <c r="BL114" s="2"/>
    </row>
    <row r="115" spans="63:64" ht="15.75" customHeight="1" x14ac:dyDescent="0.45">
      <c r="BK115" s="2"/>
      <c r="BL115" s="2"/>
    </row>
    <row r="116" spans="63:64" ht="15.75" customHeight="1" x14ac:dyDescent="0.45">
      <c r="BK116" s="2"/>
      <c r="BL116" s="2"/>
    </row>
    <row r="117" spans="63:64" ht="15.75" customHeight="1" x14ac:dyDescent="0.45">
      <c r="BK117" s="2"/>
      <c r="BL117" s="2"/>
    </row>
    <row r="118" spans="63:64" ht="15.75" customHeight="1" x14ac:dyDescent="0.45">
      <c r="BK118" s="2"/>
      <c r="BL118" s="2"/>
    </row>
    <row r="119" spans="63:64" ht="15.75" customHeight="1" x14ac:dyDescent="0.45">
      <c r="BK119" s="2"/>
      <c r="BL119" s="2"/>
    </row>
    <row r="120" spans="63:64" ht="15.75" customHeight="1" x14ac:dyDescent="0.45">
      <c r="BK120" s="2"/>
      <c r="BL120" s="2"/>
    </row>
    <row r="121" spans="63:64" ht="15.75" customHeight="1" x14ac:dyDescent="0.45">
      <c r="BK121" s="2"/>
      <c r="BL121" s="2"/>
    </row>
    <row r="122" spans="63:64" ht="15.75" customHeight="1" x14ac:dyDescent="0.45">
      <c r="BK122" s="2"/>
      <c r="BL122" s="2"/>
    </row>
    <row r="123" spans="63:64" ht="15.75" customHeight="1" x14ac:dyDescent="0.45">
      <c r="BK123" s="2"/>
      <c r="BL123" s="2"/>
    </row>
    <row r="124" spans="63:64" ht="15.75" customHeight="1" x14ac:dyDescent="0.45">
      <c r="BK124" s="2"/>
      <c r="BL124" s="2"/>
    </row>
    <row r="125" spans="63:64" ht="15.75" customHeight="1" x14ac:dyDescent="0.45">
      <c r="BK125" s="2"/>
      <c r="BL125" s="2"/>
    </row>
    <row r="126" spans="63:64" ht="15.75" customHeight="1" x14ac:dyDescent="0.45">
      <c r="BK126" s="2"/>
      <c r="BL126" s="2"/>
    </row>
    <row r="127" spans="63:64" ht="15.75" customHeight="1" x14ac:dyDescent="0.45">
      <c r="BK127" s="2"/>
      <c r="BL127" s="2"/>
    </row>
    <row r="128" spans="63:64" ht="15.75" customHeight="1" x14ac:dyDescent="0.45">
      <c r="BK128" s="2"/>
      <c r="BL128" s="2"/>
    </row>
    <row r="129" spans="63:64" ht="15.75" customHeight="1" x14ac:dyDescent="0.45">
      <c r="BK129" s="2"/>
      <c r="BL129" s="2"/>
    </row>
    <row r="130" spans="63:64" ht="15.75" customHeight="1" x14ac:dyDescent="0.45">
      <c r="BK130" s="2"/>
      <c r="BL130" s="2"/>
    </row>
    <row r="131" spans="63:64" ht="15.75" customHeight="1" x14ac:dyDescent="0.45">
      <c r="BK131" s="2"/>
      <c r="BL131" s="2"/>
    </row>
    <row r="132" spans="63:64" ht="15.75" customHeight="1" x14ac:dyDescent="0.45">
      <c r="BK132" s="2"/>
      <c r="BL132" s="2"/>
    </row>
    <row r="133" spans="63:64" ht="15.75" customHeight="1" x14ac:dyDescent="0.45">
      <c r="BK133" s="2"/>
      <c r="BL133" s="2"/>
    </row>
    <row r="134" spans="63:64" ht="15.75" customHeight="1" x14ac:dyDescent="0.45">
      <c r="BK134" s="2"/>
      <c r="BL134" s="2"/>
    </row>
    <row r="135" spans="63:64" ht="15.75" customHeight="1" x14ac:dyDescent="0.45">
      <c r="BK135" s="2"/>
      <c r="BL135" s="2"/>
    </row>
    <row r="136" spans="63:64" ht="15.75" customHeight="1" x14ac:dyDescent="0.45">
      <c r="BK136" s="2"/>
      <c r="BL136" s="2"/>
    </row>
    <row r="137" spans="63:64" ht="15.75" customHeight="1" x14ac:dyDescent="0.45">
      <c r="BK137" s="2"/>
      <c r="BL137" s="2"/>
    </row>
    <row r="138" spans="63:64" ht="15.75" customHeight="1" x14ac:dyDescent="0.45">
      <c r="BK138" s="2"/>
      <c r="BL138" s="2"/>
    </row>
    <row r="139" spans="63:64" ht="15.75" customHeight="1" x14ac:dyDescent="0.45">
      <c r="BK139" s="2"/>
      <c r="BL139" s="2"/>
    </row>
    <row r="140" spans="63:64" ht="15.75" customHeight="1" x14ac:dyDescent="0.45">
      <c r="BK140" s="2"/>
      <c r="BL140" s="2"/>
    </row>
    <row r="141" spans="63:64" ht="15.75" customHeight="1" x14ac:dyDescent="0.45">
      <c r="BK141" s="2"/>
      <c r="BL141" s="2"/>
    </row>
    <row r="142" spans="63:64" ht="15.75" customHeight="1" x14ac:dyDescent="0.45">
      <c r="BK142" s="2"/>
      <c r="BL142" s="2"/>
    </row>
    <row r="143" spans="63:64" ht="15.75" customHeight="1" x14ac:dyDescent="0.45">
      <c r="BK143" s="2"/>
      <c r="BL143" s="2"/>
    </row>
    <row r="144" spans="63:64" ht="15.75" customHeight="1" x14ac:dyDescent="0.45">
      <c r="BK144" s="2"/>
      <c r="BL144" s="2"/>
    </row>
    <row r="145" spans="63:64" ht="15.75" customHeight="1" x14ac:dyDescent="0.45">
      <c r="BK145" s="2"/>
      <c r="BL145" s="2"/>
    </row>
    <row r="146" spans="63:64" ht="15.75" customHeight="1" x14ac:dyDescent="0.45">
      <c r="BK146" s="2"/>
      <c r="BL146" s="2"/>
    </row>
    <row r="147" spans="63:64" ht="15.75" customHeight="1" x14ac:dyDescent="0.45">
      <c r="BK147" s="2"/>
      <c r="BL147" s="2"/>
    </row>
    <row r="148" spans="63:64" ht="15.75" customHeight="1" x14ac:dyDescent="0.45">
      <c r="BK148" s="2"/>
      <c r="BL148" s="2"/>
    </row>
    <row r="149" spans="63:64" ht="15.75" customHeight="1" x14ac:dyDescent="0.45">
      <c r="BK149" s="2"/>
      <c r="BL149" s="2"/>
    </row>
    <row r="150" spans="63:64" ht="15.75" customHeight="1" x14ac:dyDescent="0.45">
      <c r="BK150" s="2"/>
      <c r="BL150" s="2"/>
    </row>
    <row r="151" spans="63:64" ht="15.75" customHeight="1" x14ac:dyDescent="0.45">
      <c r="BK151" s="2"/>
      <c r="BL151" s="2"/>
    </row>
    <row r="152" spans="63:64" ht="15.75" customHeight="1" x14ac:dyDescent="0.45">
      <c r="BK152" s="2"/>
      <c r="BL152" s="2"/>
    </row>
    <row r="153" spans="63:64" ht="15.75" customHeight="1" x14ac:dyDescent="0.45">
      <c r="BK153" s="2"/>
      <c r="BL153" s="2"/>
    </row>
    <row r="154" spans="63:64" ht="15.75" customHeight="1" x14ac:dyDescent="0.45">
      <c r="BK154" s="2"/>
      <c r="BL154" s="2"/>
    </row>
    <row r="155" spans="63:64" ht="15.75" customHeight="1" x14ac:dyDescent="0.45">
      <c r="BK155" s="2"/>
      <c r="BL155" s="2"/>
    </row>
    <row r="156" spans="63:64" ht="15.75" customHeight="1" x14ac:dyDescent="0.45">
      <c r="BK156" s="2"/>
      <c r="BL156" s="2"/>
    </row>
    <row r="157" spans="63:64" ht="15.75" customHeight="1" x14ac:dyDescent="0.45">
      <c r="BK157" s="2"/>
      <c r="BL157" s="2"/>
    </row>
    <row r="158" spans="63:64" ht="15.75" customHeight="1" x14ac:dyDescent="0.45">
      <c r="BK158" s="2"/>
      <c r="BL158" s="2"/>
    </row>
    <row r="159" spans="63:64" ht="15.75" customHeight="1" x14ac:dyDescent="0.45">
      <c r="BK159" s="2"/>
      <c r="BL159" s="2"/>
    </row>
    <row r="160" spans="63:64" ht="15.75" customHeight="1" x14ac:dyDescent="0.45">
      <c r="BK160" s="2"/>
      <c r="BL160" s="2"/>
    </row>
    <row r="161" spans="63:64" ht="15.75" customHeight="1" x14ac:dyDescent="0.45">
      <c r="BK161" s="2"/>
      <c r="BL161" s="2"/>
    </row>
    <row r="162" spans="63:64" ht="15.75" customHeight="1" x14ac:dyDescent="0.45">
      <c r="BK162" s="2"/>
      <c r="BL162" s="2"/>
    </row>
    <row r="163" spans="63:64" ht="15.75" customHeight="1" x14ac:dyDescent="0.45">
      <c r="BK163" s="2"/>
      <c r="BL163" s="2"/>
    </row>
    <row r="164" spans="63:64" ht="15.75" customHeight="1" x14ac:dyDescent="0.45">
      <c r="BK164" s="2"/>
      <c r="BL164" s="2"/>
    </row>
    <row r="165" spans="63:64" ht="15.75" customHeight="1" x14ac:dyDescent="0.45">
      <c r="BK165" s="2"/>
      <c r="BL165" s="2"/>
    </row>
    <row r="166" spans="63:64" ht="15.75" customHeight="1" x14ac:dyDescent="0.45">
      <c r="BK166" s="2"/>
      <c r="BL166" s="2"/>
    </row>
    <row r="167" spans="63:64" ht="15.75" customHeight="1" x14ac:dyDescent="0.45">
      <c r="BK167" s="2"/>
      <c r="BL167" s="2"/>
    </row>
    <row r="168" spans="63:64" ht="15.75" customHeight="1" x14ac:dyDescent="0.45">
      <c r="BK168" s="2"/>
      <c r="BL168" s="2"/>
    </row>
    <row r="169" spans="63:64" ht="15.75" customHeight="1" x14ac:dyDescent="0.45">
      <c r="BK169" s="2"/>
      <c r="BL169" s="2"/>
    </row>
    <row r="170" spans="63:64" ht="15.75" customHeight="1" x14ac:dyDescent="0.45">
      <c r="BK170" s="2"/>
      <c r="BL170" s="2"/>
    </row>
    <row r="171" spans="63:64" ht="15.75" customHeight="1" x14ac:dyDescent="0.45">
      <c r="BK171" s="2"/>
      <c r="BL171" s="2"/>
    </row>
    <row r="172" spans="63:64" ht="15.75" customHeight="1" x14ac:dyDescent="0.45">
      <c r="BK172" s="2"/>
      <c r="BL172" s="2"/>
    </row>
    <row r="173" spans="63:64" ht="15.75" customHeight="1" x14ac:dyDescent="0.45">
      <c r="BK173" s="2"/>
      <c r="BL173" s="2"/>
    </row>
    <row r="174" spans="63:64" ht="15.75" customHeight="1" x14ac:dyDescent="0.45">
      <c r="BK174" s="2"/>
      <c r="BL174" s="2"/>
    </row>
    <row r="175" spans="63:64" ht="15.75" customHeight="1" x14ac:dyDescent="0.45">
      <c r="BK175" s="2"/>
      <c r="BL175" s="2"/>
    </row>
    <row r="176" spans="63:64" ht="15.75" customHeight="1" x14ac:dyDescent="0.45">
      <c r="BK176" s="2"/>
      <c r="BL176" s="2"/>
    </row>
    <row r="177" spans="63:64" ht="15.75" customHeight="1" x14ac:dyDescent="0.45">
      <c r="BK177" s="2"/>
      <c r="BL177" s="2"/>
    </row>
    <row r="178" spans="63:64" ht="15.75" customHeight="1" x14ac:dyDescent="0.45">
      <c r="BK178" s="2"/>
      <c r="BL178" s="2"/>
    </row>
    <row r="179" spans="63:64" ht="15.75" customHeight="1" x14ac:dyDescent="0.45">
      <c r="BK179" s="2"/>
      <c r="BL179" s="2"/>
    </row>
    <row r="180" spans="63:64" ht="15.75" customHeight="1" x14ac:dyDescent="0.45">
      <c r="BK180" s="2"/>
      <c r="BL180" s="2"/>
    </row>
    <row r="181" spans="63:64" ht="15.75" customHeight="1" x14ac:dyDescent="0.45">
      <c r="BK181" s="2"/>
      <c r="BL181" s="2"/>
    </row>
    <row r="182" spans="63:64" ht="15.75" customHeight="1" x14ac:dyDescent="0.45">
      <c r="BK182" s="2"/>
      <c r="BL182" s="2"/>
    </row>
    <row r="183" spans="63:64" ht="15.75" customHeight="1" x14ac:dyDescent="0.45">
      <c r="BK183" s="2"/>
      <c r="BL183" s="2"/>
    </row>
    <row r="184" spans="63:64" ht="15.75" customHeight="1" x14ac:dyDescent="0.45">
      <c r="BK184" s="2"/>
      <c r="BL184" s="2"/>
    </row>
    <row r="185" spans="63:64" ht="15.75" customHeight="1" x14ac:dyDescent="0.45">
      <c r="BK185" s="2"/>
      <c r="BL185" s="2"/>
    </row>
    <row r="186" spans="63:64" ht="15.75" customHeight="1" x14ac:dyDescent="0.45">
      <c r="BK186" s="2"/>
      <c r="BL186" s="2"/>
    </row>
    <row r="187" spans="63:64" ht="15.75" customHeight="1" x14ac:dyDescent="0.45">
      <c r="BK187" s="2"/>
      <c r="BL187" s="2"/>
    </row>
    <row r="188" spans="63:64" ht="15.75" customHeight="1" x14ac:dyDescent="0.45">
      <c r="BK188" s="2"/>
      <c r="BL188" s="2"/>
    </row>
    <row r="189" spans="63:64" ht="15.75" customHeight="1" x14ac:dyDescent="0.45">
      <c r="BK189" s="2"/>
      <c r="BL189" s="2"/>
    </row>
    <row r="190" spans="63:64" ht="15.75" customHeight="1" x14ac:dyDescent="0.45">
      <c r="BK190" s="2"/>
      <c r="BL190" s="2"/>
    </row>
    <row r="191" spans="63:64" ht="15.75" customHeight="1" x14ac:dyDescent="0.45">
      <c r="BK191" s="2"/>
      <c r="BL191" s="2"/>
    </row>
    <row r="192" spans="63:64" ht="15.75" customHeight="1" x14ac:dyDescent="0.45">
      <c r="BK192" s="2"/>
      <c r="BL192" s="2"/>
    </row>
    <row r="193" spans="63:64" ht="15.75" customHeight="1" x14ac:dyDescent="0.45">
      <c r="BK193" s="2"/>
      <c r="BL193" s="2"/>
    </row>
    <row r="194" spans="63:64" ht="15.75" customHeight="1" x14ac:dyDescent="0.45">
      <c r="BK194" s="2"/>
      <c r="BL194" s="2"/>
    </row>
    <row r="195" spans="63:64" ht="15.75" customHeight="1" x14ac:dyDescent="0.45">
      <c r="BK195" s="2"/>
      <c r="BL195" s="2"/>
    </row>
    <row r="196" spans="63:64" ht="15.75" customHeight="1" x14ac:dyDescent="0.45">
      <c r="BK196" s="2"/>
      <c r="BL196" s="2"/>
    </row>
    <row r="197" spans="63:64" ht="15.75" customHeight="1" x14ac:dyDescent="0.45">
      <c r="BK197" s="2"/>
      <c r="BL197" s="2"/>
    </row>
    <row r="198" spans="63:64" ht="15.75" customHeight="1" x14ac:dyDescent="0.45">
      <c r="BK198" s="2"/>
      <c r="BL198" s="2"/>
    </row>
    <row r="199" spans="63:64" ht="15.75" customHeight="1" x14ac:dyDescent="0.45">
      <c r="BK199" s="2"/>
      <c r="BL199" s="2"/>
    </row>
    <row r="200" spans="63:64" ht="15.75" customHeight="1" x14ac:dyDescent="0.45">
      <c r="BK200" s="2"/>
      <c r="BL200" s="2"/>
    </row>
    <row r="201" spans="63:64" ht="15.75" customHeight="1" x14ac:dyDescent="0.45">
      <c r="BK201" s="2"/>
      <c r="BL201" s="2"/>
    </row>
    <row r="202" spans="63:64" ht="15.75" customHeight="1" x14ac:dyDescent="0.45">
      <c r="BK202" s="2"/>
      <c r="BL202" s="2"/>
    </row>
    <row r="203" spans="63:64" ht="15.75" customHeight="1" x14ac:dyDescent="0.45">
      <c r="BK203" s="2"/>
      <c r="BL203" s="2"/>
    </row>
    <row r="204" spans="63:64" ht="15.75" customHeight="1" x14ac:dyDescent="0.45">
      <c r="BK204" s="2"/>
      <c r="BL204" s="2"/>
    </row>
    <row r="205" spans="63:64" ht="15.75" customHeight="1" x14ac:dyDescent="0.45">
      <c r="BK205" s="2"/>
      <c r="BL205" s="2"/>
    </row>
    <row r="206" spans="63:64" ht="15.75" customHeight="1" x14ac:dyDescent="0.45">
      <c r="BK206" s="2"/>
      <c r="BL206" s="2"/>
    </row>
    <row r="207" spans="63:64" ht="15.75" customHeight="1" x14ac:dyDescent="0.45">
      <c r="BK207" s="2"/>
      <c r="BL207" s="2"/>
    </row>
    <row r="208" spans="63:64" ht="15.75" customHeight="1" x14ac:dyDescent="0.45">
      <c r="BK208" s="2"/>
      <c r="BL208" s="2"/>
    </row>
    <row r="209" spans="63:64" ht="15.75" customHeight="1" x14ac:dyDescent="0.45">
      <c r="BK209" s="2"/>
      <c r="BL209" s="2"/>
    </row>
    <row r="210" spans="63:64" ht="15.75" customHeight="1" x14ac:dyDescent="0.45">
      <c r="BK210" s="2"/>
      <c r="BL210" s="2"/>
    </row>
    <row r="211" spans="63:64" ht="15.75" customHeight="1" x14ac:dyDescent="0.45">
      <c r="BK211" s="2"/>
      <c r="BL211" s="2"/>
    </row>
    <row r="212" spans="63:64" ht="15.75" customHeight="1" x14ac:dyDescent="0.45">
      <c r="BK212" s="2"/>
      <c r="BL212" s="2"/>
    </row>
    <row r="213" spans="63:64" ht="15.75" customHeight="1" x14ac:dyDescent="0.45">
      <c r="BK213" s="2"/>
      <c r="BL213" s="2"/>
    </row>
    <row r="214" spans="63:64" ht="15.75" customHeight="1" x14ac:dyDescent="0.45">
      <c r="BK214" s="2"/>
      <c r="BL214" s="2"/>
    </row>
    <row r="215" spans="63:64" ht="15.75" customHeight="1" x14ac:dyDescent="0.45">
      <c r="BK215" s="2"/>
      <c r="BL215" s="2"/>
    </row>
    <row r="216" spans="63:64" ht="15.75" customHeight="1" x14ac:dyDescent="0.45">
      <c r="BK216" s="2"/>
      <c r="BL216" s="2"/>
    </row>
    <row r="217" spans="63:64" ht="15.75" customHeight="1" x14ac:dyDescent="0.45">
      <c r="BK217" s="2"/>
      <c r="BL217" s="2"/>
    </row>
    <row r="218" spans="63:64" ht="15.75" customHeight="1" x14ac:dyDescent="0.45">
      <c r="BK218" s="2"/>
      <c r="BL218" s="2"/>
    </row>
    <row r="219" spans="63:64" ht="15.75" customHeight="1" x14ac:dyDescent="0.45">
      <c r="BK219" s="2"/>
      <c r="BL219" s="2"/>
    </row>
    <row r="220" spans="63:64" ht="15.75" customHeight="1" x14ac:dyDescent="0.45">
      <c r="BK220" s="2"/>
      <c r="BL220" s="2"/>
    </row>
    <row r="221" spans="63:64" ht="15.75" customHeight="1" x14ac:dyDescent="0.45">
      <c r="BK221" s="2"/>
      <c r="BL221" s="2"/>
    </row>
    <row r="222" spans="63:64" ht="15.75" customHeight="1" x14ac:dyDescent="0.45">
      <c r="BK222" s="2"/>
      <c r="BL222" s="2"/>
    </row>
    <row r="223" spans="63:64" ht="15.75" customHeight="1" x14ac:dyDescent="0.45">
      <c r="BK223" s="2"/>
      <c r="BL223" s="2"/>
    </row>
    <row r="224" spans="63:64" ht="15.75" customHeight="1" x14ac:dyDescent="0.45">
      <c r="BK224" s="2"/>
      <c r="BL224" s="2"/>
    </row>
    <row r="225" spans="63:64" ht="15.75" customHeight="1" x14ac:dyDescent="0.45">
      <c r="BK225" s="2"/>
      <c r="BL225" s="2"/>
    </row>
    <row r="226" spans="63:64" ht="15.75" customHeight="1" x14ac:dyDescent="0.45">
      <c r="BK226" s="2"/>
      <c r="BL226" s="2"/>
    </row>
    <row r="227" spans="63:64" ht="15.75" customHeight="1" x14ac:dyDescent="0.45">
      <c r="BK227" s="2"/>
      <c r="BL227" s="2"/>
    </row>
    <row r="228" spans="63:64" ht="15.75" customHeight="1" x14ac:dyDescent="0.45">
      <c r="BK228" s="2"/>
      <c r="BL228" s="2"/>
    </row>
    <row r="229" spans="63:64" ht="15.75" customHeight="1" x14ac:dyDescent="0.45">
      <c r="BK229" s="2"/>
      <c r="BL229" s="2"/>
    </row>
    <row r="230" spans="63:64" ht="15.75" customHeight="1" x14ac:dyDescent="0.45">
      <c r="BK230" s="2"/>
      <c r="BL230" s="2"/>
    </row>
    <row r="231" spans="63:64" ht="15.75" customHeight="1" x14ac:dyDescent="0.45">
      <c r="BK231" s="2"/>
      <c r="BL231" s="2"/>
    </row>
    <row r="232" spans="63:64" ht="15.75" customHeight="1" x14ac:dyDescent="0.45">
      <c r="BK232" s="2"/>
      <c r="BL232" s="2"/>
    </row>
    <row r="233" spans="63:64" ht="15.75" customHeight="1" x14ac:dyDescent="0.45">
      <c r="BK233" s="2"/>
      <c r="BL233" s="2"/>
    </row>
    <row r="234" spans="63:64" ht="15.75" customHeight="1" x14ac:dyDescent="0.45">
      <c r="BK234" s="2"/>
      <c r="BL234" s="2"/>
    </row>
    <row r="235" spans="63:64" ht="15.75" customHeight="1" x14ac:dyDescent="0.45">
      <c r="BK235" s="2"/>
      <c r="BL235" s="2"/>
    </row>
    <row r="236" spans="63:64" ht="15.75" customHeight="1" x14ac:dyDescent="0.45">
      <c r="BK236" s="2"/>
      <c r="BL236" s="2"/>
    </row>
    <row r="237" spans="63:64" ht="15.75" customHeight="1" x14ac:dyDescent="0.45">
      <c r="BK237" s="2"/>
      <c r="BL237" s="2"/>
    </row>
    <row r="238" spans="63:64" ht="15.75" customHeight="1" x14ac:dyDescent="0.45">
      <c r="BK238" s="2"/>
      <c r="BL238" s="2"/>
    </row>
    <row r="239" spans="63:64" ht="15.75" customHeight="1" x14ac:dyDescent="0.45">
      <c r="BK239" s="2"/>
      <c r="BL239" s="2"/>
    </row>
    <row r="240" spans="63:64" ht="15.75" customHeight="1" x14ac:dyDescent="0.45">
      <c r="BK240" s="2"/>
      <c r="BL240" s="2"/>
    </row>
    <row r="241" spans="63:64" ht="15.75" customHeight="1" x14ac:dyDescent="0.45">
      <c r="BK241" s="2"/>
      <c r="BL241" s="2"/>
    </row>
    <row r="242" spans="63:64" ht="15.75" customHeight="1" x14ac:dyDescent="0.45">
      <c r="BK242" s="2"/>
      <c r="BL242" s="2"/>
    </row>
    <row r="243" spans="63:64" ht="15.75" customHeight="1" x14ac:dyDescent="0.45">
      <c r="BK243" s="2"/>
      <c r="BL243" s="2"/>
    </row>
    <row r="244" spans="63:64" ht="15.75" customHeight="1" x14ac:dyDescent="0.45">
      <c r="BK244" s="2"/>
      <c r="BL244" s="2"/>
    </row>
    <row r="245" spans="63:64" x14ac:dyDescent="0.45">
      <c r="BK245" s="2"/>
      <c r="BL245" s="2"/>
    </row>
    <row r="246" spans="63:64" ht="15.75" customHeight="1" x14ac:dyDescent="0.45">
      <c r="BK246" s="2"/>
      <c r="BL246" s="2"/>
    </row>
    <row r="247" spans="63:64" ht="15.75" customHeight="1" x14ac:dyDescent="0.45">
      <c r="BK247" s="2"/>
      <c r="BL247" s="2"/>
    </row>
    <row r="248" spans="63:64" ht="15.75" customHeight="1" x14ac:dyDescent="0.45"/>
    <row r="249" spans="63:64" ht="15.75" customHeight="1" x14ac:dyDescent="0.45"/>
    <row r="250" spans="63:64" ht="15.75" customHeight="1" x14ac:dyDescent="0.45"/>
    <row r="251" spans="63:64" ht="15.75" customHeight="1" x14ac:dyDescent="0.45"/>
    <row r="252" spans="63:64" ht="15.75" customHeight="1" x14ac:dyDescent="0.45"/>
    <row r="253" spans="63:64" ht="15.75" customHeight="1" x14ac:dyDescent="0.45"/>
    <row r="254" spans="63:64" ht="15.75" customHeight="1" x14ac:dyDescent="0.45"/>
    <row r="255" spans="63:64" ht="15.75" customHeight="1" x14ac:dyDescent="0.45"/>
    <row r="256" spans="63:64" ht="15.75" customHeight="1" x14ac:dyDescent="0.45"/>
    <row r="257" ht="15.75" customHeight="1" x14ac:dyDescent="0.45"/>
    <row r="258" ht="15.75" customHeight="1" x14ac:dyDescent="0.45"/>
    <row r="259" ht="15.75" customHeight="1" x14ac:dyDescent="0.45"/>
    <row r="260" ht="15.75" customHeight="1" x14ac:dyDescent="0.45"/>
    <row r="261" ht="15.75" customHeight="1" x14ac:dyDescent="0.45"/>
    <row r="262" ht="15.75" customHeight="1" x14ac:dyDescent="0.45"/>
    <row r="263" ht="15.75" customHeight="1" x14ac:dyDescent="0.45"/>
    <row r="264" ht="23.25" customHeight="1" x14ac:dyDescent="0.45"/>
    <row r="265" ht="15" customHeight="1" x14ac:dyDescent="0.45"/>
    <row r="266" ht="15.75" customHeight="1" x14ac:dyDescent="0.45"/>
    <row r="267" ht="15" customHeight="1" x14ac:dyDescent="0.45"/>
    <row r="268" ht="15.75" customHeight="1" x14ac:dyDescent="0.45"/>
    <row r="269" ht="15" customHeight="1" x14ac:dyDescent="0.45"/>
    <row r="270" ht="15.75" customHeight="1" x14ac:dyDescent="0.45"/>
    <row r="271" ht="15" customHeight="1" x14ac:dyDescent="0.45"/>
    <row r="272" ht="15.75" customHeight="1" x14ac:dyDescent="0.45"/>
    <row r="273" ht="15" customHeight="1" x14ac:dyDescent="0.45"/>
    <row r="274" ht="15.75" customHeight="1" x14ac:dyDescent="0.45"/>
    <row r="275" ht="15" customHeight="1" x14ac:dyDescent="0.45"/>
    <row r="276" ht="15.75" customHeight="1" x14ac:dyDescent="0.45"/>
    <row r="277" ht="15" customHeight="1" x14ac:dyDescent="0.45"/>
    <row r="278" ht="15.75" customHeight="1" x14ac:dyDescent="0.45"/>
    <row r="279" ht="15" customHeight="1" x14ac:dyDescent="0.45"/>
    <row r="280" ht="15.75" customHeight="1" x14ac:dyDescent="0.45"/>
    <row r="281" ht="15" customHeight="1" x14ac:dyDescent="0.45"/>
    <row r="282" ht="15.75" customHeight="1" x14ac:dyDescent="0.45"/>
    <row r="283" ht="15" customHeight="1" x14ac:dyDescent="0.45"/>
    <row r="284" ht="15.75" customHeight="1" x14ac:dyDescent="0.45"/>
    <row r="285" ht="15" customHeight="1" x14ac:dyDescent="0.45"/>
    <row r="286" ht="15.75" customHeight="1" x14ac:dyDescent="0.45"/>
    <row r="287" ht="15" customHeight="1" x14ac:dyDescent="0.45"/>
    <row r="288" ht="15.75" customHeight="1" x14ac:dyDescent="0.45"/>
    <row r="289" ht="15" customHeight="1" x14ac:dyDescent="0.45"/>
    <row r="290" ht="15.75" customHeight="1" x14ac:dyDescent="0.45"/>
    <row r="291" ht="15" customHeight="1" x14ac:dyDescent="0.45"/>
    <row r="292" ht="15.75" customHeight="1" x14ac:dyDescent="0.45"/>
    <row r="293" ht="15" customHeight="1" x14ac:dyDescent="0.45"/>
    <row r="294" ht="15.75" customHeight="1" x14ac:dyDescent="0.45"/>
    <row r="295" ht="15" customHeight="1" x14ac:dyDescent="0.45"/>
    <row r="296" ht="15.75" customHeight="1" x14ac:dyDescent="0.45"/>
  </sheetData>
  <mergeCells count="1">
    <mergeCell ref="CR6:CR9"/>
  </mergeCells>
  <conditionalFormatting sqref="CR6 CR10">
    <cfRule type="containsText" dxfId="311" priority="75" operator="containsText" text="பிழை">
      <formula>NOT(ISERROR(SEARCH("பிழை",CR6)))</formula>
    </cfRule>
    <cfRule type="cellIs" dxfId="310" priority="76" operator="equal">
      <formula>"சரி"</formula>
    </cfRule>
  </conditionalFormatting>
  <conditionalFormatting sqref="CR6">
    <cfRule type="cellIs" dxfId="309" priority="72" operator="equal">
      <formula>"சரி"</formula>
    </cfRule>
    <cfRule type="containsText" dxfId="308" priority="71" operator="containsText" text="பிழை">
      <formula>NOT(ISERROR(SEARCH("பிழை",CR6)))</formula>
    </cfRule>
  </conditionalFormatting>
  <conditionalFormatting sqref="CU17">
    <cfRule type="containsText" dxfId="307" priority="66" operator="containsText" text="சரி">
      <formula>NOT(ISERROR(SEARCH("சரி",CU17)))</formula>
    </cfRule>
    <cfRule type="notContainsText" dxfId="306" priority="65" operator="notContains" text="சரி">
      <formula>ISERROR(SEARCH("சரி",CU17))</formula>
    </cfRule>
  </conditionalFormatting>
  <conditionalFormatting sqref="CU17:CU18">
    <cfRule type="containsText" dxfId="305" priority="62" operator="containsText" text="சரி">
      <formula>NOT(ISERROR(SEARCH("சரி",CU17)))</formula>
    </cfRule>
    <cfRule type="notContainsText" dxfId="304" priority="61" operator="notContains" text="சரி">
      <formula>ISERROR(SEARCH("சரி",CU17))</formula>
    </cfRule>
  </conditionalFormatting>
  <conditionalFormatting sqref="CU17:CU26">
    <cfRule type="notContainsText" dxfId="303" priority="67" operator="notContains" text="சரி">
      <formula>ISERROR(SEARCH("சரி",CU17))</formula>
    </cfRule>
    <cfRule type="containsText" dxfId="302" priority="70" operator="containsText" text="சரி">
      <formula>NOT(ISERROR(SEARCH("சரி",CU17)))</formula>
    </cfRule>
    <cfRule type="notContainsText" dxfId="301" priority="69" operator="notContains" text="சரி">
      <formula>ISERROR(SEARCH("சரி",CU17))</formula>
    </cfRule>
    <cfRule type="containsText" dxfId="300" priority="68" operator="containsText" text="சரி">
      <formula>NOT(ISERROR(SEARCH("சரி",CU17)))</formula>
    </cfRule>
  </conditionalFormatting>
  <conditionalFormatting sqref="CU17:CU31">
    <cfRule type="containsText" dxfId="299" priority="74" operator="containsText" text="சரி">
      <formula>NOT(ISERROR(SEARCH("சரி",CU17)))</formula>
    </cfRule>
    <cfRule type="notContainsText" dxfId="298" priority="73" operator="notContains" text="சரி">
      <formula>ISERROR(SEARCH("சரி",CU17))</formula>
    </cfRule>
  </conditionalFormatting>
  <conditionalFormatting sqref="CU18">
    <cfRule type="containsText" dxfId="297" priority="60" operator="containsText" text="சரி">
      <formula>NOT(ISERROR(SEARCH("சரி",CU18)))</formula>
    </cfRule>
    <cfRule type="notContainsText" dxfId="296" priority="59" operator="notContains" text="சரி">
      <formula>ISERROR(SEARCH("சரி",CU18))</formula>
    </cfRule>
  </conditionalFormatting>
  <conditionalFormatting sqref="CU18:CU19">
    <cfRule type="containsText" dxfId="295" priority="58" operator="containsText" text="சரி">
      <formula>NOT(ISERROR(SEARCH("சரி",CU18)))</formula>
    </cfRule>
    <cfRule type="notContainsText" dxfId="294" priority="57" operator="notContains" text="சரி">
      <formula>ISERROR(SEARCH("சரி",CU18))</formula>
    </cfRule>
    <cfRule type="containsText" dxfId="293" priority="56" operator="containsText" text="சரி">
      <formula>NOT(ISERROR(SEARCH("சரி",CU18)))</formula>
    </cfRule>
    <cfRule type="notContainsText" dxfId="292" priority="55" operator="notContains" text="சரி">
      <formula>ISERROR(SEARCH("சரி",CU18))</formula>
    </cfRule>
  </conditionalFormatting>
  <conditionalFormatting sqref="CU18:CU20">
    <cfRule type="containsText" dxfId="291" priority="54" operator="containsText" text="சரி">
      <formula>NOT(ISERROR(SEARCH("சரி",CU18)))</formula>
    </cfRule>
    <cfRule type="notContainsText" dxfId="290" priority="53" operator="notContains" text="சரி">
      <formula>ISERROR(SEARCH("சரி",CU18))</formula>
    </cfRule>
    <cfRule type="containsText" dxfId="289" priority="52" operator="containsText" text="சரி">
      <formula>NOT(ISERROR(SEARCH("சரி",CU18)))</formula>
    </cfRule>
    <cfRule type="notContainsText" dxfId="288" priority="51" operator="notContains" text="சரி">
      <formula>ISERROR(SEARCH("சரி",CU18))</formula>
    </cfRule>
  </conditionalFormatting>
  <conditionalFormatting sqref="CU18:CU21">
    <cfRule type="notContainsText" dxfId="287" priority="49" operator="notContains" text="சரி">
      <formula>ISERROR(SEARCH("சரி",CU18))</formula>
    </cfRule>
    <cfRule type="notContainsText" dxfId="286" priority="47" operator="notContains" text="சரி">
      <formula>ISERROR(SEARCH("சரி",CU18))</formula>
    </cfRule>
    <cfRule type="containsText" dxfId="285" priority="48" operator="containsText" text="சரி">
      <formula>NOT(ISERROR(SEARCH("சரி",CU18)))</formula>
    </cfRule>
    <cfRule type="containsText" dxfId="284" priority="50" operator="containsText" text="சரி">
      <formula>NOT(ISERROR(SEARCH("சரி",CU18)))</formula>
    </cfRule>
  </conditionalFormatting>
  <conditionalFormatting sqref="CU18:CU22">
    <cfRule type="containsText" dxfId="283" priority="46" operator="containsText" text="சரி">
      <formula>NOT(ISERROR(SEARCH("சரி",CU18)))</formula>
    </cfRule>
    <cfRule type="notContainsText" dxfId="282" priority="45" operator="notContains" text="சரி">
      <formula>ISERROR(SEARCH("சரி",CU18))</formula>
    </cfRule>
    <cfRule type="containsText" dxfId="281" priority="44" operator="containsText" text="சரி">
      <formula>NOT(ISERROR(SEARCH("சரி",CU18)))</formula>
    </cfRule>
    <cfRule type="notContainsText" dxfId="280" priority="43" operator="notContains" text="சரி">
      <formula>ISERROR(SEARCH("சரி",CU18))</formula>
    </cfRule>
  </conditionalFormatting>
  <conditionalFormatting sqref="CU18:CU23">
    <cfRule type="notContainsText" dxfId="279" priority="41" operator="notContains" text="சரி">
      <formula>ISERROR(SEARCH("சரி",CU18))</formula>
    </cfRule>
    <cfRule type="containsText" dxfId="278" priority="42" operator="containsText" text="சரி">
      <formula>NOT(ISERROR(SEARCH("சரி",CU18)))</formula>
    </cfRule>
    <cfRule type="notContainsText" dxfId="277" priority="39" operator="notContains" text="சரி">
      <formula>ISERROR(SEARCH("சரி",CU18))</formula>
    </cfRule>
    <cfRule type="containsText" dxfId="276" priority="40" operator="containsText" text="சரி">
      <formula>NOT(ISERROR(SEARCH("சரி",CU18)))</formula>
    </cfRule>
  </conditionalFormatting>
  <conditionalFormatting sqref="CU18:CU24">
    <cfRule type="containsText" dxfId="275" priority="38" operator="containsText" text="சரி">
      <formula>NOT(ISERROR(SEARCH("சரி",CU18)))</formula>
    </cfRule>
    <cfRule type="notContainsText" dxfId="274" priority="37" operator="notContains" text="சரி">
      <formula>ISERROR(SEARCH("சரி",CU18))</formula>
    </cfRule>
    <cfRule type="containsText" dxfId="273" priority="36" operator="containsText" text="சரி">
      <formula>NOT(ISERROR(SEARCH("சரி",CU18)))</formula>
    </cfRule>
    <cfRule type="notContainsText" dxfId="272" priority="35" operator="notContains" text="சரி">
      <formula>ISERROR(SEARCH("சரி",CU18))</formula>
    </cfRule>
  </conditionalFormatting>
  <conditionalFormatting sqref="CU18:CU25">
    <cfRule type="containsText" dxfId="271" priority="34" operator="containsText" text="சரி">
      <formula>NOT(ISERROR(SEARCH("சரி",CU18)))</formula>
    </cfRule>
    <cfRule type="notContainsText" dxfId="270" priority="33" operator="notContains" text="சரி">
      <formula>ISERROR(SEARCH("சரி",CU18))</formula>
    </cfRule>
    <cfRule type="containsText" dxfId="269" priority="32" operator="containsText" text="சரி">
      <formula>NOT(ISERROR(SEARCH("சரி",CU18)))</formula>
    </cfRule>
    <cfRule type="notContainsText" dxfId="268" priority="31" operator="notContains" text="சரி">
      <formula>ISERROR(SEARCH("சரி",CU18))</formula>
    </cfRule>
  </conditionalFormatting>
  <conditionalFormatting sqref="CU18:CU26">
    <cfRule type="containsText" dxfId="267" priority="30" operator="containsText" text="சரி">
      <formula>NOT(ISERROR(SEARCH("சரி",CU18)))</formula>
    </cfRule>
    <cfRule type="notContainsText" dxfId="266" priority="29" operator="notContains" text="சரி">
      <formula>ISERROR(SEARCH("சரி",CU18))</formula>
    </cfRule>
  </conditionalFormatting>
  <conditionalFormatting sqref="CU18:CU30">
    <cfRule type="containsText" dxfId="265" priority="26" operator="containsText" text="சரி">
      <formula>NOT(ISERROR(SEARCH("சரி",CU18)))</formula>
    </cfRule>
    <cfRule type="notContainsText" dxfId="264" priority="25" operator="notContains" text="சரி">
      <formula>ISERROR(SEARCH("சரி",CU18))</formula>
    </cfRule>
  </conditionalFormatting>
  <conditionalFormatting sqref="CU27">
    <cfRule type="notContainsText" dxfId="263" priority="19" operator="notContains" text="சரி">
      <formula>ISERROR(SEARCH("சரி",CU27))</formula>
    </cfRule>
    <cfRule type="containsText" dxfId="262" priority="20" operator="containsText" text="சரி">
      <formula>NOT(ISERROR(SEARCH("சரி",CU27)))</formula>
    </cfRule>
    <cfRule type="notContainsText" dxfId="261" priority="21" operator="notContains" text="சரி">
      <formula>ISERROR(SEARCH("சரி",CU27))</formula>
    </cfRule>
    <cfRule type="containsText" dxfId="260" priority="22" operator="containsText" text="சரி">
      <formula>NOT(ISERROR(SEARCH("சரி",CU27)))</formula>
    </cfRule>
  </conditionalFormatting>
  <conditionalFormatting sqref="CU27:CU28">
    <cfRule type="notContainsText" dxfId="259" priority="15" operator="notContains" text="சரி">
      <formula>ISERROR(SEARCH("சரி",CU27))</formula>
    </cfRule>
    <cfRule type="containsText" dxfId="258" priority="16" operator="containsText" text="சரி">
      <formula>NOT(ISERROR(SEARCH("சரி",CU27)))</formula>
    </cfRule>
    <cfRule type="notContainsText" dxfId="257" priority="17" operator="notContains" text="சரி">
      <formula>ISERROR(SEARCH("சரி",CU27))</formula>
    </cfRule>
    <cfRule type="containsText" dxfId="256" priority="18" operator="containsText" text="சரி">
      <formula>NOT(ISERROR(SEARCH("சரி",CU27)))</formula>
    </cfRule>
  </conditionalFormatting>
  <conditionalFormatting sqref="CU27:CU29">
    <cfRule type="containsText" dxfId="255" priority="14" operator="containsText" text="சரி">
      <formula>NOT(ISERROR(SEARCH("சரி",CU27)))</formula>
    </cfRule>
    <cfRule type="notContainsText" dxfId="254" priority="13" operator="notContains" text="சரி">
      <formula>ISERROR(SEARCH("சரி",CU27))</formula>
    </cfRule>
    <cfRule type="containsText" dxfId="253" priority="12" operator="containsText" text="சரி">
      <formula>NOT(ISERROR(SEARCH("சரி",CU27)))</formula>
    </cfRule>
    <cfRule type="notContainsText" dxfId="252" priority="11" operator="notContains" text="சரி">
      <formula>ISERROR(SEARCH("சரி",CU27))</formula>
    </cfRule>
  </conditionalFormatting>
  <conditionalFormatting sqref="CU27:CU30">
    <cfRule type="notContainsText" dxfId="251" priority="23" operator="notContains" text="சரி">
      <formula>ISERROR(SEARCH("சரி",CU27))</formula>
    </cfRule>
    <cfRule type="containsText" dxfId="250" priority="10" operator="containsText" text="சரி">
      <formula>NOT(ISERROR(SEARCH("சரி",CU27)))</formula>
    </cfRule>
    <cfRule type="containsText" dxfId="249" priority="24" operator="containsText" text="சரி">
      <formula>NOT(ISERROR(SEARCH("சரி",CU27)))</formula>
    </cfRule>
    <cfRule type="notContainsText" dxfId="248" priority="9" operator="notContains" text="சரி">
      <formula>ISERROR(SEARCH("சரி",CU27))</formula>
    </cfRule>
  </conditionalFormatting>
  <conditionalFormatting sqref="CU27:CU31">
    <cfRule type="notContainsText" dxfId="247" priority="5" operator="notContains" text="சரி">
      <formula>ISERROR(SEARCH("சரி",CU27))</formula>
    </cfRule>
    <cfRule type="containsText" dxfId="246" priority="6" operator="containsText" text="சரி">
      <formula>NOT(ISERROR(SEARCH("சரி",CU27)))</formula>
    </cfRule>
  </conditionalFormatting>
  <conditionalFormatting sqref="CU31">
    <cfRule type="containsText" dxfId="245" priority="4" operator="containsText" text="சரி">
      <formula>NOT(ISERROR(SEARCH("சரி",CU31)))</formula>
    </cfRule>
    <cfRule type="notContainsText" dxfId="244" priority="3" operator="notContains" text="சரி">
      <formula>ISERROR(SEARCH("சரி",CU31))</formula>
    </cfRule>
    <cfRule type="containsText" dxfId="243" priority="2" operator="containsText" text="சரி">
      <formula>NOT(ISERROR(SEARCH("சரி",CU31)))</formula>
    </cfRule>
    <cfRule type="notContainsText" dxfId="242" priority="1" operator="notContains" text="சரி">
      <formula>ISERROR(SEARCH("சரி",CU31))</formula>
    </cfRule>
  </conditionalFormatting>
  <pageMargins left="0.7" right="0.7" top="0.75" bottom="0.75" header="0.3" footer="0.3"/>
  <pageSetup scale="63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W592"/>
  <sheetViews>
    <sheetView showGridLines="0" topLeftCell="A75" zoomScale="85" zoomScaleNormal="85" workbookViewId="0">
      <selection activeCell="M87" sqref="M87"/>
    </sheetView>
  </sheetViews>
  <sheetFormatPr defaultRowHeight="14.4" x14ac:dyDescent="0.3"/>
  <cols>
    <col min="2" max="4" width="9.109375" style="10"/>
    <col min="5" max="5" width="22.88671875" style="10" bestFit="1" customWidth="1"/>
    <col min="6" max="6" width="23.88671875" style="10" bestFit="1" customWidth="1"/>
    <col min="7" max="7" width="30.44140625" style="10" bestFit="1" customWidth="1"/>
    <col min="8" max="16" width="3.5546875" style="10" customWidth="1"/>
    <col min="17" max="17" width="5.5546875" style="10" bestFit="1" customWidth="1"/>
    <col min="18" max="21" width="4.33203125" style="10" customWidth="1"/>
    <col min="22" max="22" width="15.44140625" style="10" bestFit="1" customWidth="1"/>
    <col min="24" max="25" width="10.6640625" bestFit="1" customWidth="1"/>
  </cols>
  <sheetData>
    <row r="1" spans="1:23" ht="16.8" x14ac:dyDescent="0.35">
      <c r="B1" s="1"/>
      <c r="C1" s="1"/>
      <c r="D1" s="1"/>
      <c r="E1" s="1"/>
      <c r="F1" s="1"/>
      <c r="G1" s="8"/>
      <c r="H1" s="1"/>
      <c r="I1" s="1"/>
      <c r="J1" s="1"/>
      <c r="K1" s="1"/>
      <c r="L1" s="1"/>
      <c r="M1" s="1"/>
      <c r="V1" s="105" t="s">
        <v>375</v>
      </c>
      <c r="W1" s="106" t="s">
        <v>376</v>
      </c>
    </row>
    <row r="2" spans="1:23" ht="16.8" x14ac:dyDescent="0.35">
      <c r="A2" s="11"/>
      <c r="B2" s="1"/>
      <c r="C2" s="1"/>
      <c r="D2" s="1"/>
      <c r="E2" s="1"/>
      <c r="F2" s="1"/>
      <c r="G2" s="8"/>
      <c r="H2" s="1"/>
      <c r="I2" s="1"/>
      <c r="J2" s="1"/>
      <c r="K2" s="1"/>
      <c r="L2" s="1"/>
      <c r="M2" s="1"/>
      <c r="V2" s="105" t="s">
        <v>377</v>
      </c>
      <c r="W2" s="106" t="s">
        <v>376</v>
      </c>
    </row>
    <row r="3" spans="1:23" ht="16.8" x14ac:dyDescent="0.35">
      <c r="A3" s="11"/>
      <c r="B3" s="1"/>
      <c r="C3" s="1"/>
      <c r="D3" s="1"/>
      <c r="E3" s="1"/>
      <c r="F3" s="1"/>
      <c r="G3" s="8"/>
      <c r="H3" s="1"/>
      <c r="I3" s="1"/>
      <c r="J3" s="1"/>
      <c r="K3" s="1"/>
      <c r="L3" s="1"/>
      <c r="M3" s="1"/>
      <c r="V3" s="105" t="s">
        <v>378</v>
      </c>
      <c r="W3" s="106" t="s">
        <v>376</v>
      </c>
    </row>
    <row r="4" spans="1:23" ht="16.8" x14ac:dyDescent="0.35">
      <c r="A4" s="11"/>
      <c r="B4" s="1"/>
      <c r="C4" s="1"/>
      <c r="D4" s="1"/>
      <c r="E4" s="1"/>
      <c r="F4" s="1"/>
      <c r="G4" s="8"/>
      <c r="H4" s="1"/>
      <c r="I4" s="1"/>
      <c r="J4" s="1"/>
      <c r="K4" s="1"/>
      <c r="L4" s="1"/>
      <c r="M4" s="1"/>
      <c r="V4" s="105" t="s">
        <v>379</v>
      </c>
      <c r="W4" s="106" t="s">
        <v>376</v>
      </c>
    </row>
    <row r="5" spans="1:23" ht="16.8" x14ac:dyDescent="0.35">
      <c r="A5" s="11"/>
      <c r="B5" s="1"/>
      <c r="C5" s="1"/>
      <c r="D5" s="1"/>
      <c r="E5" s="1"/>
      <c r="F5" s="1"/>
      <c r="G5" s="8"/>
      <c r="H5" s="1"/>
      <c r="I5" s="1"/>
      <c r="J5" s="1"/>
      <c r="K5" s="1"/>
      <c r="L5" s="1"/>
      <c r="M5" s="1"/>
      <c r="V5" s="105" t="s">
        <v>380</v>
      </c>
      <c r="W5" s="106" t="s">
        <v>376</v>
      </c>
    </row>
    <row r="6" spans="1:23" ht="16.8" x14ac:dyDescent="0.35">
      <c r="A6" s="11"/>
      <c r="B6" s="1"/>
      <c r="C6" s="1"/>
      <c r="D6" s="1"/>
      <c r="E6" s="3" t="s">
        <v>249</v>
      </c>
      <c r="F6" s="3" t="s">
        <v>39</v>
      </c>
      <c r="G6" s="8"/>
      <c r="H6" s="1"/>
      <c r="I6" s="1"/>
      <c r="J6" s="1"/>
      <c r="K6" s="1"/>
      <c r="L6" s="1"/>
      <c r="M6" s="1"/>
      <c r="V6" s="105" t="s">
        <v>381</v>
      </c>
      <c r="W6" s="106" t="s">
        <v>376</v>
      </c>
    </row>
    <row r="7" spans="1:23" ht="16.8" x14ac:dyDescent="0.35">
      <c r="A7" s="11"/>
      <c r="B7" s="1"/>
      <c r="C7" s="1"/>
      <c r="D7" s="1"/>
      <c r="E7" s="3" t="s">
        <v>251</v>
      </c>
      <c r="F7" s="3" t="s">
        <v>65</v>
      </c>
      <c r="G7" s="8"/>
      <c r="H7" s="1"/>
      <c r="I7" s="1"/>
      <c r="J7" s="1"/>
      <c r="K7" s="1"/>
      <c r="L7" s="1"/>
      <c r="M7" s="1"/>
      <c r="V7" s="15" t="s">
        <v>382</v>
      </c>
      <c r="W7" s="106" t="s">
        <v>376</v>
      </c>
    </row>
    <row r="8" spans="1:23" ht="16.8" x14ac:dyDescent="0.35">
      <c r="A8" s="11"/>
      <c r="B8" s="1"/>
      <c r="C8" s="1"/>
      <c r="D8" s="1"/>
      <c r="E8" s="3" t="s">
        <v>260</v>
      </c>
      <c r="F8" s="3" t="s">
        <v>76</v>
      </c>
      <c r="G8" s="8"/>
      <c r="H8" s="1"/>
      <c r="I8" s="1"/>
      <c r="J8" s="1"/>
      <c r="K8" s="1"/>
      <c r="L8" s="1"/>
      <c r="M8" s="1"/>
      <c r="V8" s="15" t="s">
        <v>383</v>
      </c>
      <c r="W8" s="106" t="s">
        <v>376</v>
      </c>
    </row>
    <row r="9" spans="1:23" ht="16.8" x14ac:dyDescent="0.35">
      <c r="A9" s="11"/>
      <c r="B9" s="1"/>
      <c r="C9" s="1"/>
      <c r="D9" s="1"/>
      <c r="E9" s="3" t="s">
        <v>510</v>
      </c>
      <c r="F9" s="3" t="s">
        <v>39</v>
      </c>
      <c r="G9" s="8"/>
      <c r="H9" s="1"/>
      <c r="I9" s="1"/>
      <c r="J9" s="1"/>
      <c r="K9" s="1"/>
      <c r="L9" s="1"/>
      <c r="M9" s="1"/>
      <c r="V9" s="15" t="s">
        <v>384</v>
      </c>
      <c r="W9" s="106" t="s">
        <v>376</v>
      </c>
    </row>
    <row r="10" spans="1:23" ht="16.8" x14ac:dyDescent="0.35">
      <c r="A10" s="11"/>
      <c r="B10" s="1"/>
      <c r="C10" s="1"/>
      <c r="D10" s="1"/>
      <c r="E10" s="1"/>
      <c r="F10" s="1"/>
      <c r="G10" s="8"/>
      <c r="H10" s="1"/>
      <c r="I10" s="1"/>
      <c r="J10" s="1"/>
      <c r="K10" s="1"/>
      <c r="L10" s="1"/>
      <c r="M10" s="1"/>
      <c r="V10" s="15" t="s">
        <v>385</v>
      </c>
      <c r="W10" s="106" t="s">
        <v>376</v>
      </c>
    </row>
    <row r="11" spans="1:23" ht="16.8" x14ac:dyDescent="0.35">
      <c r="A11" s="11"/>
      <c r="B11" s="1"/>
      <c r="C11" s="1"/>
      <c r="D11" s="1"/>
      <c r="E11" s="1"/>
      <c r="F11" s="1"/>
      <c r="G11" s="8"/>
      <c r="H11" s="1"/>
      <c r="I11" s="1"/>
      <c r="J11" s="1"/>
      <c r="K11" s="1"/>
      <c r="L11" s="1"/>
      <c r="M11" s="1"/>
      <c r="V11" s="15" t="s">
        <v>386</v>
      </c>
      <c r="W11" s="106" t="s">
        <v>376</v>
      </c>
    </row>
    <row r="12" spans="1:23" ht="16.8" x14ac:dyDescent="0.35">
      <c r="A12" s="11"/>
      <c r="B12" s="1"/>
      <c r="C12" s="1"/>
      <c r="D12" s="1"/>
      <c r="E12" s="3" t="s">
        <v>252</v>
      </c>
      <c r="F12" s="3" t="s">
        <v>246</v>
      </c>
      <c r="G12" s="8"/>
      <c r="H12" s="1"/>
      <c r="I12" s="1"/>
      <c r="J12" s="1"/>
      <c r="K12" s="1"/>
      <c r="L12" s="1"/>
      <c r="M12" s="1"/>
      <c r="V12" s="15" t="s">
        <v>387</v>
      </c>
      <c r="W12" s="106" t="s">
        <v>376</v>
      </c>
    </row>
    <row r="13" spans="1:23" ht="16.8" x14ac:dyDescent="0.35">
      <c r="A13" s="11"/>
      <c r="B13" s="1"/>
      <c r="C13" s="1"/>
      <c r="D13" s="1"/>
      <c r="E13" s="3" t="s">
        <v>253</v>
      </c>
      <c r="F13" s="3" t="s">
        <v>246</v>
      </c>
      <c r="G13" s="8"/>
      <c r="H13" s="1"/>
      <c r="I13" s="1"/>
      <c r="J13" s="1"/>
      <c r="K13" s="1"/>
      <c r="L13" s="1"/>
      <c r="M13" s="1"/>
      <c r="V13" s="105" t="s">
        <v>388</v>
      </c>
      <c r="W13" s="106" t="s">
        <v>376</v>
      </c>
    </row>
    <row r="14" spans="1:23" ht="16.8" x14ac:dyDescent="0.35">
      <c r="A14" s="11"/>
      <c r="B14" s="1"/>
      <c r="C14" s="1"/>
      <c r="D14" s="1"/>
      <c r="E14" s="3" t="s">
        <v>254</v>
      </c>
      <c r="F14" s="3" t="s">
        <v>246</v>
      </c>
      <c r="G14" s="8"/>
      <c r="H14" s="1"/>
      <c r="I14" s="1"/>
      <c r="J14" s="1"/>
      <c r="K14" s="1"/>
      <c r="L14" s="1"/>
      <c r="M14" s="1"/>
      <c r="V14" s="105" t="s">
        <v>389</v>
      </c>
      <c r="W14" s="106" t="s">
        <v>376</v>
      </c>
    </row>
    <row r="15" spans="1:23" ht="16.8" x14ac:dyDescent="0.35">
      <c r="A15" s="11"/>
      <c r="B15" s="1"/>
      <c r="C15" s="1"/>
      <c r="D15" s="1"/>
      <c r="E15" s="3" t="s">
        <v>255</v>
      </c>
      <c r="F15" s="3" t="s">
        <v>246</v>
      </c>
      <c r="G15" s="8"/>
      <c r="H15" s="1"/>
      <c r="I15" s="1"/>
      <c r="J15" s="1"/>
      <c r="K15" s="1"/>
      <c r="L15" s="1"/>
      <c r="M15" s="1"/>
      <c r="V15" s="105" t="s">
        <v>390</v>
      </c>
      <c r="W15" s="106" t="s">
        <v>376</v>
      </c>
    </row>
    <row r="16" spans="1:23" ht="16.8" x14ac:dyDescent="0.35">
      <c r="A16" s="11"/>
      <c r="B16" s="1"/>
      <c r="C16" s="1"/>
      <c r="D16" s="1"/>
      <c r="E16" s="3" t="s">
        <v>248</v>
      </c>
      <c r="F16" s="3" t="s">
        <v>246</v>
      </c>
      <c r="G16" s="8"/>
      <c r="H16" s="1"/>
      <c r="I16" s="1"/>
      <c r="J16" s="1"/>
      <c r="K16" s="1"/>
      <c r="L16" s="1"/>
      <c r="M16" s="1"/>
      <c r="V16" s="105" t="s">
        <v>391</v>
      </c>
      <c r="W16" s="106" t="s">
        <v>376</v>
      </c>
    </row>
    <row r="17" spans="1:23" ht="16.8" x14ac:dyDescent="0.35">
      <c r="A17" s="11"/>
      <c r="B17" s="1"/>
      <c r="C17" s="1"/>
      <c r="D17" s="1"/>
      <c r="E17" s="3" t="s">
        <v>250</v>
      </c>
      <c r="F17" s="3" t="s">
        <v>246</v>
      </c>
      <c r="G17" s="8"/>
      <c r="H17" s="1"/>
      <c r="I17" s="1"/>
      <c r="J17" s="1"/>
      <c r="K17" s="1"/>
      <c r="L17" s="1"/>
      <c r="M17" s="1"/>
      <c r="V17" s="105" t="s">
        <v>392</v>
      </c>
      <c r="W17" s="106" t="s">
        <v>376</v>
      </c>
    </row>
    <row r="18" spans="1:23" ht="16.8" x14ac:dyDescent="0.35">
      <c r="A18" s="11"/>
      <c r="B18" s="1"/>
      <c r="C18" s="1"/>
      <c r="D18" s="1"/>
      <c r="E18" s="3" t="s">
        <v>256</v>
      </c>
      <c r="F18" s="3" t="s">
        <v>247</v>
      </c>
      <c r="G18" s="8"/>
      <c r="H18" s="1"/>
      <c r="I18" s="1"/>
      <c r="J18" s="1"/>
      <c r="K18" s="1"/>
      <c r="L18" s="1"/>
      <c r="M18" s="1"/>
      <c r="V18" s="105" t="s">
        <v>393</v>
      </c>
      <c r="W18" s="106" t="s">
        <v>376</v>
      </c>
    </row>
    <row r="19" spans="1:23" ht="16.8" x14ac:dyDescent="0.35">
      <c r="A19" s="11"/>
      <c r="B19" s="1"/>
      <c r="C19" s="1"/>
      <c r="D19" s="1"/>
      <c r="E19" s="3" t="s">
        <v>257</v>
      </c>
      <c r="F19" s="3" t="s">
        <v>247</v>
      </c>
      <c r="G19" s="8"/>
      <c r="H19" s="1"/>
      <c r="I19" s="1"/>
      <c r="J19" s="1"/>
      <c r="K19" s="1"/>
      <c r="L19" s="1"/>
      <c r="M19" s="1"/>
      <c r="V19" s="15" t="s">
        <v>394</v>
      </c>
      <c r="W19" s="106" t="s">
        <v>376</v>
      </c>
    </row>
    <row r="20" spans="1:23" ht="16.8" x14ac:dyDescent="0.35">
      <c r="A20" s="11"/>
      <c r="B20" s="1"/>
      <c r="C20" s="1"/>
      <c r="D20" s="1"/>
      <c r="E20" s="3" t="s">
        <v>258</v>
      </c>
      <c r="F20" s="3" t="s">
        <v>247</v>
      </c>
      <c r="G20" s="8"/>
      <c r="H20" s="1"/>
      <c r="I20" s="1"/>
      <c r="J20" s="1"/>
      <c r="K20" s="1"/>
      <c r="L20" s="1"/>
      <c r="M20" s="1"/>
      <c r="V20" s="15" t="s">
        <v>395</v>
      </c>
      <c r="W20" s="106" t="s">
        <v>376</v>
      </c>
    </row>
    <row r="21" spans="1:23" ht="16.8" x14ac:dyDescent="0.35">
      <c r="A21" s="11"/>
      <c r="B21" s="1"/>
      <c r="C21" s="1"/>
      <c r="D21" s="1"/>
      <c r="E21" s="3" t="s">
        <v>259</v>
      </c>
      <c r="F21" s="3" t="s">
        <v>247</v>
      </c>
      <c r="G21" s="8"/>
      <c r="H21" s="1"/>
      <c r="I21" s="1"/>
      <c r="J21" s="1"/>
      <c r="K21" s="1"/>
      <c r="L21" s="1"/>
      <c r="M21" s="1"/>
      <c r="V21" s="15" t="s">
        <v>396</v>
      </c>
      <c r="W21" s="106" t="s">
        <v>376</v>
      </c>
    </row>
    <row r="22" spans="1:23" ht="16.8" x14ac:dyDescent="0.35">
      <c r="A22" s="11"/>
      <c r="B22" s="1"/>
      <c r="C22" s="1"/>
      <c r="D22" s="1"/>
      <c r="E22" s="3" t="s">
        <v>249</v>
      </c>
      <c r="F22" s="3" t="s">
        <v>247</v>
      </c>
      <c r="G22" s="8"/>
      <c r="H22" s="1"/>
      <c r="I22" s="1"/>
      <c r="J22" s="1"/>
      <c r="K22" s="1"/>
      <c r="L22" s="1"/>
      <c r="M22" s="1"/>
      <c r="V22" s="15" t="s">
        <v>397</v>
      </c>
      <c r="W22" s="106" t="s">
        <v>376</v>
      </c>
    </row>
    <row r="23" spans="1:23" ht="16.8" x14ac:dyDescent="0.35">
      <c r="A23" s="11"/>
      <c r="B23" s="1"/>
      <c r="C23" s="1"/>
      <c r="D23" s="1"/>
      <c r="E23" s="3" t="s">
        <v>251</v>
      </c>
      <c r="F23" s="3" t="s">
        <v>247</v>
      </c>
      <c r="G23" s="8"/>
      <c r="H23" s="1"/>
      <c r="I23" s="1"/>
      <c r="J23" s="1"/>
      <c r="K23" s="1"/>
      <c r="L23" s="1"/>
      <c r="M23" s="1"/>
      <c r="V23" s="15" t="s">
        <v>398</v>
      </c>
      <c r="W23" s="106" t="s">
        <v>376</v>
      </c>
    </row>
    <row r="24" spans="1:23" ht="17.399999999999999" thickBot="1" x14ac:dyDescent="0.4">
      <c r="A24" s="11"/>
      <c r="B24" s="1"/>
      <c r="C24" s="1"/>
      <c r="D24" s="1"/>
      <c r="E24" s="3" t="s">
        <v>510</v>
      </c>
      <c r="F24" s="3" t="s">
        <v>247</v>
      </c>
      <c r="G24" s="8"/>
      <c r="H24" s="1"/>
      <c r="I24" s="1"/>
      <c r="J24" s="1"/>
      <c r="K24" s="1"/>
      <c r="L24" s="1"/>
      <c r="M24" s="1"/>
      <c r="V24" s="15" t="s">
        <v>399</v>
      </c>
      <c r="W24" s="106" t="s">
        <v>376</v>
      </c>
    </row>
    <row r="25" spans="1:23" ht="16.8" x14ac:dyDescent="0.35">
      <c r="B25" s="1"/>
      <c r="C25" s="1"/>
      <c r="D25" s="1"/>
      <c r="E25" s="205" t="s">
        <v>286</v>
      </c>
      <c r="F25" s="207" t="s">
        <v>284</v>
      </c>
      <c r="G25" s="203" t="s">
        <v>105</v>
      </c>
      <c r="H25" s="1"/>
      <c r="I25" s="1"/>
      <c r="J25" s="1"/>
      <c r="K25" s="1"/>
      <c r="L25" s="1"/>
      <c r="M25" s="1"/>
      <c r="V25" s="105" t="s">
        <v>400</v>
      </c>
      <c r="W25" s="106" t="s">
        <v>376</v>
      </c>
    </row>
    <row r="26" spans="1:23" ht="17.399999999999999" thickBot="1" x14ac:dyDescent="0.4">
      <c r="B26" s="1"/>
      <c r="C26" s="1"/>
      <c r="D26" s="1"/>
      <c r="E26" s="206"/>
      <c r="F26" s="208"/>
      <c r="G26" s="204"/>
      <c r="H26" s="1"/>
      <c r="I26" s="1"/>
      <c r="J26" s="1"/>
      <c r="K26" s="1"/>
      <c r="L26" s="1"/>
      <c r="M26" s="1"/>
      <c r="V26" s="105" t="s">
        <v>401</v>
      </c>
      <c r="W26" s="106" t="s">
        <v>376</v>
      </c>
    </row>
    <row r="27" spans="1:23" ht="16.8" x14ac:dyDescent="0.35">
      <c r="B27" s="1"/>
      <c r="C27" s="1"/>
      <c r="D27" s="1"/>
      <c r="E27" s="209" t="s">
        <v>287</v>
      </c>
      <c r="F27" s="210" t="s">
        <v>285</v>
      </c>
      <c r="G27" s="201" t="s">
        <v>105</v>
      </c>
      <c r="H27" s="1"/>
      <c r="I27" s="1"/>
      <c r="J27" s="1"/>
      <c r="K27" s="1"/>
      <c r="L27" s="1"/>
      <c r="M27" s="1"/>
      <c r="V27" s="105" t="s">
        <v>402</v>
      </c>
      <c r="W27" s="106" t="s">
        <v>376</v>
      </c>
    </row>
    <row r="28" spans="1:23" ht="17.399999999999999" thickBot="1" x14ac:dyDescent="0.4">
      <c r="B28" s="1"/>
      <c r="C28" s="1"/>
      <c r="D28" s="1"/>
      <c r="E28" s="206"/>
      <c r="F28" s="208"/>
      <c r="G28" s="204"/>
      <c r="H28" s="1"/>
      <c r="I28" s="1"/>
      <c r="J28" s="1"/>
      <c r="K28" s="1"/>
      <c r="L28" s="1"/>
      <c r="M28" s="1"/>
      <c r="V28" s="105" t="s">
        <v>403</v>
      </c>
      <c r="W28" s="106" t="s">
        <v>376</v>
      </c>
    </row>
    <row r="29" spans="1:23" ht="16.8" x14ac:dyDescent="0.35">
      <c r="B29" s="1"/>
      <c r="C29" s="1"/>
      <c r="D29" s="1"/>
      <c r="E29" s="209" t="s">
        <v>288</v>
      </c>
      <c r="F29" s="210" t="s">
        <v>265</v>
      </c>
      <c r="G29" s="201" t="s">
        <v>334</v>
      </c>
      <c r="H29" s="1"/>
      <c r="I29" s="1"/>
      <c r="J29" s="1"/>
      <c r="K29" s="1"/>
      <c r="L29" s="1"/>
      <c r="M29" s="1"/>
      <c r="V29" s="105" t="s">
        <v>404</v>
      </c>
      <c r="W29" s="106" t="s">
        <v>376</v>
      </c>
    </row>
    <row r="30" spans="1:23" ht="17.399999999999999" thickBot="1" x14ac:dyDescent="0.4">
      <c r="B30" s="1"/>
      <c r="C30" s="1"/>
      <c r="D30" s="1"/>
      <c r="E30" s="206"/>
      <c r="F30" s="208"/>
      <c r="G30" s="204"/>
      <c r="H30" s="1"/>
      <c r="I30" s="1"/>
      <c r="J30" s="1"/>
      <c r="K30" s="1"/>
      <c r="L30" s="1"/>
      <c r="M30" s="1"/>
      <c r="V30" s="105" t="s">
        <v>405</v>
      </c>
      <c r="W30" s="106" t="s">
        <v>376</v>
      </c>
    </row>
    <row r="31" spans="1:23" ht="16.8" x14ac:dyDescent="0.35">
      <c r="B31" s="1"/>
      <c r="C31" s="1"/>
      <c r="D31" s="1"/>
      <c r="E31" s="209" t="s">
        <v>289</v>
      </c>
      <c r="F31" s="210" t="s">
        <v>266</v>
      </c>
      <c r="G31" s="201" t="s">
        <v>334</v>
      </c>
      <c r="H31" s="1"/>
      <c r="I31" s="1"/>
      <c r="J31" s="1"/>
      <c r="K31" s="1"/>
      <c r="L31" s="1"/>
      <c r="M31" s="1"/>
      <c r="V31" s="15" t="s">
        <v>406</v>
      </c>
      <c r="W31" s="106" t="s">
        <v>376</v>
      </c>
    </row>
    <row r="32" spans="1:23" ht="17.399999999999999" thickBot="1" x14ac:dyDescent="0.4">
      <c r="B32" s="1"/>
      <c r="C32" s="1"/>
      <c r="D32" s="1"/>
      <c r="E32" s="206"/>
      <c r="F32" s="208"/>
      <c r="G32" s="204"/>
      <c r="H32" s="1"/>
      <c r="I32" s="1"/>
      <c r="J32" s="1"/>
      <c r="K32" s="1"/>
      <c r="L32" s="1"/>
      <c r="M32" s="1"/>
      <c r="V32" s="15" t="s">
        <v>407</v>
      </c>
      <c r="W32" s="106" t="s">
        <v>376</v>
      </c>
    </row>
    <row r="33" spans="2:23" ht="16.8" x14ac:dyDescent="0.35">
      <c r="B33" s="1"/>
      <c r="C33" s="1"/>
      <c r="D33" s="1"/>
      <c r="E33" s="209" t="s">
        <v>290</v>
      </c>
      <c r="F33" s="210" t="s">
        <v>267</v>
      </c>
      <c r="G33" s="201" t="s">
        <v>335</v>
      </c>
      <c r="H33" s="1"/>
      <c r="I33" s="1"/>
      <c r="J33" s="1"/>
      <c r="K33" s="1"/>
      <c r="L33" s="1"/>
      <c r="M33" s="1"/>
      <c r="V33" s="15" t="s">
        <v>408</v>
      </c>
      <c r="W33" s="106" t="s">
        <v>376</v>
      </c>
    </row>
    <row r="34" spans="2:23" ht="17.399999999999999" thickBot="1" x14ac:dyDescent="0.4">
      <c r="B34" s="1"/>
      <c r="C34" s="1"/>
      <c r="D34" s="1"/>
      <c r="E34" s="206"/>
      <c r="F34" s="208"/>
      <c r="G34" s="204"/>
      <c r="H34" s="1"/>
      <c r="I34" s="1"/>
      <c r="J34" s="1"/>
      <c r="K34" s="1"/>
      <c r="L34" s="1"/>
      <c r="M34" s="1"/>
      <c r="V34" s="15" t="s">
        <v>409</v>
      </c>
      <c r="W34" s="106" t="s">
        <v>376</v>
      </c>
    </row>
    <row r="35" spans="2:23" ht="16.8" x14ac:dyDescent="0.35">
      <c r="B35" s="1"/>
      <c r="C35" s="1"/>
      <c r="D35" s="1"/>
      <c r="E35" s="209" t="s">
        <v>291</v>
      </c>
      <c r="F35" s="210" t="s">
        <v>268</v>
      </c>
      <c r="G35" s="201" t="s">
        <v>335</v>
      </c>
      <c r="H35" s="1"/>
      <c r="I35" s="1"/>
      <c r="J35" s="1"/>
      <c r="K35" s="1"/>
      <c r="L35" s="1"/>
      <c r="M35" s="1"/>
      <c r="V35" s="15" t="s">
        <v>410</v>
      </c>
      <c r="W35" s="106" t="s">
        <v>376</v>
      </c>
    </row>
    <row r="36" spans="2:23" ht="17.399999999999999" thickBot="1" x14ac:dyDescent="0.4">
      <c r="B36" s="1"/>
      <c r="C36" s="1"/>
      <c r="D36" s="1"/>
      <c r="E36" s="206"/>
      <c r="F36" s="208"/>
      <c r="G36" s="202"/>
      <c r="H36" s="1"/>
      <c r="I36" s="1"/>
      <c r="J36" s="1"/>
      <c r="K36" s="1"/>
      <c r="L36" s="1"/>
      <c r="M36" s="1"/>
      <c r="V36" s="15" t="s">
        <v>411</v>
      </c>
      <c r="W36" s="106" t="s">
        <v>376</v>
      </c>
    </row>
    <row r="37" spans="2:23" ht="16.8" x14ac:dyDescent="0.35">
      <c r="B37" s="1"/>
      <c r="C37" s="1"/>
      <c r="D37" s="1"/>
      <c r="E37" s="209" t="s">
        <v>292</v>
      </c>
      <c r="F37" s="210" t="s">
        <v>370</v>
      </c>
      <c r="G37" s="198" t="s">
        <v>335</v>
      </c>
      <c r="H37" s="1"/>
      <c r="I37" s="1"/>
      <c r="J37" s="1"/>
      <c r="K37" s="1"/>
      <c r="L37" s="1"/>
      <c r="M37" s="1"/>
      <c r="V37" s="105" t="s">
        <v>412</v>
      </c>
      <c r="W37" s="106" t="s">
        <v>376</v>
      </c>
    </row>
    <row r="38" spans="2:23" ht="17.399999999999999" thickBot="1" x14ac:dyDescent="0.4">
      <c r="B38" s="1"/>
      <c r="C38" s="1"/>
      <c r="D38" s="1"/>
      <c r="E38" s="206"/>
      <c r="F38" s="208"/>
      <c r="G38" s="199"/>
      <c r="H38" s="1"/>
      <c r="I38" s="1"/>
      <c r="J38" s="1"/>
      <c r="K38" s="1"/>
      <c r="L38" s="1"/>
      <c r="M38" s="1"/>
      <c r="V38" s="105" t="s">
        <v>413</v>
      </c>
      <c r="W38" s="106" t="s">
        <v>376</v>
      </c>
    </row>
    <row r="39" spans="2:23" ht="17.399999999999999" thickBot="1" x14ac:dyDescent="0.4">
      <c r="B39" s="1"/>
      <c r="C39" s="1"/>
      <c r="D39" s="1"/>
      <c r="E39" s="4" t="s">
        <v>293</v>
      </c>
      <c r="F39" s="7" t="s">
        <v>269</v>
      </c>
      <c r="G39" s="9" t="s">
        <v>335</v>
      </c>
      <c r="H39" s="1"/>
      <c r="I39" s="1"/>
      <c r="J39" s="1"/>
      <c r="K39" s="1"/>
      <c r="L39" s="1"/>
      <c r="M39" s="1"/>
      <c r="V39" s="105" t="s">
        <v>414</v>
      </c>
      <c r="W39" s="106" t="s">
        <v>376</v>
      </c>
    </row>
    <row r="40" spans="2:23" ht="16.8" x14ac:dyDescent="0.35">
      <c r="B40" s="1"/>
      <c r="C40" s="1"/>
      <c r="D40" s="1"/>
      <c r="E40" s="209" t="s">
        <v>294</v>
      </c>
      <c r="F40" s="210" t="s">
        <v>270</v>
      </c>
      <c r="G40" s="198" t="s">
        <v>336</v>
      </c>
      <c r="H40" s="1"/>
      <c r="I40" s="1"/>
      <c r="J40" s="1"/>
      <c r="K40" s="1"/>
      <c r="L40" s="1"/>
      <c r="M40" s="1"/>
      <c r="V40" s="105" t="s">
        <v>415</v>
      </c>
      <c r="W40" s="106" t="s">
        <v>376</v>
      </c>
    </row>
    <row r="41" spans="2:23" ht="17.399999999999999" thickBot="1" x14ac:dyDescent="0.4">
      <c r="B41" s="1"/>
      <c r="C41" s="1"/>
      <c r="D41" s="1"/>
      <c r="E41" s="206"/>
      <c r="F41" s="208"/>
      <c r="G41" s="199"/>
      <c r="H41" s="1"/>
      <c r="I41" s="1"/>
      <c r="J41" s="1"/>
      <c r="K41" s="1"/>
      <c r="L41" s="1"/>
      <c r="M41" s="1"/>
      <c r="V41" s="105" t="s">
        <v>416</v>
      </c>
      <c r="W41" s="106" t="s">
        <v>376</v>
      </c>
    </row>
    <row r="42" spans="2:23" ht="16.8" x14ac:dyDescent="0.35">
      <c r="B42" s="1"/>
      <c r="C42" s="1"/>
      <c r="D42" s="1"/>
      <c r="E42" s="209" t="s">
        <v>295</v>
      </c>
      <c r="F42" s="210" t="s">
        <v>271</v>
      </c>
      <c r="G42" s="198" t="s">
        <v>336</v>
      </c>
      <c r="H42" s="1"/>
      <c r="I42" s="1"/>
      <c r="J42" s="1"/>
      <c r="K42" s="1"/>
      <c r="L42" s="1"/>
      <c r="M42" s="1"/>
      <c r="V42" s="105" t="s">
        <v>417</v>
      </c>
      <c r="W42" s="106" t="s">
        <v>376</v>
      </c>
    </row>
    <row r="43" spans="2:23" ht="17.399999999999999" thickBot="1" x14ac:dyDescent="0.4">
      <c r="B43" s="1"/>
      <c r="C43" s="1"/>
      <c r="D43" s="1"/>
      <c r="E43" s="206"/>
      <c r="F43" s="208"/>
      <c r="G43" s="199"/>
      <c r="H43" s="1"/>
      <c r="I43" s="1"/>
      <c r="J43" s="1"/>
      <c r="K43" s="1"/>
      <c r="L43" s="1"/>
      <c r="M43" s="1"/>
      <c r="V43" s="15" t="s">
        <v>418</v>
      </c>
      <c r="W43" s="106" t="s">
        <v>376</v>
      </c>
    </row>
    <row r="44" spans="2:23" ht="16.8" x14ac:dyDescent="0.35">
      <c r="B44" s="1"/>
      <c r="C44" s="1"/>
      <c r="D44" s="1"/>
      <c r="E44" s="209" t="s">
        <v>296</v>
      </c>
      <c r="F44" s="210" t="s">
        <v>272</v>
      </c>
      <c r="G44" s="198" t="s">
        <v>336</v>
      </c>
      <c r="H44" s="1"/>
      <c r="I44" s="1"/>
      <c r="J44" s="1"/>
      <c r="K44" s="1"/>
      <c r="L44" s="1"/>
      <c r="M44" s="1"/>
      <c r="V44" s="15" t="s">
        <v>419</v>
      </c>
      <c r="W44" s="106" t="s">
        <v>376</v>
      </c>
    </row>
    <row r="45" spans="2:23" ht="17.399999999999999" thickBot="1" x14ac:dyDescent="0.4">
      <c r="B45" s="1"/>
      <c r="C45" s="1"/>
      <c r="D45" s="1"/>
      <c r="E45" s="206"/>
      <c r="F45" s="208"/>
      <c r="G45" s="200"/>
      <c r="H45" s="1"/>
      <c r="I45" s="1"/>
      <c r="J45" s="1"/>
      <c r="K45" s="1"/>
      <c r="L45" s="1"/>
      <c r="M45" s="1"/>
      <c r="V45" s="15" t="s">
        <v>420</v>
      </c>
      <c r="W45" s="106" t="s">
        <v>376</v>
      </c>
    </row>
    <row r="46" spans="2:23" ht="16.8" x14ac:dyDescent="0.35">
      <c r="B46" s="1"/>
      <c r="C46" s="1"/>
      <c r="D46" s="1"/>
      <c r="E46" s="209" t="s">
        <v>297</v>
      </c>
      <c r="F46" s="210" t="s">
        <v>273</v>
      </c>
      <c r="G46" s="198" t="s">
        <v>336</v>
      </c>
      <c r="H46" s="1"/>
      <c r="I46" s="1"/>
      <c r="J46" s="1"/>
      <c r="K46" s="1"/>
      <c r="L46" s="1"/>
      <c r="M46" s="1"/>
      <c r="V46" s="15" t="s">
        <v>421</v>
      </c>
      <c r="W46" s="106" t="s">
        <v>376</v>
      </c>
    </row>
    <row r="47" spans="2:23" ht="17.399999999999999" thickBot="1" x14ac:dyDescent="0.4">
      <c r="B47" s="1"/>
      <c r="C47" s="1"/>
      <c r="D47" s="1"/>
      <c r="E47" s="206"/>
      <c r="F47" s="208"/>
      <c r="G47" s="199"/>
      <c r="H47" s="1"/>
      <c r="I47" s="1"/>
      <c r="J47" s="1"/>
      <c r="K47" s="1"/>
      <c r="L47" s="1"/>
      <c r="M47" s="1"/>
      <c r="V47" s="15" t="s">
        <v>422</v>
      </c>
      <c r="W47" s="106" t="s">
        <v>376</v>
      </c>
    </row>
    <row r="48" spans="2:23" ht="16.8" x14ac:dyDescent="0.35">
      <c r="B48" s="1"/>
      <c r="C48" s="1"/>
      <c r="D48" s="1"/>
      <c r="E48" s="209" t="s">
        <v>298</v>
      </c>
      <c r="F48" s="210" t="s">
        <v>274</v>
      </c>
      <c r="G48" s="200" t="s">
        <v>336</v>
      </c>
      <c r="H48" s="1"/>
      <c r="I48" s="1"/>
      <c r="J48" s="1"/>
      <c r="K48" s="1"/>
      <c r="L48" s="1"/>
      <c r="M48" s="1"/>
      <c r="V48" s="15" t="s">
        <v>423</v>
      </c>
      <c r="W48" s="106" t="s">
        <v>376</v>
      </c>
    </row>
    <row r="49" spans="2:23" ht="17.399999999999999" thickBot="1" x14ac:dyDescent="0.4">
      <c r="B49" s="1"/>
      <c r="C49" s="1"/>
      <c r="D49" s="1"/>
      <c r="E49" s="206"/>
      <c r="F49" s="208"/>
      <c r="G49" s="200"/>
      <c r="H49" s="1"/>
      <c r="I49" s="1"/>
      <c r="J49" s="1"/>
      <c r="K49" s="1"/>
      <c r="L49" s="1"/>
      <c r="M49" s="1"/>
      <c r="V49" s="105" t="s">
        <v>424</v>
      </c>
      <c r="W49" s="106" t="s">
        <v>376</v>
      </c>
    </row>
    <row r="50" spans="2:23" ht="16.8" x14ac:dyDescent="0.35">
      <c r="B50" s="1"/>
      <c r="C50" s="1"/>
      <c r="D50" s="1"/>
      <c r="E50" s="209" t="s">
        <v>299</v>
      </c>
      <c r="F50" s="210" t="s">
        <v>275</v>
      </c>
      <c r="G50" s="198" t="s">
        <v>142</v>
      </c>
      <c r="H50" s="1"/>
      <c r="I50" s="1"/>
      <c r="J50" s="1"/>
      <c r="K50" s="1"/>
      <c r="L50" s="1"/>
      <c r="M50" s="1"/>
      <c r="V50" s="105" t="s">
        <v>425</v>
      </c>
      <c r="W50" s="106" t="s">
        <v>376</v>
      </c>
    </row>
    <row r="51" spans="2:23" ht="17.399999999999999" thickBot="1" x14ac:dyDescent="0.4">
      <c r="B51" s="1"/>
      <c r="C51" s="1"/>
      <c r="D51" s="1"/>
      <c r="E51" s="206"/>
      <c r="F51" s="208"/>
      <c r="G51" s="199"/>
      <c r="H51" s="1"/>
      <c r="I51" s="1"/>
      <c r="J51" s="1"/>
      <c r="K51" s="1"/>
      <c r="L51" s="1"/>
      <c r="M51" s="1"/>
      <c r="V51" s="105" t="s">
        <v>426</v>
      </c>
      <c r="W51" s="106" t="s">
        <v>376</v>
      </c>
    </row>
    <row r="52" spans="2:23" ht="16.8" x14ac:dyDescent="0.35">
      <c r="B52" s="1"/>
      <c r="C52" s="1"/>
      <c r="D52" s="1"/>
      <c r="E52" s="209" t="s">
        <v>300</v>
      </c>
      <c r="F52" s="210" t="s">
        <v>276</v>
      </c>
      <c r="G52" s="198" t="s">
        <v>142</v>
      </c>
      <c r="H52" s="1"/>
      <c r="I52" s="1"/>
      <c r="J52" s="1"/>
      <c r="K52" s="1"/>
      <c r="L52" s="1"/>
      <c r="M52" s="1"/>
      <c r="V52" s="105" t="s">
        <v>427</v>
      </c>
      <c r="W52" s="106" t="s">
        <v>376</v>
      </c>
    </row>
    <row r="53" spans="2:23" ht="17.399999999999999" thickBot="1" x14ac:dyDescent="0.4">
      <c r="B53" s="1"/>
      <c r="C53" s="1"/>
      <c r="D53" s="1"/>
      <c r="E53" s="206"/>
      <c r="F53" s="208"/>
      <c r="G53" s="199"/>
      <c r="H53" s="1"/>
      <c r="I53" s="1"/>
      <c r="J53" s="1"/>
      <c r="K53" s="1"/>
      <c r="L53" s="1"/>
      <c r="M53" s="1"/>
      <c r="V53" s="105" t="s">
        <v>428</v>
      </c>
      <c r="W53" s="106" t="s">
        <v>376</v>
      </c>
    </row>
    <row r="54" spans="2:23" ht="16.8" x14ac:dyDescent="0.35">
      <c r="B54" s="1"/>
      <c r="C54" s="1"/>
      <c r="D54" s="1"/>
      <c r="E54" s="209" t="s">
        <v>301</v>
      </c>
      <c r="F54" s="210" t="s">
        <v>277</v>
      </c>
      <c r="G54" s="198" t="s">
        <v>142</v>
      </c>
      <c r="H54" s="1"/>
      <c r="I54" s="1"/>
      <c r="J54" s="1"/>
      <c r="K54" s="1"/>
      <c r="L54" s="1"/>
      <c r="M54" s="1"/>
      <c r="V54" s="105" t="s">
        <v>429</v>
      </c>
      <c r="W54" s="106" t="s">
        <v>376</v>
      </c>
    </row>
    <row r="55" spans="2:23" ht="17.399999999999999" thickBot="1" x14ac:dyDescent="0.4">
      <c r="B55" s="1"/>
      <c r="C55" s="1"/>
      <c r="D55" s="1"/>
      <c r="E55" s="206"/>
      <c r="F55" s="208"/>
      <c r="G55" s="199"/>
      <c r="H55" s="1"/>
      <c r="I55" s="1"/>
      <c r="J55" s="1"/>
      <c r="K55" s="1"/>
      <c r="L55" s="1"/>
      <c r="M55" s="1"/>
      <c r="V55" s="15" t="s">
        <v>430</v>
      </c>
      <c r="W55" s="106" t="s">
        <v>376</v>
      </c>
    </row>
    <row r="56" spans="2:23" ht="16.8" x14ac:dyDescent="0.35">
      <c r="B56" s="1"/>
      <c r="C56" s="1"/>
      <c r="D56" s="1"/>
      <c r="E56" s="209" t="s">
        <v>302</v>
      </c>
      <c r="F56" s="210" t="s">
        <v>337</v>
      </c>
      <c r="G56" s="198" t="s">
        <v>338</v>
      </c>
      <c r="H56" s="1"/>
      <c r="I56" s="1"/>
      <c r="J56" s="1"/>
      <c r="K56" s="1"/>
      <c r="L56" s="1"/>
      <c r="M56" s="1"/>
      <c r="V56" s="15" t="s">
        <v>431</v>
      </c>
      <c r="W56" s="106" t="s">
        <v>376</v>
      </c>
    </row>
    <row r="57" spans="2:23" ht="17.399999999999999" thickBot="1" x14ac:dyDescent="0.4">
      <c r="B57" s="1"/>
      <c r="C57" s="1"/>
      <c r="D57" s="1"/>
      <c r="E57" s="206"/>
      <c r="F57" s="208"/>
      <c r="G57" s="199"/>
      <c r="H57" s="1"/>
      <c r="I57" s="1"/>
      <c r="J57" s="1"/>
      <c r="K57" s="1"/>
      <c r="L57" s="1"/>
      <c r="M57" s="1"/>
      <c r="V57" s="15" t="s">
        <v>432</v>
      </c>
      <c r="W57" s="106" t="s">
        <v>376</v>
      </c>
    </row>
    <row r="58" spans="2:23" ht="16.8" x14ac:dyDescent="0.35">
      <c r="B58" s="1"/>
      <c r="C58" s="1"/>
      <c r="D58" s="1"/>
      <c r="E58" s="209" t="s">
        <v>303</v>
      </c>
      <c r="F58" s="210" t="s">
        <v>278</v>
      </c>
      <c r="G58" s="198" t="s">
        <v>338</v>
      </c>
      <c r="H58" s="1"/>
      <c r="I58" s="1"/>
      <c r="J58" s="1"/>
      <c r="K58" s="1"/>
      <c r="L58" s="1"/>
      <c r="M58" s="1"/>
      <c r="V58" s="15" t="s">
        <v>433</v>
      </c>
      <c r="W58" s="106" t="s">
        <v>376</v>
      </c>
    </row>
    <row r="59" spans="2:23" ht="17.399999999999999" thickBot="1" x14ac:dyDescent="0.4">
      <c r="B59" s="1"/>
      <c r="C59" s="1"/>
      <c r="D59" s="1"/>
      <c r="E59" s="206"/>
      <c r="F59" s="208"/>
      <c r="G59" s="199"/>
      <c r="H59" s="1"/>
      <c r="I59" s="1"/>
      <c r="J59" s="1"/>
      <c r="K59" s="1"/>
      <c r="L59" s="1"/>
      <c r="M59" s="1"/>
      <c r="V59" s="15" t="s">
        <v>434</v>
      </c>
      <c r="W59" s="106" t="s">
        <v>376</v>
      </c>
    </row>
    <row r="60" spans="2:23" ht="16.8" x14ac:dyDescent="0.35">
      <c r="B60" s="1"/>
      <c r="C60" s="1"/>
      <c r="D60" s="1"/>
      <c r="E60" s="209" t="s">
        <v>304</v>
      </c>
      <c r="F60" s="210" t="s">
        <v>279</v>
      </c>
      <c r="G60" s="198" t="s">
        <v>338</v>
      </c>
      <c r="H60" s="1"/>
      <c r="I60" s="1"/>
      <c r="J60" s="1"/>
      <c r="K60" s="1"/>
      <c r="L60" s="1"/>
      <c r="M60" s="1"/>
      <c r="V60" s="15" t="s">
        <v>435</v>
      </c>
      <c r="W60" s="106" t="s">
        <v>376</v>
      </c>
    </row>
    <row r="61" spans="2:23" ht="17.399999999999999" thickBot="1" x14ac:dyDescent="0.4">
      <c r="B61" s="1"/>
      <c r="C61" s="1"/>
      <c r="D61" s="1"/>
      <c r="E61" s="206"/>
      <c r="F61" s="208"/>
      <c r="G61" s="199"/>
      <c r="H61" s="1"/>
      <c r="I61" s="1"/>
      <c r="J61" s="1"/>
      <c r="K61" s="1"/>
      <c r="L61" s="1"/>
      <c r="M61" s="1"/>
      <c r="V61" s="105" t="s">
        <v>436</v>
      </c>
      <c r="W61" s="106" t="s">
        <v>376</v>
      </c>
    </row>
    <row r="62" spans="2:23" ht="16.8" x14ac:dyDescent="0.35">
      <c r="B62" s="1"/>
      <c r="C62" s="1"/>
      <c r="D62" s="1"/>
      <c r="E62" s="209" t="s">
        <v>305</v>
      </c>
      <c r="F62" s="210" t="s">
        <v>339</v>
      </c>
      <c r="G62" s="198" t="s">
        <v>338</v>
      </c>
      <c r="H62" s="1"/>
      <c r="I62" s="1"/>
      <c r="J62" s="1"/>
      <c r="K62" s="1"/>
      <c r="L62" s="1"/>
      <c r="M62" s="1"/>
      <c r="V62" s="105" t="s">
        <v>437</v>
      </c>
      <c r="W62" s="106" t="s">
        <v>376</v>
      </c>
    </row>
    <row r="63" spans="2:23" ht="17.399999999999999" thickBot="1" x14ac:dyDescent="0.4">
      <c r="B63" s="1"/>
      <c r="C63" s="1"/>
      <c r="D63" s="1"/>
      <c r="E63" s="206"/>
      <c r="F63" s="208"/>
      <c r="G63" s="199"/>
      <c r="H63" s="1"/>
      <c r="I63" s="1"/>
      <c r="J63" s="1"/>
      <c r="K63" s="1"/>
      <c r="L63" s="1"/>
      <c r="M63" s="1"/>
      <c r="V63" s="105" t="s">
        <v>438</v>
      </c>
      <c r="W63" s="106" t="s">
        <v>376</v>
      </c>
    </row>
    <row r="64" spans="2:23" ht="16.8" x14ac:dyDescent="0.35">
      <c r="B64" s="1"/>
      <c r="C64" s="1"/>
      <c r="D64" s="1"/>
      <c r="E64" s="209" t="s">
        <v>306</v>
      </c>
      <c r="F64" s="210" t="s">
        <v>368</v>
      </c>
      <c r="G64" s="198" t="s">
        <v>340</v>
      </c>
      <c r="H64" s="1"/>
      <c r="I64" s="1"/>
      <c r="J64" s="1"/>
      <c r="K64" s="1"/>
      <c r="L64" s="1"/>
      <c r="M64" s="1"/>
      <c r="V64" s="105" t="s">
        <v>439</v>
      </c>
      <c r="W64" s="106" t="s">
        <v>376</v>
      </c>
    </row>
    <row r="65" spans="2:23" ht="17.399999999999999" thickBot="1" x14ac:dyDescent="0.4">
      <c r="B65" s="1"/>
      <c r="C65" s="1"/>
      <c r="D65" s="1"/>
      <c r="E65" s="206"/>
      <c r="F65" s="208"/>
      <c r="G65" s="199"/>
      <c r="H65" s="1"/>
      <c r="I65" s="1"/>
      <c r="J65" s="1"/>
      <c r="K65" s="1"/>
      <c r="L65" s="1"/>
      <c r="M65" s="1"/>
      <c r="V65" s="105" t="s">
        <v>440</v>
      </c>
      <c r="W65" s="106" t="s">
        <v>376</v>
      </c>
    </row>
    <row r="66" spans="2:23" ht="16.8" x14ac:dyDescent="0.35">
      <c r="B66" s="1"/>
      <c r="C66" s="1"/>
      <c r="D66" s="1"/>
      <c r="E66" s="209" t="s">
        <v>307</v>
      </c>
      <c r="F66" s="210" t="s">
        <v>369</v>
      </c>
      <c r="G66" s="198" t="s">
        <v>340</v>
      </c>
      <c r="H66" s="1"/>
      <c r="I66" s="1"/>
      <c r="J66" s="1"/>
      <c r="K66" s="1"/>
      <c r="L66" s="1"/>
      <c r="M66" s="1"/>
      <c r="V66" s="105" t="s">
        <v>441</v>
      </c>
      <c r="W66" s="106" t="s">
        <v>376</v>
      </c>
    </row>
    <row r="67" spans="2:23" ht="17.399999999999999" thickBot="1" x14ac:dyDescent="0.4">
      <c r="B67" s="1"/>
      <c r="C67" s="1"/>
      <c r="D67" s="1"/>
      <c r="E67" s="206"/>
      <c r="F67" s="208"/>
      <c r="G67" s="199"/>
      <c r="H67" s="1"/>
      <c r="I67" s="1"/>
      <c r="J67" s="1"/>
      <c r="K67" s="1"/>
      <c r="L67" s="1"/>
      <c r="M67" s="1"/>
      <c r="V67" s="15" t="s">
        <v>442</v>
      </c>
      <c r="W67" s="106" t="s">
        <v>376</v>
      </c>
    </row>
    <row r="68" spans="2:23" ht="16.8" x14ac:dyDescent="0.35">
      <c r="B68" s="1"/>
      <c r="C68" s="1"/>
      <c r="D68" s="1"/>
      <c r="E68" s="209" t="s">
        <v>308</v>
      </c>
      <c r="F68" s="210" t="s">
        <v>371</v>
      </c>
      <c r="G68" s="198" t="s">
        <v>340</v>
      </c>
      <c r="H68" s="1"/>
      <c r="I68" s="1"/>
      <c r="J68" s="1"/>
      <c r="K68" s="1"/>
      <c r="L68" s="1"/>
      <c r="M68" s="1"/>
      <c r="V68" s="15" t="s">
        <v>443</v>
      </c>
      <c r="W68" s="106" t="s">
        <v>376</v>
      </c>
    </row>
    <row r="69" spans="2:23" ht="17.399999999999999" thickBot="1" x14ac:dyDescent="0.4">
      <c r="B69" s="1"/>
      <c r="C69" s="1"/>
      <c r="D69" s="1"/>
      <c r="E69" s="206"/>
      <c r="F69" s="208"/>
      <c r="G69" s="199"/>
      <c r="H69" s="1"/>
      <c r="I69" s="1"/>
      <c r="J69" s="1"/>
      <c r="K69" s="1"/>
      <c r="L69" s="1"/>
      <c r="M69" s="1"/>
      <c r="V69" s="15" t="s">
        <v>444</v>
      </c>
      <c r="W69" s="106" t="s">
        <v>376</v>
      </c>
    </row>
    <row r="70" spans="2:23" ht="16.8" x14ac:dyDescent="0.35">
      <c r="B70" s="1"/>
      <c r="C70" s="1"/>
      <c r="D70" s="1"/>
      <c r="E70" s="209" t="s">
        <v>309</v>
      </c>
      <c r="F70" s="210" t="s">
        <v>372</v>
      </c>
      <c r="G70" s="198" t="s">
        <v>340</v>
      </c>
      <c r="H70" s="1"/>
      <c r="I70" s="1"/>
      <c r="J70" s="1"/>
      <c r="K70" s="1"/>
      <c r="L70" s="1"/>
      <c r="M70" s="1"/>
      <c r="V70" s="15" t="s">
        <v>445</v>
      </c>
      <c r="W70" s="106" t="s">
        <v>376</v>
      </c>
    </row>
    <row r="71" spans="2:23" ht="17.399999999999999" thickBot="1" x14ac:dyDescent="0.4">
      <c r="B71" s="1"/>
      <c r="C71" s="1"/>
      <c r="D71" s="1"/>
      <c r="E71" s="206"/>
      <c r="F71" s="208"/>
      <c r="G71" s="199"/>
      <c r="H71" s="1"/>
      <c r="I71" s="1"/>
      <c r="J71" s="1"/>
      <c r="K71" s="1"/>
      <c r="L71" s="1"/>
      <c r="M71" s="1"/>
      <c r="V71" s="15" t="s">
        <v>446</v>
      </c>
      <c r="W71" s="106" t="s">
        <v>376</v>
      </c>
    </row>
    <row r="72" spans="2:23" ht="16.8" x14ac:dyDescent="0.35">
      <c r="B72" s="1"/>
      <c r="C72" s="1"/>
      <c r="D72" s="1"/>
      <c r="E72" s="209" t="s">
        <v>310</v>
      </c>
      <c r="F72" s="210" t="s">
        <v>280</v>
      </c>
      <c r="G72" s="198" t="s">
        <v>341</v>
      </c>
      <c r="H72" s="1"/>
      <c r="I72" s="1"/>
      <c r="J72" s="1"/>
      <c r="K72" s="1"/>
      <c r="L72" s="1"/>
      <c r="M72" s="1"/>
      <c r="V72" s="15" t="s">
        <v>447</v>
      </c>
      <c r="W72" s="106" t="s">
        <v>376</v>
      </c>
    </row>
    <row r="73" spans="2:23" ht="17.399999999999999" thickBot="1" x14ac:dyDescent="0.4">
      <c r="B73" s="1"/>
      <c r="C73" s="1"/>
      <c r="D73" s="1"/>
      <c r="E73" s="206"/>
      <c r="F73" s="208"/>
      <c r="G73" s="199"/>
      <c r="H73" s="1"/>
      <c r="I73" s="1"/>
      <c r="J73" s="1"/>
      <c r="K73" s="1"/>
      <c r="L73" s="1"/>
      <c r="M73" s="1"/>
      <c r="V73" s="105" t="s">
        <v>448</v>
      </c>
      <c r="W73" s="106" t="s">
        <v>376</v>
      </c>
    </row>
    <row r="74" spans="2:23" ht="16.8" x14ac:dyDescent="0.35">
      <c r="B74" s="1"/>
      <c r="C74" s="1"/>
      <c r="D74" s="1"/>
      <c r="E74" s="209" t="s">
        <v>311</v>
      </c>
      <c r="F74" s="210" t="s">
        <v>281</v>
      </c>
      <c r="G74" s="198" t="s">
        <v>341</v>
      </c>
      <c r="H74" s="1"/>
      <c r="I74" s="1"/>
      <c r="J74" s="1"/>
      <c r="K74" s="1"/>
      <c r="L74" s="1"/>
      <c r="M74" s="1"/>
      <c r="V74" s="105" t="s">
        <v>449</v>
      </c>
      <c r="W74" s="106" t="s">
        <v>376</v>
      </c>
    </row>
    <row r="75" spans="2:23" ht="17.399999999999999" thickBot="1" x14ac:dyDescent="0.4">
      <c r="B75" s="1"/>
      <c r="C75" s="1"/>
      <c r="D75" s="1"/>
      <c r="E75" s="206"/>
      <c r="F75" s="208"/>
      <c r="G75" s="199"/>
      <c r="H75" s="1"/>
      <c r="I75" s="1"/>
      <c r="J75" s="1"/>
      <c r="K75" s="1"/>
      <c r="L75" s="1"/>
      <c r="M75" s="1"/>
      <c r="V75" s="105" t="s">
        <v>450</v>
      </c>
      <c r="W75" s="106" t="s">
        <v>376</v>
      </c>
    </row>
    <row r="76" spans="2:23" ht="16.8" x14ac:dyDescent="0.35">
      <c r="B76" s="1"/>
      <c r="C76" s="1"/>
      <c r="D76" s="1"/>
      <c r="E76" s="209" t="s">
        <v>312</v>
      </c>
      <c r="F76" s="210" t="s">
        <v>282</v>
      </c>
      <c r="G76" s="198" t="s">
        <v>341</v>
      </c>
      <c r="H76" s="1"/>
      <c r="I76" s="1"/>
      <c r="J76" s="1"/>
      <c r="K76" s="1"/>
      <c r="L76" s="1"/>
      <c r="M76" s="1"/>
      <c r="V76" s="105" t="s">
        <v>451</v>
      </c>
      <c r="W76" s="106" t="s">
        <v>376</v>
      </c>
    </row>
    <row r="77" spans="2:23" ht="17.399999999999999" thickBot="1" x14ac:dyDescent="0.4">
      <c r="B77" s="1"/>
      <c r="C77" s="1"/>
      <c r="D77" s="1"/>
      <c r="E77" s="206"/>
      <c r="F77" s="208"/>
      <c r="G77" s="199"/>
      <c r="H77" s="1"/>
      <c r="I77" s="1"/>
      <c r="J77" s="1"/>
      <c r="K77" s="1"/>
      <c r="L77" s="1"/>
      <c r="M77" s="1"/>
      <c r="V77" s="105" t="s">
        <v>452</v>
      </c>
      <c r="W77" s="106" t="s">
        <v>376</v>
      </c>
    </row>
    <row r="78" spans="2:23" ht="16.8" x14ac:dyDescent="0.35">
      <c r="B78" s="1"/>
      <c r="C78" s="1"/>
      <c r="D78" s="1"/>
      <c r="E78" s="209" t="s">
        <v>313</v>
      </c>
      <c r="F78" s="210" t="s">
        <v>283</v>
      </c>
      <c r="G78" s="198" t="s">
        <v>341</v>
      </c>
      <c r="H78" s="1"/>
      <c r="I78" s="1"/>
      <c r="J78" s="1"/>
      <c r="K78" s="1"/>
      <c r="L78" s="1"/>
      <c r="M78" s="1"/>
      <c r="V78" s="105" t="s">
        <v>453</v>
      </c>
      <c r="W78" s="106" t="s">
        <v>376</v>
      </c>
    </row>
    <row r="79" spans="2:23" ht="17.399999999999999" thickBot="1" x14ac:dyDescent="0.4">
      <c r="B79" s="1"/>
      <c r="C79" s="1"/>
      <c r="D79" s="1"/>
      <c r="E79" s="206"/>
      <c r="F79" s="208"/>
      <c r="G79" s="199"/>
      <c r="H79" s="1"/>
      <c r="I79" s="1"/>
      <c r="J79" s="1"/>
      <c r="K79" s="1"/>
      <c r="L79" s="1"/>
      <c r="M79" s="1"/>
      <c r="V79" s="15" t="s">
        <v>454</v>
      </c>
      <c r="W79" s="106" t="s">
        <v>376</v>
      </c>
    </row>
    <row r="80" spans="2:23" ht="16.8" x14ac:dyDescent="0.35">
      <c r="B80" s="1"/>
      <c r="C80" s="1"/>
      <c r="D80" s="1"/>
      <c r="E80" s="1"/>
      <c r="F80" s="1"/>
      <c r="G80" s="8"/>
      <c r="H80" s="1"/>
      <c r="I80" s="1"/>
      <c r="J80" s="1"/>
      <c r="K80" s="1"/>
      <c r="L80" s="1"/>
      <c r="M80" s="1"/>
      <c r="V80" s="15" t="s">
        <v>455</v>
      </c>
      <c r="W80" s="106" t="s">
        <v>376</v>
      </c>
    </row>
    <row r="81" spans="2:23" ht="16.8" x14ac:dyDescent="0.35">
      <c r="B81" s="1"/>
      <c r="C81" s="1"/>
      <c r="D81" s="1"/>
      <c r="E81" s="3" t="s">
        <v>247</v>
      </c>
      <c r="F81" s="3" t="s">
        <v>261</v>
      </c>
      <c r="G81" s="3" t="s">
        <v>533</v>
      </c>
      <c r="H81" s="1"/>
      <c r="I81" s="1"/>
      <c r="J81" s="1"/>
      <c r="K81" s="1"/>
      <c r="L81" s="1"/>
      <c r="M81" s="1"/>
      <c r="V81" s="15" t="s">
        <v>456</v>
      </c>
      <c r="W81" s="106" t="s">
        <v>376</v>
      </c>
    </row>
    <row r="82" spans="2:23" ht="16.8" x14ac:dyDescent="0.35">
      <c r="B82" s="1"/>
      <c r="C82" s="1"/>
      <c r="D82" s="1"/>
      <c r="E82" s="3" t="s">
        <v>246</v>
      </c>
      <c r="F82" s="3" t="s">
        <v>262</v>
      </c>
      <c r="G82" s="3" t="s">
        <v>533</v>
      </c>
      <c r="H82" s="1"/>
      <c r="I82" s="1"/>
      <c r="J82" s="1"/>
      <c r="K82" s="1"/>
      <c r="L82" s="1"/>
      <c r="M82" s="1"/>
      <c r="V82" s="15" t="s">
        <v>457</v>
      </c>
      <c r="W82" s="106" t="s">
        <v>376</v>
      </c>
    </row>
    <row r="83" spans="2:23" ht="16.8" x14ac:dyDescent="0.35">
      <c r="B83" s="1"/>
      <c r="C83" s="1"/>
      <c r="D83" s="1"/>
      <c r="E83" s="3" t="s">
        <v>286</v>
      </c>
      <c r="F83" s="3" t="s">
        <v>263</v>
      </c>
      <c r="G83" s="3" t="s">
        <v>533</v>
      </c>
      <c r="H83" s="1"/>
      <c r="I83" s="1"/>
      <c r="J83" s="1"/>
      <c r="K83" s="1"/>
      <c r="L83" s="1"/>
      <c r="M83" s="1"/>
      <c r="V83" s="15" t="s">
        <v>458</v>
      </c>
      <c r="W83" s="106" t="s">
        <v>376</v>
      </c>
    </row>
    <row r="84" spans="2:23" ht="16.8" x14ac:dyDescent="0.35">
      <c r="B84" s="1"/>
      <c r="C84" s="1"/>
      <c r="D84" s="1"/>
      <c r="E84" s="3" t="s">
        <v>287</v>
      </c>
      <c r="F84" s="3" t="s">
        <v>264</v>
      </c>
      <c r="G84" s="3" t="s">
        <v>533</v>
      </c>
      <c r="H84" s="1"/>
      <c r="I84" s="1"/>
      <c r="J84" s="1"/>
      <c r="K84" s="1"/>
      <c r="L84" s="1"/>
      <c r="M84" s="1"/>
      <c r="V84" s="15" t="s">
        <v>459</v>
      </c>
      <c r="W84" s="106" t="s">
        <v>376</v>
      </c>
    </row>
    <row r="85" spans="2:23" ht="16.8" x14ac:dyDescent="0.35">
      <c r="B85" s="1"/>
      <c r="C85" s="1"/>
      <c r="D85" s="1"/>
      <c r="E85" s="1"/>
      <c r="F85" s="1"/>
      <c r="G85" s="8"/>
      <c r="H85" s="1"/>
      <c r="I85" s="1"/>
      <c r="J85" s="1"/>
      <c r="K85" s="1"/>
      <c r="L85" s="1"/>
      <c r="M85" s="1"/>
      <c r="V85" s="105" t="s">
        <v>460</v>
      </c>
      <c r="W85" s="106" t="s">
        <v>376</v>
      </c>
    </row>
    <row r="86" spans="2:23" ht="16.8" x14ac:dyDescent="0.35">
      <c r="B86" s="1"/>
      <c r="C86" s="1"/>
      <c r="D86" s="1"/>
      <c r="E86" s="3" t="s">
        <v>314</v>
      </c>
      <c r="F86" s="3" t="s">
        <v>315</v>
      </c>
      <c r="G86" s="194" t="s">
        <v>316</v>
      </c>
      <c r="H86" s="1"/>
      <c r="I86" s="1"/>
      <c r="J86" s="1"/>
      <c r="K86" s="1"/>
      <c r="L86" s="1"/>
      <c r="M86" s="1"/>
      <c r="V86" s="105" t="s">
        <v>461</v>
      </c>
      <c r="W86" s="106" t="s">
        <v>376</v>
      </c>
    </row>
    <row r="87" spans="2:23" ht="16.8" x14ac:dyDescent="0.35">
      <c r="B87" s="1"/>
      <c r="C87" s="1"/>
      <c r="D87" s="1"/>
      <c r="E87" s="3" t="s">
        <v>344</v>
      </c>
      <c r="F87" s="3" t="s">
        <v>317</v>
      </c>
      <c r="G87" s="194" t="s">
        <v>509</v>
      </c>
      <c r="H87" s="1"/>
      <c r="I87" s="1"/>
      <c r="J87" s="1"/>
      <c r="K87" s="1"/>
      <c r="L87" s="1"/>
      <c r="M87" s="1"/>
      <c r="V87" s="105" t="s">
        <v>462</v>
      </c>
      <c r="W87" s="106" t="s">
        <v>376</v>
      </c>
    </row>
    <row r="88" spans="2:23" ht="16.8" x14ac:dyDescent="0.35">
      <c r="B88" s="1"/>
      <c r="C88" s="1"/>
      <c r="D88" s="1"/>
      <c r="E88" s="3" t="s">
        <v>318</v>
      </c>
      <c r="F88" s="3" t="s">
        <v>319</v>
      </c>
      <c r="G88" s="194" t="s">
        <v>321</v>
      </c>
      <c r="H88" s="1"/>
      <c r="I88" s="1"/>
      <c r="J88" s="1"/>
      <c r="K88" s="1"/>
      <c r="L88" s="1"/>
      <c r="M88" s="1"/>
      <c r="V88" s="105" t="s">
        <v>463</v>
      </c>
      <c r="W88" s="106" t="s">
        <v>376</v>
      </c>
    </row>
    <row r="89" spans="2:23" ht="16.8" x14ac:dyDescent="0.35">
      <c r="B89" s="1"/>
      <c r="C89" s="1"/>
      <c r="D89" s="1"/>
      <c r="E89" s="3" t="s">
        <v>343</v>
      </c>
      <c r="F89" s="3" t="s">
        <v>320</v>
      </c>
      <c r="G89" s="194" t="s">
        <v>321</v>
      </c>
      <c r="H89" s="1"/>
      <c r="I89" s="1"/>
      <c r="J89" s="1"/>
      <c r="K89" s="1"/>
      <c r="L89" s="1"/>
      <c r="M89" s="1"/>
      <c r="V89" s="105" t="s">
        <v>464</v>
      </c>
      <c r="W89" s="106" t="s">
        <v>376</v>
      </c>
    </row>
    <row r="90" spans="2:23" ht="16.8" x14ac:dyDescent="0.35">
      <c r="B90" s="1"/>
      <c r="C90" s="1"/>
      <c r="D90" s="1"/>
      <c r="E90" s="3" t="s">
        <v>322</v>
      </c>
      <c r="F90" s="3" t="s">
        <v>323</v>
      </c>
      <c r="G90" s="194" t="s">
        <v>324</v>
      </c>
      <c r="H90" s="1"/>
      <c r="I90" s="1"/>
      <c r="J90" s="1"/>
      <c r="K90" s="1"/>
      <c r="L90" s="1"/>
      <c r="M90" s="1"/>
      <c r="V90" s="105" t="s">
        <v>465</v>
      </c>
      <c r="W90" s="106" t="s">
        <v>376</v>
      </c>
    </row>
    <row r="91" spans="2:23" ht="16.8" x14ac:dyDescent="0.35">
      <c r="B91" s="1"/>
      <c r="C91" s="1"/>
      <c r="D91" s="1"/>
      <c r="E91" s="3" t="s">
        <v>325</v>
      </c>
      <c r="F91" s="3" t="s">
        <v>326</v>
      </c>
      <c r="G91" s="194" t="s">
        <v>327</v>
      </c>
      <c r="H91" s="1"/>
      <c r="I91" s="1"/>
      <c r="J91" s="1"/>
      <c r="K91" s="1"/>
      <c r="L91" s="1"/>
      <c r="M91" s="1"/>
      <c r="V91" s="106" t="s">
        <v>466</v>
      </c>
      <c r="W91" s="106" t="s">
        <v>376</v>
      </c>
    </row>
    <row r="92" spans="2:23" ht="16.8" x14ac:dyDescent="0.35">
      <c r="B92" s="1"/>
      <c r="C92" s="1"/>
      <c r="D92" s="1"/>
      <c r="E92" s="3" t="s">
        <v>328</v>
      </c>
      <c r="F92" s="3" t="s">
        <v>332</v>
      </c>
      <c r="G92" s="194" t="s">
        <v>331</v>
      </c>
      <c r="H92" s="1"/>
      <c r="I92" s="1"/>
      <c r="J92" s="1"/>
      <c r="K92" s="1"/>
      <c r="L92" s="1"/>
      <c r="M92" s="1"/>
      <c r="V92" s="15" t="s">
        <v>467</v>
      </c>
      <c r="W92" s="106" t="s">
        <v>376</v>
      </c>
    </row>
    <row r="93" spans="2:23" ht="16.8" x14ac:dyDescent="0.35">
      <c r="B93" s="1"/>
      <c r="C93" s="1"/>
      <c r="D93" s="1"/>
      <c r="E93" s="3" t="s">
        <v>329</v>
      </c>
      <c r="F93" s="3" t="s">
        <v>333</v>
      </c>
      <c r="G93" s="194" t="s">
        <v>330</v>
      </c>
      <c r="H93" s="1"/>
      <c r="I93" s="1"/>
      <c r="J93" s="1"/>
      <c r="K93" s="1"/>
      <c r="L93" s="1"/>
      <c r="M93" s="1"/>
      <c r="V93" s="15" t="s">
        <v>468</v>
      </c>
      <c r="W93" s="106" t="s">
        <v>376</v>
      </c>
    </row>
    <row r="94" spans="2:23" ht="16.8" x14ac:dyDescent="0.35">
      <c r="B94" s="1"/>
      <c r="C94" s="1"/>
      <c r="D94" s="1"/>
      <c r="E94" s="1"/>
      <c r="F94" s="1"/>
      <c r="G94" s="8"/>
      <c r="H94" s="1"/>
      <c r="I94" s="1"/>
      <c r="J94" s="1"/>
      <c r="K94" s="1"/>
      <c r="L94" s="1"/>
      <c r="M94" s="1"/>
      <c r="V94" s="15" t="s">
        <v>469</v>
      </c>
      <c r="W94" s="106" t="s">
        <v>376</v>
      </c>
    </row>
    <row r="95" spans="2:23" ht="16.8" x14ac:dyDescent="0.35">
      <c r="B95" s="1"/>
      <c r="C95" s="1"/>
      <c r="D95" s="1"/>
      <c r="E95" s="1"/>
      <c r="F95" s="1"/>
      <c r="G95" s="8"/>
      <c r="H95" s="1"/>
      <c r="I95" s="1"/>
      <c r="J95" s="1"/>
      <c r="K95" s="1"/>
      <c r="L95" s="1"/>
      <c r="M95" s="1"/>
      <c r="V95" s="15" t="s">
        <v>470</v>
      </c>
      <c r="W95" s="106" t="s">
        <v>376</v>
      </c>
    </row>
    <row r="96" spans="2:23" ht="16.8" x14ac:dyDescent="0.35">
      <c r="B96" s="1"/>
      <c r="C96" s="3" t="s">
        <v>0</v>
      </c>
      <c r="D96" s="1" t="s">
        <v>249</v>
      </c>
      <c r="E96" s="1">
        <v>1</v>
      </c>
      <c r="F96" s="1" t="s">
        <v>39</v>
      </c>
      <c r="G96" s="8"/>
      <c r="H96" s="1"/>
      <c r="I96" s="1"/>
      <c r="J96" s="1"/>
      <c r="K96" s="1"/>
      <c r="L96" s="1"/>
      <c r="M96" s="1"/>
      <c r="V96" s="15" t="s">
        <v>471</v>
      </c>
      <c r="W96" s="106" t="s">
        <v>376</v>
      </c>
    </row>
    <row r="97" spans="2:23" ht="16.8" x14ac:dyDescent="0.35">
      <c r="B97" s="1"/>
      <c r="C97" s="3" t="s">
        <v>1</v>
      </c>
      <c r="D97" s="1" t="s">
        <v>249</v>
      </c>
      <c r="E97" s="1">
        <v>1</v>
      </c>
      <c r="F97" s="1" t="s">
        <v>39</v>
      </c>
      <c r="G97" s="8"/>
      <c r="H97" s="1"/>
      <c r="I97" s="1"/>
      <c r="J97" s="1"/>
      <c r="K97" s="1"/>
      <c r="L97" s="1"/>
      <c r="M97" s="1"/>
      <c r="V97" s="105" t="s">
        <v>472</v>
      </c>
      <c r="W97" s="106" t="s">
        <v>376</v>
      </c>
    </row>
    <row r="98" spans="2:23" ht="16.8" x14ac:dyDescent="0.35">
      <c r="B98" s="1"/>
      <c r="C98" s="3" t="s">
        <v>2</v>
      </c>
      <c r="D98" s="1" t="s">
        <v>249</v>
      </c>
      <c r="E98" s="1">
        <v>1</v>
      </c>
      <c r="F98" s="1" t="s">
        <v>39</v>
      </c>
      <c r="G98" s="8"/>
      <c r="H98" s="1"/>
      <c r="I98" s="1"/>
      <c r="J98" s="1"/>
      <c r="K98" s="1"/>
      <c r="L98" s="1"/>
      <c r="M98" s="1"/>
      <c r="V98" s="105" t="s">
        <v>473</v>
      </c>
      <c r="W98" s="106" t="s">
        <v>376</v>
      </c>
    </row>
    <row r="99" spans="2:23" ht="16.8" x14ac:dyDescent="0.35">
      <c r="B99" s="1"/>
      <c r="C99" s="3" t="s">
        <v>3</v>
      </c>
      <c r="D99" s="1" t="s">
        <v>249</v>
      </c>
      <c r="E99" s="1">
        <v>1</v>
      </c>
      <c r="F99" s="1" t="s">
        <v>39</v>
      </c>
      <c r="G99" s="8"/>
      <c r="H99" s="1"/>
      <c r="I99" s="1"/>
      <c r="J99" s="1"/>
      <c r="K99" s="1"/>
      <c r="L99" s="1"/>
      <c r="M99" s="1"/>
      <c r="V99" s="105" t="s">
        <v>474</v>
      </c>
      <c r="W99" s="106" t="s">
        <v>376</v>
      </c>
    </row>
    <row r="100" spans="2:23" ht="16.8" x14ac:dyDescent="0.35">
      <c r="B100" s="1"/>
      <c r="C100" s="3" t="s">
        <v>4</v>
      </c>
      <c r="D100" s="1" t="s">
        <v>249</v>
      </c>
      <c r="E100" s="1">
        <v>1</v>
      </c>
      <c r="F100" s="1" t="s">
        <v>39</v>
      </c>
      <c r="G100" s="8"/>
      <c r="H100" s="1"/>
      <c r="I100" s="1"/>
      <c r="J100" s="1"/>
      <c r="K100" s="1"/>
      <c r="L100" s="1"/>
      <c r="M100" s="1"/>
      <c r="V100" s="105" t="s">
        <v>475</v>
      </c>
      <c r="W100" s="106" t="s">
        <v>376</v>
      </c>
    </row>
    <row r="101" spans="2:23" ht="16.8" x14ac:dyDescent="0.35">
      <c r="B101" s="1"/>
      <c r="C101" s="3" t="s">
        <v>5</v>
      </c>
      <c r="D101" s="1" t="s">
        <v>249</v>
      </c>
      <c r="E101" s="1">
        <v>1</v>
      </c>
      <c r="F101" s="1" t="s">
        <v>39</v>
      </c>
      <c r="G101" s="8"/>
      <c r="H101" s="1"/>
      <c r="I101" s="1"/>
      <c r="J101" s="1"/>
      <c r="K101" s="1"/>
      <c r="L101" s="1"/>
      <c r="M101" s="1"/>
      <c r="V101" s="105" t="s">
        <v>476</v>
      </c>
      <c r="W101" s="106" t="s">
        <v>376</v>
      </c>
    </row>
    <row r="102" spans="2:23" ht="16.8" x14ac:dyDescent="0.35">
      <c r="B102" s="1"/>
      <c r="C102" s="3" t="s">
        <v>6</v>
      </c>
      <c r="D102" s="1" t="s">
        <v>249</v>
      </c>
      <c r="E102" s="1">
        <v>1</v>
      </c>
      <c r="F102" s="1" t="s">
        <v>39</v>
      </c>
      <c r="G102" s="8"/>
      <c r="H102" s="1"/>
      <c r="I102" s="1"/>
      <c r="J102" s="1"/>
      <c r="K102" s="1"/>
      <c r="L102" s="1"/>
      <c r="M102" s="1"/>
      <c r="V102" s="105" t="s">
        <v>477</v>
      </c>
      <c r="W102" s="106" t="s">
        <v>376</v>
      </c>
    </row>
    <row r="103" spans="2:23" ht="16.8" x14ac:dyDescent="0.35">
      <c r="B103" s="1"/>
      <c r="C103" s="3" t="s">
        <v>7</v>
      </c>
      <c r="D103" s="1" t="s">
        <v>249</v>
      </c>
      <c r="E103" s="1">
        <v>1</v>
      </c>
      <c r="F103" s="1" t="s">
        <v>39</v>
      </c>
      <c r="G103" s="8"/>
      <c r="H103" s="1"/>
      <c r="I103" s="1"/>
      <c r="J103" s="1"/>
      <c r="K103" s="1"/>
      <c r="L103" s="1"/>
      <c r="M103" s="1"/>
      <c r="V103" s="15" t="s">
        <v>478</v>
      </c>
      <c r="W103" s="106" t="s">
        <v>376</v>
      </c>
    </row>
    <row r="104" spans="2:23" ht="16.8" x14ac:dyDescent="0.35">
      <c r="B104" s="1"/>
      <c r="C104" s="3" t="s">
        <v>8</v>
      </c>
      <c r="D104" s="1" t="s">
        <v>249</v>
      </c>
      <c r="E104" s="1">
        <v>1</v>
      </c>
      <c r="F104" s="1" t="s">
        <v>39</v>
      </c>
      <c r="G104" s="8"/>
      <c r="H104" s="1"/>
      <c r="I104" s="1"/>
      <c r="J104" s="1"/>
      <c r="K104" s="1"/>
      <c r="L104" s="1"/>
      <c r="M104" s="1"/>
      <c r="V104" s="15" t="s">
        <v>479</v>
      </c>
      <c r="W104" s="106" t="s">
        <v>376</v>
      </c>
    </row>
    <row r="105" spans="2:23" ht="16.8" x14ac:dyDescent="0.35">
      <c r="B105" s="1"/>
      <c r="C105" s="3" t="s">
        <v>9</v>
      </c>
      <c r="D105" s="1" t="s">
        <v>249</v>
      </c>
      <c r="E105" s="1">
        <v>1</v>
      </c>
      <c r="F105" s="1" t="s">
        <v>39</v>
      </c>
      <c r="G105" s="8"/>
      <c r="H105" s="1"/>
      <c r="I105" s="1"/>
      <c r="J105" s="1"/>
      <c r="K105" s="1"/>
      <c r="L105" s="1"/>
      <c r="M105" s="1"/>
      <c r="V105" s="15" t="s">
        <v>480</v>
      </c>
      <c r="W105" s="106" t="s">
        <v>376</v>
      </c>
    </row>
    <row r="106" spans="2:23" ht="16.8" x14ac:dyDescent="0.35">
      <c r="B106" s="1"/>
      <c r="C106" s="3" t="s">
        <v>10</v>
      </c>
      <c r="D106" s="1" t="s">
        <v>249</v>
      </c>
      <c r="E106" s="1">
        <v>1</v>
      </c>
      <c r="F106" s="1" t="s">
        <v>39</v>
      </c>
      <c r="G106" s="8"/>
      <c r="H106" s="1"/>
      <c r="I106" s="1"/>
      <c r="J106" s="1"/>
      <c r="K106" s="1"/>
      <c r="L106" s="1"/>
      <c r="M106" s="1"/>
      <c r="V106" s="15" t="s">
        <v>481</v>
      </c>
      <c r="W106" s="106" t="s">
        <v>376</v>
      </c>
    </row>
    <row r="107" spans="2:23" ht="16.8" x14ac:dyDescent="0.35">
      <c r="B107" s="1"/>
      <c r="C107" s="3" t="s">
        <v>11</v>
      </c>
      <c r="D107" s="1" t="s">
        <v>249</v>
      </c>
      <c r="E107" s="1">
        <v>1</v>
      </c>
      <c r="F107" s="1" t="s">
        <v>39</v>
      </c>
      <c r="G107" s="8"/>
      <c r="H107" s="1"/>
      <c r="I107" s="1"/>
      <c r="J107" s="1"/>
      <c r="K107" s="1"/>
      <c r="L107" s="1"/>
      <c r="M107" s="1"/>
      <c r="V107" s="15" t="s">
        <v>482</v>
      </c>
      <c r="W107" s="106" t="s">
        <v>376</v>
      </c>
    </row>
    <row r="108" spans="2:23" ht="16.8" x14ac:dyDescent="0.35">
      <c r="B108" s="1"/>
      <c r="C108" s="3" t="s">
        <v>12</v>
      </c>
      <c r="D108" s="1" t="s">
        <v>249</v>
      </c>
      <c r="E108" s="1">
        <v>1</v>
      </c>
      <c r="F108" s="1" t="s">
        <v>39</v>
      </c>
      <c r="G108" s="8"/>
      <c r="H108" s="1"/>
      <c r="I108" s="1"/>
      <c r="J108" s="1"/>
      <c r="K108" s="1"/>
      <c r="L108" s="1"/>
      <c r="M108" s="1"/>
      <c r="V108" s="15" t="s">
        <v>483</v>
      </c>
      <c r="W108" s="106" t="s">
        <v>376</v>
      </c>
    </row>
    <row r="109" spans="2:23" ht="16.8" x14ac:dyDescent="0.35">
      <c r="B109" s="1"/>
      <c r="C109" s="3" t="s">
        <v>13</v>
      </c>
      <c r="D109" s="1" t="s">
        <v>249</v>
      </c>
      <c r="E109" s="1">
        <v>1</v>
      </c>
      <c r="F109" s="1" t="s">
        <v>39</v>
      </c>
      <c r="G109" s="8"/>
      <c r="H109" s="1"/>
      <c r="I109" s="1"/>
      <c r="J109" s="1"/>
      <c r="K109" s="1"/>
      <c r="L109" s="1"/>
      <c r="M109" s="1"/>
    </row>
    <row r="110" spans="2:23" ht="16.8" x14ac:dyDescent="0.35">
      <c r="B110" s="1"/>
      <c r="C110" s="3" t="s">
        <v>14</v>
      </c>
      <c r="D110" s="1" t="s">
        <v>249</v>
      </c>
      <c r="E110" s="1">
        <v>1</v>
      </c>
      <c r="F110" s="1" t="s">
        <v>39</v>
      </c>
      <c r="G110" s="8"/>
      <c r="H110" s="1"/>
      <c r="I110" s="1"/>
      <c r="J110" s="1"/>
      <c r="K110" s="1"/>
      <c r="L110" s="1"/>
      <c r="M110" s="1"/>
    </row>
    <row r="111" spans="2:23" ht="16.8" x14ac:dyDescent="0.35">
      <c r="B111" s="1"/>
      <c r="C111" s="3" t="s">
        <v>15</v>
      </c>
      <c r="D111" s="1" t="s">
        <v>249</v>
      </c>
      <c r="E111" s="1">
        <v>1</v>
      </c>
      <c r="F111" s="1" t="s">
        <v>39</v>
      </c>
      <c r="G111" s="8"/>
      <c r="H111" s="1"/>
      <c r="I111" s="1"/>
      <c r="J111" s="1"/>
      <c r="K111" s="1"/>
      <c r="L111" s="1"/>
      <c r="M111" s="1"/>
    </row>
    <row r="112" spans="2:23" ht="16.8" x14ac:dyDescent="0.35">
      <c r="B112" s="1"/>
      <c r="C112" s="3" t="s">
        <v>16</v>
      </c>
      <c r="D112" s="1" t="s">
        <v>249</v>
      </c>
      <c r="E112" s="1">
        <v>1</v>
      </c>
      <c r="F112" s="1" t="s">
        <v>39</v>
      </c>
      <c r="G112" s="8"/>
      <c r="H112" s="1"/>
      <c r="I112" s="1"/>
      <c r="J112" s="1"/>
      <c r="K112" s="1"/>
      <c r="L112" s="1"/>
      <c r="M112" s="1"/>
    </row>
    <row r="113" spans="2:13" ht="16.8" x14ac:dyDescent="0.35">
      <c r="B113" s="1"/>
      <c r="C113" s="3" t="s">
        <v>17</v>
      </c>
      <c r="D113" s="1" t="s">
        <v>249</v>
      </c>
      <c r="E113" s="1">
        <v>1</v>
      </c>
      <c r="F113" s="1" t="s">
        <v>39</v>
      </c>
      <c r="G113" s="8"/>
      <c r="H113" s="1"/>
      <c r="I113" s="1"/>
      <c r="J113" s="1"/>
      <c r="K113" s="1"/>
      <c r="L113" s="1"/>
      <c r="M113" s="1"/>
    </row>
    <row r="114" spans="2:13" ht="16.8" x14ac:dyDescent="0.35">
      <c r="B114" s="1"/>
      <c r="C114" s="3" t="s">
        <v>18</v>
      </c>
      <c r="D114" s="1" t="s">
        <v>249</v>
      </c>
      <c r="E114" s="1">
        <v>1</v>
      </c>
      <c r="F114" s="1" t="s">
        <v>39</v>
      </c>
      <c r="G114" s="8"/>
      <c r="H114" s="1"/>
      <c r="I114" s="1"/>
      <c r="J114" s="1"/>
      <c r="K114" s="1"/>
      <c r="L114" s="1"/>
      <c r="M114" s="1"/>
    </row>
    <row r="115" spans="2:13" ht="16.8" x14ac:dyDescent="0.35">
      <c r="B115" s="1"/>
      <c r="C115" s="5" t="s">
        <v>19</v>
      </c>
      <c r="D115" s="1" t="s">
        <v>249</v>
      </c>
      <c r="E115" s="1">
        <v>1</v>
      </c>
      <c r="F115" s="1" t="s">
        <v>39</v>
      </c>
      <c r="G115" s="8"/>
      <c r="H115" s="1"/>
      <c r="I115" s="1"/>
      <c r="J115" s="1"/>
      <c r="K115" s="1"/>
      <c r="L115" s="1"/>
      <c r="M115" s="1"/>
    </row>
    <row r="116" spans="2:13" ht="16.8" x14ac:dyDescent="0.35">
      <c r="B116" s="1"/>
      <c r="C116" s="3" t="s">
        <v>20</v>
      </c>
      <c r="D116" s="1" t="s">
        <v>249</v>
      </c>
      <c r="E116" s="1">
        <v>2</v>
      </c>
      <c r="F116" s="1" t="s">
        <v>39</v>
      </c>
      <c r="G116" s="8"/>
      <c r="H116" s="1"/>
      <c r="I116" s="1"/>
      <c r="J116" s="1"/>
      <c r="K116" s="1"/>
      <c r="L116" s="1"/>
      <c r="M116" s="1"/>
    </row>
    <row r="117" spans="2:13" ht="16.8" x14ac:dyDescent="0.35">
      <c r="B117" s="1"/>
      <c r="C117" s="3" t="s">
        <v>21</v>
      </c>
      <c r="D117" s="1" t="s">
        <v>249</v>
      </c>
      <c r="E117" s="1">
        <v>2</v>
      </c>
      <c r="F117" s="1" t="s">
        <v>39</v>
      </c>
      <c r="G117" s="8"/>
      <c r="H117" s="1"/>
      <c r="I117" s="1"/>
      <c r="J117" s="1"/>
      <c r="K117" s="1"/>
      <c r="L117" s="1"/>
      <c r="M117" s="1"/>
    </row>
    <row r="118" spans="2:13" ht="16.8" x14ac:dyDescent="0.35">
      <c r="B118" s="1"/>
      <c r="C118" s="3" t="s">
        <v>22</v>
      </c>
      <c r="D118" s="1" t="s">
        <v>249</v>
      </c>
      <c r="E118" s="1">
        <v>2</v>
      </c>
      <c r="F118" s="1" t="s">
        <v>39</v>
      </c>
      <c r="G118" s="8"/>
      <c r="H118" s="1"/>
      <c r="I118" s="1"/>
      <c r="J118" s="1"/>
      <c r="K118" s="1"/>
      <c r="L118" s="1"/>
      <c r="M118" s="1"/>
    </row>
    <row r="119" spans="2:13" ht="16.8" x14ac:dyDescent="0.35">
      <c r="B119" s="1"/>
      <c r="C119" s="3" t="s">
        <v>23</v>
      </c>
      <c r="D119" s="1" t="s">
        <v>249</v>
      </c>
      <c r="E119" s="1">
        <v>2</v>
      </c>
      <c r="F119" s="1" t="s">
        <v>39</v>
      </c>
      <c r="G119" s="8"/>
      <c r="H119" s="1"/>
      <c r="I119" s="1"/>
      <c r="J119" s="1"/>
      <c r="K119" s="1"/>
      <c r="L119" s="1"/>
      <c r="M119" s="1"/>
    </row>
    <row r="120" spans="2:13" ht="16.8" x14ac:dyDescent="0.35">
      <c r="B120" s="1"/>
      <c r="C120" s="3" t="s">
        <v>24</v>
      </c>
      <c r="D120" s="1" t="s">
        <v>249</v>
      </c>
      <c r="E120" s="1">
        <v>2</v>
      </c>
      <c r="F120" s="1" t="s">
        <v>39</v>
      </c>
      <c r="G120" s="8"/>
      <c r="H120" s="1"/>
      <c r="I120" s="1"/>
      <c r="J120" s="1"/>
      <c r="K120" s="1"/>
      <c r="L120" s="1"/>
      <c r="M120" s="1"/>
    </row>
    <row r="121" spans="2:13" ht="16.8" x14ac:dyDescent="0.35">
      <c r="B121" s="1"/>
      <c r="C121" s="3" t="s">
        <v>25</v>
      </c>
      <c r="D121" s="1" t="s">
        <v>249</v>
      </c>
      <c r="E121" s="1">
        <v>2</v>
      </c>
      <c r="F121" s="1" t="s">
        <v>39</v>
      </c>
      <c r="G121" s="8"/>
      <c r="H121" s="1"/>
      <c r="I121" s="1"/>
      <c r="J121" s="1"/>
      <c r="K121" s="1"/>
      <c r="L121" s="1"/>
      <c r="M121" s="1"/>
    </row>
    <row r="122" spans="2:13" ht="16.8" x14ac:dyDescent="0.35">
      <c r="B122" s="1"/>
      <c r="C122" s="3" t="s">
        <v>26</v>
      </c>
      <c r="D122" s="1" t="s">
        <v>249</v>
      </c>
      <c r="E122" s="1">
        <v>2</v>
      </c>
      <c r="F122" s="1" t="s">
        <v>39</v>
      </c>
      <c r="G122" s="8"/>
      <c r="H122" s="1"/>
      <c r="I122" s="1"/>
      <c r="J122" s="1"/>
      <c r="K122" s="1"/>
      <c r="L122" s="1"/>
      <c r="M122" s="1"/>
    </row>
    <row r="123" spans="2:13" ht="16.8" x14ac:dyDescent="0.35">
      <c r="B123" s="1"/>
      <c r="C123" s="3" t="s">
        <v>27</v>
      </c>
      <c r="D123" s="1" t="s">
        <v>249</v>
      </c>
      <c r="E123" s="1">
        <v>2</v>
      </c>
      <c r="F123" s="1" t="s">
        <v>39</v>
      </c>
      <c r="G123" s="8"/>
      <c r="H123" s="1"/>
      <c r="I123" s="1"/>
      <c r="J123" s="1"/>
      <c r="K123" s="1"/>
      <c r="L123" s="1"/>
      <c r="M123" s="1"/>
    </row>
    <row r="124" spans="2:13" ht="16.8" x14ac:dyDescent="0.35">
      <c r="B124" s="1"/>
      <c r="C124" s="3" t="s">
        <v>28</v>
      </c>
      <c r="D124" s="1" t="s">
        <v>249</v>
      </c>
      <c r="E124" s="1">
        <v>2</v>
      </c>
      <c r="F124" s="1" t="s">
        <v>39</v>
      </c>
      <c r="G124" s="8"/>
      <c r="H124" s="1"/>
      <c r="I124" s="1"/>
      <c r="J124" s="1"/>
      <c r="K124" s="1"/>
      <c r="L124" s="1"/>
      <c r="M124" s="1"/>
    </row>
    <row r="125" spans="2:13" ht="16.8" x14ac:dyDescent="0.35">
      <c r="B125" s="1"/>
      <c r="C125" s="3" t="s">
        <v>29</v>
      </c>
      <c r="D125" s="1" t="s">
        <v>249</v>
      </c>
      <c r="E125" s="1">
        <v>2</v>
      </c>
      <c r="F125" s="1" t="s">
        <v>39</v>
      </c>
      <c r="G125" s="8"/>
      <c r="H125" s="1"/>
      <c r="I125" s="1"/>
      <c r="J125" s="1"/>
      <c r="K125" s="1"/>
      <c r="L125" s="1"/>
      <c r="M125" s="1"/>
    </row>
    <row r="126" spans="2:13" ht="16.8" x14ac:dyDescent="0.35">
      <c r="B126" s="1"/>
      <c r="C126" s="3" t="s">
        <v>30</v>
      </c>
      <c r="D126" s="1" t="s">
        <v>249</v>
      </c>
      <c r="E126" s="1">
        <v>2</v>
      </c>
      <c r="F126" s="1" t="s">
        <v>39</v>
      </c>
      <c r="G126" s="8"/>
      <c r="H126" s="1"/>
      <c r="I126" s="1"/>
      <c r="J126" s="1"/>
      <c r="K126" s="1"/>
      <c r="L126" s="1"/>
      <c r="M126" s="1"/>
    </row>
    <row r="127" spans="2:13" ht="16.8" x14ac:dyDescent="0.35">
      <c r="B127" s="1"/>
      <c r="C127" s="3" t="s">
        <v>31</v>
      </c>
      <c r="D127" s="1" t="s">
        <v>249</v>
      </c>
      <c r="E127" s="1">
        <v>2</v>
      </c>
      <c r="F127" s="1" t="s">
        <v>39</v>
      </c>
      <c r="G127" s="8"/>
      <c r="H127" s="1"/>
      <c r="I127" s="1"/>
      <c r="J127" s="1"/>
      <c r="K127" s="1"/>
      <c r="L127" s="1"/>
      <c r="M127" s="1"/>
    </row>
    <row r="128" spans="2:13" ht="16.8" x14ac:dyDescent="0.35">
      <c r="B128" s="1"/>
      <c r="C128" s="3" t="s">
        <v>32</v>
      </c>
      <c r="D128" s="1" t="s">
        <v>249</v>
      </c>
      <c r="E128" s="1">
        <v>2</v>
      </c>
      <c r="F128" s="1" t="s">
        <v>39</v>
      </c>
      <c r="G128" s="8"/>
      <c r="H128" s="1"/>
      <c r="I128" s="1"/>
      <c r="J128" s="1"/>
      <c r="K128" s="1"/>
      <c r="L128" s="1"/>
      <c r="M128" s="1"/>
    </row>
    <row r="129" spans="2:13" ht="16.8" x14ac:dyDescent="0.35">
      <c r="B129" s="1"/>
      <c r="C129" s="3" t="s">
        <v>33</v>
      </c>
      <c r="D129" s="1" t="s">
        <v>249</v>
      </c>
      <c r="E129" s="1">
        <v>2</v>
      </c>
      <c r="F129" s="1" t="s">
        <v>39</v>
      </c>
      <c r="G129" s="8"/>
      <c r="H129" s="1"/>
      <c r="I129" s="1"/>
      <c r="J129" s="1"/>
      <c r="K129" s="1"/>
      <c r="L129" s="1"/>
      <c r="M129" s="1"/>
    </row>
    <row r="130" spans="2:13" ht="16.8" x14ac:dyDescent="0.35">
      <c r="B130" s="1"/>
      <c r="C130" s="3" t="s">
        <v>34</v>
      </c>
      <c r="D130" s="1" t="s">
        <v>249</v>
      </c>
      <c r="E130" s="1">
        <v>2</v>
      </c>
      <c r="F130" s="1" t="s">
        <v>39</v>
      </c>
      <c r="G130" s="8"/>
      <c r="H130" s="1"/>
      <c r="I130" s="1"/>
      <c r="J130" s="1"/>
      <c r="K130" s="1"/>
      <c r="L130" s="1"/>
      <c r="M130" s="1"/>
    </row>
    <row r="131" spans="2:13" ht="16.8" x14ac:dyDescent="0.35">
      <c r="B131" s="1"/>
      <c r="C131" s="3" t="s">
        <v>35</v>
      </c>
      <c r="D131" s="1" t="s">
        <v>249</v>
      </c>
      <c r="E131" s="1">
        <v>2</v>
      </c>
      <c r="F131" s="1" t="s">
        <v>39</v>
      </c>
      <c r="G131" s="8"/>
      <c r="H131" s="1"/>
      <c r="I131" s="1"/>
      <c r="J131" s="1"/>
      <c r="K131" s="1"/>
      <c r="L131" s="1"/>
      <c r="M131" s="1"/>
    </row>
    <row r="132" spans="2:13" ht="16.8" x14ac:dyDescent="0.35">
      <c r="B132" s="1"/>
      <c r="C132" s="3" t="s">
        <v>36</v>
      </c>
      <c r="D132" s="1" t="s">
        <v>249</v>
      </c>
      <c r="E132" s="1">
        <v>2</v>
      </c>
      <c r="F132" s="1" t="s">
        <v>39</v>
      </c>
      <c r="G132" s="8"/>
      <c r="H132" s="1"/>
      <c r="I132" s="1"/>
      <c r="J132" s="1"/>
      <c r="K132" s="1"/>
      <c r="L132" s="1"/>
      <c r="M132" s="1"/>
    </row>
    <row r="133" spans="2:13" ht="16.8" x14ac:dyDescent="0.35">
      <c r="B133" s="1"/>
      <c r="C133" s="3" t="s">
        <v>37</v>
      </c>
      <c r="D133" s="1" t="s">
        <v>249</v>
      </c>
      <c r="E133" s="1">
        <v>2</v>
      </c>
      <c r="F133" s="1" t="s">
        <v>39</v>
      </c>
      <c r="G133" s="8"/>
      <c r="H133" s="1"/>
      <c r="I133" s="1"/>
      <c r="J133" s="1"/>
      <c r="K133" s="1"/>
      <c r="L133" s="1"/>
      <c r="M133" s="1"/>
    </row>
    <row r="134" spans="2:13" ht="16.8" x14ac:dyDescent="0.35">
      <c r="B134" s="1"/>
      <c r="C134" s="5" t="s">
        <v>38</v>
      </c>
      <c r="D134" s="1" t="s">
        <v>249</v>
      </c>
      <c r="E134" s="1">
        <v>1</v>
      </c>
      <c r="F134" s="1" t="s">
        <v>39</v>
      </c>
      <c r="G134" s="8"/>
      <c r="H134" s="1"/>
      <c r="I134" s="1"/>
      <c r="J134" s="1"/>
      <c r="K134" s="1"/>
      <c r="L134" s="1"/>
      <c r="M134" s="1"/>
    </row>
    <row r="135" spans="2:13" ht="16.8" x14ac:dyDescent="0.35">
      <c r="B135" s="1"/>
      <c r="C135" s="3" t="s">
        <v>39</v>
      </c>
      <c r="D135" s="1" t="s">
        <v>249</v>
      </c>
      <c r="E135" s="1">
        <v>2</v>
      </c>
      <c r="F135" s="1" t="s">
        <v>39</v>
      </c>
      <c r="G135" s="8"/>
      <c r="H135" s="1"/>
      <c r="I135" s="1"/>
      <c r="J135" s="1"/>
      <c r="K135" s="1"/>
      <c r="L135" s="1"/>
      <c r="M135" s="1"/>
    </row>
    <row r="136" spans="2:13" ht="16.8" x14ac:dyDescent="0.35">
      <c r="B136" s="1"/>
      <c r="C136" s="3" t="s">
        <v>40</v>
      </c>
      <c r="D136" s="1" t="s">
        <v>249</v>
      </c>
      <c r="E136" s="1">
        <v>2</v>
      </c>
      <c r="F136" s="1" t="s">
        <v>39</v>
      </c>
      <c r="G136" s="8"/>
      <c r="H136" s="1"/>
      <c r="I136" s="1"/>
      <c r="J136" s="1"/>
      <c r="K136" s="1"/>
      <c r="L136" s="1"/>
      <c r="M136" s="1"/>
    </row>
    <row r="137" spans="2:13" ht="16.8" x14ac:dyDescent="0.35">
      <c r="B137" s="1"/>
      <c r="C137" s="3" t="s">
        <v>41</v>
      </c>
      <c r="D137" s="1" t="s">
        <v>249</v>
      </c>
      <c r="E137" s="1">
        <v>2</v>
      </c>
      <c r="F137" s="1" t="s">
        <v>39</v>
      </c>
      <c r="G137" s="8"/>
      <c r="H137" s="1"/>
      <c r="I137" s="1"/>
      <c r="J137" s="1"/>
      <c r="K137" s="1"/>
      <c r="L137" s="1"/>
      <c r="M137" s="1"/>
    </row>
    <row r="138" spans="2:13" ht="16.8" x14ac:dyDescent="0.35">
      <c r="B138" s="1"/>
      <c r="C138" s="3" t="s">
        <v>42</v>
      </c>
      <c r="D138" s="1" t="s">
        <v>249</v>
      </c>
      <c r="E138" s="1">
        <v>2</v>
      </c>
      <c r="F138" s="1" t="s">
        <v>39</v>
      </c>
      <c r="G138" s="8"/>
      <c r="H138" s="1"/>
      <c r="I138" s="1"/>
      <c r="J138" s="1"/>
      <c r="K138" s="1"/>
      <c r="L138" s="1"/>
      <c r="M138" s="1"/>
    </row>
    <row r="139" spans="2:13" ht="16.8" x14ac:dyDescent="0.35">
      <c r="B139" s="1"/>
      <c r="C139" s="3" t="s">
        <v>43</v>
      </c>
      <c r="D139" s="1" t="s">
        <v>249</v>
      </c>
      <c r="E139" s="1">
        <v>2</v>
      </c>
      <c r="F139" s="1" t="s">
        <v>39</v>
      </c>
      <c r="G139" s="8"/>
      <c r="H139" s="1"/>
      <c r="I139" s="1"/>
      <c r="J139" s="1"/>
      <c r="K139" s="1"/>
      <c r="L139" s="1"/>
      <c r="M139" s="1"/>
    </row>
    <row r="140" spans="2:13" ht="16.8" x14ac:dyDescent="0.35">
      <c r="B140" s="1"/>
      <c r="C140" s="3" t="s">
        <v>44</v>
      </c>
      <c r="D140" s="1" t="s">
        <v>249</v>
      </c>
      <c r="E140" s="1">
        <v>2</v>
      </c>
      <c r="F140" s="1" t="s">
        <v>39</v>
      </c>
      <c r="G140" s="8"/>
      <c r="H140" s="1"/>
      <c r="I140" s="1"/>
      <c r="J140" s="1"/>
      <c r="K140" s="1"/>
      <c r="L140" s="1"/>
      <c r="M140" s="1"/>
    </row>
    <row r="141" spans="2:13" ht="16.8" x14ac:dyDescent="0.35">
      <c r="B141" s="1"/>
      <c r="C141" s="3" t="s">
        <v>45</v>
      </c>
      <c r="D141" s="1" t="s">
        <v>249</v>
      </c>
      <c r="E141" s="1">
        <v>2</v>
      </c>
      <c r="F141" s="1" t="s">
        <v>39</v>
      </c>
      <c r="G141" s="8"/>
      <c r="H141" s="1"/>
      <c r="I141" s="1"/>
      <c r="J141" s="1"/>
      <c r="K141" s="1"/>
      <c r="L141" s="1"/>
      <c r="M141" s="1"/>
    </row>
    <row r="142" spans="2:13" ht="16.8" x14ac:dyDescent="0.35">
      <c r="B142" s="1"/>
      <c r="C142" s="3" t="s">
        <v>46</v>
      </c>
      <c r="D142" s="1" t="s">
        <v>249</v>
      </c>
      <c r="E142" s="1">
        <v>2</v>
      </c>
      <c r="F142" s="1" t="s">
        <v>39</v>
      </c>
      <c r="G142" s="8"/>
      <c r="H142" s="1"/>
      <c r="I142" s="1"/>
      <c r="J142" s="1"/>
      <c r="K142" s="1"/>
      <c r="L142" s="1"/>
      <c r="M142" s="1"/>
    </row>
    <row r="143" spans="2:13" ht="16.8" x14ac:dyDescent="0.35">
      <c r="B143" s="1"/>
      <c r="C143" s="3" t="s">
        <v>47</v>
      </c>
      <c r="D143" s="1" t="s">
        <v>249</v>
      </c>
      <c r="E143" s="1">
        <v>2</v>
      </c>
      <c r="F143" s="1" t="s">
        <v>39</v>
      </c>
      <c r="G143" s="8"/>
      <c r="H143" s="1"/>
      <c r="I143" s="1"/>
      <c r="J143" s="1"/>
      <c r="K143" s="1"/>
      <c r="L143" s="1"/>
      <c r="M143" s="1"/>
    </row>
    <row r="144" spans="2:13" ht="16.8" x14ac:dyDescent="0.35">
      <c r="B144" s="1"/>
      <c r="C144" s="3" t="s">
        <v>48</v>
      </c>
      <c r="D144" s="1" t="s">
        <v>249</v>
      </c>
      <c r="E144" s="1">
        <v>2</v>
      </c>
      <c r="F144" s="1" t="s">
        <v>39</v>
      </c>
      <c r="G144" s="8"/>
      <c r="H144" s="1"/>
      <c r="I144" s="1"/>
      <c r="J144" s="1"/>
      <c r="K144" s="1"/>
      <c r="L144" s="1"/>
      <c r="M144" s="1"/>
    </row>
    <row r="145" spans="2:13" ht="16.8" x14ac:dyDescent="0.35">
      <c r="B145" s="1"/>
      <c r="C145" s="3" t="s">
        <v>49</v>
      </c>
      <c r="D145" s="1" t="s">
        <v>249</v>
      </c>
      <c r="E145" s="1">
        <v>2</v>
      </c>
      <c r="F145" s="1" t="s">
        <v>39</v>
      </c>
      <c r="G145" s="8"/>
      <c r="H145" s="1"/>
      <c r="I145" s="1"/>
      <c r="J145" s="1"/>
      <c r="K145" s="1"/>
      <c r="L145" s="1"/>
      <c r="M145" s="1"/>
    </row>
    <row r="146" spans="2:13" ht="16.8" x14ac:dyDescent="0.35">
      <c r="B146" s="1"/>
      <c r="C146" s="3" t="s">
        <v>50</v>
      </c>
      <c r="D146" s="1" t="s">
        <v>249</v>
      </c>
      <c r="E146" s="1">
        <v>2</v>
      </c>
      <c r="F146" s="1" t="s">
        <v>39</v>
      </c>
      <c r="G146" s="8"/>
      <c r="H146" s="1"/>
      <c r="I146" s="1"/>
      <c r="J146" s="1"/>
      <c r="K146" s="1"/>
      <c r="L146" s="1"/>
      <c r="M146" s="1"/>
    </row>
    <row r="147" spans="2:13" ht="16.8" x14ac:dyDescent="0.35">
      <c r="B147" s="1"/>
      <c r="C147" s="3" t="s">
        <v>51</v>
      </c>
      <c r="D147" s="1" t="s">
        <v>249</v>
      </c>
      <c r="E147" s="1">
        <v>2</v>
      </c>
      <c r="F147" s="1" t="s">
        <v>39</v>
      </c>
      <c r="G147" s="8"/>
      <c r="H147" s="1"/>
      <c r="I147" s="1"/>
      <c r="J147" s="1"/>
      <c r="K147" s="1"/>
      <c r="L147" s="1"/>
      <c r="M147" s="1"/>
    </row>
    <row r="148" spans="2:13" ht="16.8" x14ac:dyDescent="0.35">
      <c r="B148" s="1"/>
      <c r="C148" s="3" t="s">
        <v>52</v>
      </c>
      <c r="D148" s="1" t="s">
        <v>249</v>
      </c>
      <c r="E148" s="1">
        <v>2</v>
      </c>
      <c r="F148" s="1" t="s">
        <v>39</v>
      </c>
      <c r="G148" s="8"/>
      <c r="H148" s="1"/>
      <c r="I148" s="1"/>
      <c r="J148" s="1"/>
      <c r="K148" s="1"/>
      <c r="L148" s="1"/>
      <c r="M148" s="1"/>
    </row>
    <row r="149" spans="2:13" ht="16.8" x14ac:dyDescent="0.35">
      <c r="B149" s="1"/>
      <c r="C149" s="3" t="s">
        <v>53</v>
      </c>
      <c r="D149" s="1" t="s">
        <v>249</v>
      </c>
      <c r="E149" s="1">
        <v>2</v>
      </c>
      <c r="F149" s="1" t="s">
        <v>39</v>
      </c>
      <c r="G149" s="8"/>
      <c r="H149" s="1"/>
      <c r="I149" s="1"/>
      <c r="J149" s="1"/>
      <c r="K149" s="1"/>
      <c r="L149" s="1"/>
      <c r="M149" s="1"/>
    </row>
    <row r="150" spans="2:13" ht="16.8" x14ac:dyDescent="0.35">
      <c r="B150" s="1"/>
      <c r="C150" s="3" t="s">
        <v>54</v>
      </c>
      <c r="D150" s="1" t="s">
        <v>249</v>
      </c>
      <c r="E150" s="1">
        <v>2</v>
      </c>
      <c r="F150" s="1" t="s">
        <v>39</v>
      </c>
      <c r="G150" s="8"/>
      <c r="H150" s="1"/>
      <c r="I150" s="1"/>
      <c r="J150" s="1"/>
      <c r="K150" s="1"/>
      <c r="L150" s="1"/>
      <c r="M150" s="1"/>
    </row>
    <row r="151" spans="2:13" ht="16.8" x14ac:dyDescent="0.35">
      <c r="B151" s="1"/>
      <c r="C151" s="3" t="s">
        <v>55</v>
      </c>
      <c r="D151" s="1" t="s">
        <v>249</v>
      </c>
      <c r="E151" s="1">
        <v>2</v>
      </c>
      <c r="F151" s="1" t="s">
        <v>39</v>
      </c>
      <c r="G151" s="8"/>
      <c r="H151" s="1"/>
      <c r="I151" s="1"/>
      <c r="J151" s="1"/>
      <c r="K151" s="1"/>
      <c r="L151" s="1"/>
      <c r="M151" s="1"/>
    </row>
    <row r="152" spans="2:13" ht="16.8" x14ac:dyDescent="0.35">
      <c r="B152" s="1"/>
      <c r="C152" s="3" t="s">
        <v>56</v>
      </c>
      <c r="D152" s="1" t="s">
        <v>249</v>
      </c>
      <c r="E152" s="1">
        <v>2</v>
      </c>
      <c r="F152" s="1" t="s">
        <v>39</v>
      </c>
      <c r="G152" s="8"/>
      <c r="H152" s="1"/>
      <c r="I152" s="1"/>
      <c r="J152" s="1"/>
      <c r="K152" s="1"/>
      <c r="L152" s="1"/>
      <c r="M152" s="1"/>
    </row>
    <row r="153" spans="2:13" ht="16.8" x14ac:dyDescent="0.35">
      <c r="B153" s="1"/>
      <c r="C153" s="5" t="s">
        <v>57</v>
      </c>
      <c r="D153" s="1" t="s">
        <v>249</v>
      </c>
      <c r="E153" s="6">
        <v>1</v>
      </c>
      <c r="F153" s="1" t="s">
        <v>39</v>
      </c>
      <c r="G153" s="8"/>
      <c r="H153" s="1"/>
      <c r="I153" s="1"/>
      <c r="J153" s="1"/>
      <c r="K153" s="1"/>
      <c r="L153" s="1"/>
      <c r="M153" s="1"/>
    </row>
    <row r="154" spans="2:13" ht="16.8" x14ac:dyDescent="0.35">
      <c r="B154" s="1"/>
      <c r="C154" s="3" t="s">
        <v>58</v>
      </c>
      <c r="D154" s="1" t="s">
        <v>249</v>
      </c>
      <c r="E154" s="1">
        <v>2</v>
      </c>
      <c r="F154" s="1" t="s">
        <v>39</v>
      </c>
      <c r="G154" s="8"/>
      <c r="H154" s="1"/>
      <c r="I154" s="1"/>
      <c r="J154" s="1"/>
      <c r="K154" s="1"/>
      <c r="L154" s="1"/>
      <c r="M154" s="1"/>
    </row>
    <row r="155" spans="2:13" ht="16.8" x14ac:dyDescent="0.35">
      <c r="B155" s="1"/>
      <c r="C155" s="3" t="s">
        <v>59</v>
      </c>
      <c r="D155" s="1" t="s">
        <v>249</v>
      </c>
      <c r="E155" s="1">
        <v>2</v>
      </c>
      <c r="F155" s="1" t="s">
        <v>39</v>
      </c>
      <c r="G155" s="8"/>
      <c r="H155" s="1"/>
      <c r="I155" s="1"/>
      <c r="J155" s="1"/>
      <c r="K155" s="1"/>
      <c r="L155" s="1"/>
      <c r="M155" s="1"/>
    </row>
    <row r="156" spans="2:13" ht="16.8" x14ac:dyDescent="0.35">
      <c r="B156" s="1"/>
      <c r="C156" s="3" t="s">
        <v>60</v>
      </c>
      <c r="D156" s="1" t="s">
        <v>249</v>
      </c>
      <c r="E156" s="1">
        <v>2</v>
      </c>
      <c r="F156" s="1" t="s">
        <v>39</v>
      </c>
      <c r="G156" s="8"/>
      <c r="H156" s="1"/>
      <c r="I156" s="1"/>
      <c r="J156" s="1"/>
      <c r="K156" s="1"/>
      <c r="L156" s="1"/>
      <c r="M156" s="1"/>
    </row>
    <row r="157" spans="2:13" ht="16.8" x14ac:dyDescent="0.35">
      <c r="B157" s="1"/>
      <c r="C157" s="3" t="s">
        <v>61</v>
      </c>
      <c r="D157" s="1" t="s">
        <v>249</v>
      </c>
      <c r="E157" s="1">
        <v>2</v>
      </c>
      <c r="F157" s="1" t="s">
        <v>39</v>
      </c>
      <c r="G157" s="8"/>
      <c r="H157" s="1"/>
      <c r="I157" s="1"/>
      <c r="J157" s="1"/>
      <c r="K157" s="1"/>
      <c r="L157" s="1"/>
      <c r="M157" s="1"/>
    </row>
    <row r="158" spans="2:13" ht="16.8" x14ac:dyDescent="0.35">
      <c r="B158" s="1"/>
      <c r="C158" s="3" t="s">
        <v>62</v>
      </c>
      <c r="D158" s="1" t="s">
        <v>249</v>
      </c>
      <c r="E158" s="1">
        <v>2</v>
      </c>
      <c r="F158" s="1" t="s">
        <v>39</v>
      </c>
      <c r="G158" s="8"/>
      <c r="H158" s="1"/>
      <c r="I158" s="1"/>
      <c r="J158" s="1"/>
      <c r="K158" s="1"/>
      <c r="L158" s="1"/>
      <c r="M158" s="1"/>
    </row>
    <row r="159" spans="2:13" ht="16.8" x14ac:dyDescent="0.35">
      <c r="B159" s="1"/>
      <c r="C159" s="3" t="s">
        <v>63</v>
      </c>
      <c r="D159" s="1" t="s">
        <v>249</v>
      </c>
      <c r="E159" s="1">
        <v>2</v>
      </c>
      <c r="F159" s="1" t="s">
        <v>39</v>
      </c>
      <c r="G159" s="8"/>
      <c r="H159" s="1"/>
      <c r="I159" s="1"/>
      <c r="J159" s="1"/>
      <c r="K159" s="1"/>
      <c r="L159" s="1"/>
      <c r="M159" s="1"/>
    </row>
    <row r="160" spans="2:13" ht="16.8" x14ac:dyDescent="0.35">
      <c r="B160" s="1"/>
      <c r="C160" s="3" t="s">
        <v>64</v>
      </c>
      <c r="D160" s="1" t="s">
        <v>249</v>
      </c>
      <c r="E160" s="1">
        <v>2</v>
      </c>
      <c r="F160" s="1" t="s">
        <v>39</v>
      </c>
      <c r="G160" s="8"/>
      <c r="H160" s="1"/>
      <c r="I160" s="1"/>
      <c r="J160" s="1"/>
      <c r="K160" s="1"/>
      <c r="L160" s="1"/>
      <c r="M160" s="1"/>
    </row>
    <row r="161" spans="2:13" ht="16.8" x14ac:dyDescent="0.35">
      <c r="B161" s="1"/>
      <c r="C161" s="3" t="s">
        <v>65</v>
      </c>
      <c r="D161" s="1" t="s">
        <v>249</v>
      </c>
      <c r="E161" s="1">
        <v>2</v>
      </c>
      <c r="F161" s="1" t="s">
        <v>39</v>
      </c>
      <c r="G161" s="8"/>
      <c r="H161" s="1"/>
      <c r="I161" s="1"/>
      <c r="J161" s="1"/>
      <c r="K161" s="1"/>
      <c r="L161" s="1"/>
      <c r="M161" s="1"/>
    </row>
    <row r="162" spans="2:13" ht="16.8" x14ac:dyDescent="0.35">
      <c r="B162" s="1"/>
      <c r="C162" s="3" t="s">
        <v>66</v>
      </c>
      <c r="D162" s="1" t="s">
        <v>249</v>
      </c>
      <c r="E162" s="1">
        <v>2</v>
      </c>
      <c r="F162" s="1" t="s">
        <v>39</v>
      </c>
      <c r="G162" s="8"/>
      <c r="H162" s="1"/>
      <c r="I162" s="1"/>
      <c r="J162" s="1"/>
      <c r="K162" s="1"/>
      <c r="L162" s="1"/>
      <c r="M162" s="1"/>
    </row>
    <row r="163" spans="2:13" ht="16.8" x14ac:dyDescent="0.35">
      <c r="B163" s="1"/>
      <c r="C163" s="3" t="s">
        <v>67</v>
      </c>
      <c r="D163" s="1" t="s">
        <v>249</v>
      </c>
      <c r="E163" s="1">
        <v>2</v>
      </c>
      <c r="F163" s="1" t="s">
        <v>39</v>
      </c>
      <c r="G163" s="8"/>
      <c r="H163" s="1"/>
      <c r="I163" s="1"/>
      <c r="J163" s="1"/>
      <c r="K163" s="1"/>
      <c r="L163" s="1"/>
      <c r="M163" s="1"/>
    </row>
    <row r="164" spans="2:13" ht="16.8" x14ac:dyDescent="0.35">
      <c r="B164" s="1"/>
      <c r="C164" s="3" t="s">
        <v>68</v>
      </c>
      <c r="D164" s="1" t="s">
        <v>249</v>
      </c>
      <c r="E164" s="1">
        <v>2</v>
      </c>
      <c r="F164" s="1" t="s">
        <v>39</v>
      </c>
      <c r="G164" s="8"/>
      <c r="H164" s="1"/>
      <c r="I164" s="1"/>
      <c r="J164" s="1"/>
      <c r="K164" s="1"/>
      <c r="L164" s="1"/>
      <c r="M164" s="1"/>
    </row>
    <row r="165" spans="2:13" ht="16.8" x14ac:dyDescent="0.35">
      <c r="B165" s="1"/>
      <c r="C165" s="3" t="s">
        <v>69</v>
      </c>
      <c r="D165" s="1" t="s">
        <v>249</v>
      </c>
      <c r="E165" s="1">
        <v>2</v>
      </c>
      <c r="F165" s="1" t="s">
        <v>39</v>
      </c>
      <c r="G165" s="8"/>
      <c r="H165" s="1"/>
      <c r="I165" s="1"/>
      <c r="J165" s="1"/>
      <c r="K165" s="1"/>
      <c r="L165" s="1"/>
      <c r="M165" s="1"/>
    </row>
    <row r="166" spans="2:13" ht="16.8" x14ac:dyDescent="0.35">
      <c r="B166" s="1"/>
      <c r="C166" s="3" t="s">
        <v>70</v>
      </c>
      <c r="D166" s="1" t="s">
        <v>249</v>
      </c>
      <c r="E166" s="1">
        <v>2</v>
      </c>
      <c r="F166" s="1" t="s">
        <v>39</v>
      </c>
      <c r="G166" s="8"/>
      <c r="H166" s="1"/>
      <c r="I166" s="1"/>
      <c r="J166" s="1"/>
      <c r="K166" s="1"/>
      <c r="L166" s="1"/>
      <c r="M166" s="1"/>
    </row>
    <row r="167" spans="2:13" ht="16.8" x14ac:dyDescent="0.35">
      <c r="B167" s="1"/>
      <c r="C167" s="3" t="s">
        <v>71</v>
      </c>
      <c r="D167" s="1" t="s">
        <v>249</v>
      </c>
      <c r="E167" s="1">
        <v>2</v>
      </c>
      <c r="F167" s="1" t="s">
        <v>39</v>
      </c>
      <c r="G167" s="8"/>
      <c r="H167" s="1"/>
      <c r="I167" s="1"/>
      <c r="J167" s="1"/>
      <c r="K167" s="1"/>
      <c r="L167" s="1"/>
      <c r="M167" s="1"/>
    </row>
    <row r="168" spans="2:13" ht="16.8" x14ac:dyDescent="0.35">
      <c r="B168" s="1"/>
      <c r="C168" s="3" t="s">
        <v>72</v>
      </c>
      <c r="D168" s="1" t="s">
        <v>249</v>
      </c>
      <c r="E168" s="1">
        <v>2</v>
      </c>
      <c r="F168" s="1" t="s">
        <v>39</v>
      </c>
      <c r="G168" s="8"/>
      <c r="H168" s="1"/>
      <c r="I168" s="1"/>
      <c r="J168" s="1"/>
      <c r="K168" s="1"/>
      <c r="L168" s="1"/>
      <c r="M168" s="1"/>
    </row>
    <row r="169" spans="2:13" ht="16.8" x14ac:dyDescent="0.35">
      <c r="B169" s="1"/>
      <c r="C169" s="3" t="s">
        <v>73</v>
      </c>
      <c r="D169" s="1" t="s">
        <v>249</v>
      </c>
      <c r="E169" s="1">
        <v>2</v>
      </c>
      <c r="F169" s="1" t="s">
        <v>39</v>
      </c>
      <c r="G169" s="8"/>
      <c r="H169" s="1"/>
      <c r="I169" s="1"/>
      <c r="J169" s="1"/>
      <c r="K169" s="1"/>
      <c r="L169" s="1"/>
      <c r="M169" s="1"/>
    </row>
    <row r="170" spans="2:13" ht="16.8" x14ac:dyDescent="0.35">
      <c r="B170" s="1"/>
      <c r="C170" s="3" t="s">
        <v>74</v>
      </c>
      <c r="D170" s="1" t="s">
        <v>249</v>
      </c>
      <c r="E170" s="1">
        <v>2</v>
      </c>
      <c r="F170" s="1" t="s">
        <v>39</v>
      </c>
      <c r="G170" s="8"/>
      <c r="H170" s="1"/>
      <c r="I170" s="1"/>
      <c r="J170" s="1"/>
      <c r="K170" s="1"/>
      <c r="L170" s="1"/>
      <c r="M170" s="1"/>
    </row>
    <row r="171" spans="2:13" ht="16.8" x14ac:dyDescent="0.35">
      <c r="B171" s="1"/>
      <c r="C171" s="3" t="s">
        <v>75</v>
      </c>
      <c r="D171" s="1" t="s">
        <v>249</v>
      </c>
      <c r="E171" s="1">
        <v>2</v>
      </c>
      <c r="F171" s="1" t="s">
        <v>39</v>
      </c>
      <c r="G171" s="8"/>
      <c r="H171" s="1"/>
      <c r="I171" s="1"/>
      <c r="J171" s="1"/>
      <c r="K171" s="1"/>
      <c r="L171" s="1"/>
      <c r="M171" s="1"/>
    </row>
    <row r="172" spans="2:13" ht="16.8" x14ac:dyDescent="0.35">
      <c r="B172" s="1"/>
      <c r="C172" s="5" t="s">
        <v>76</v>
      </c>
      <c r="D172" s="1" t="s">
        <v>249</v>
      </c>
      <c r="E172" s="1">
        <v>1</v>
      </c>
      <c r="F172" s="1" t="s">
        <v>39</v>
      </c>
      <c r="G172" s="8"/>
      <c r="H172" s="1"/>
      <c r="I172" s="1"/>
      <c r="J172" s="1"/>
      <c r="K172" s="1"/>
      <c r="L172" s="1"/>
      <c r="M172" s="1"/>
    </row>
    <row r="173" spans="2:13" ht="16.8" x14ac:dyDescent="0.35">
      <c r="B173" s="1"/>
      <c r="C173" s="3" t="s">
        <v>77</v>
      </c>
      <c r="D173" s="1" t="s">
        <v>249</v>
      </c>
      <c r="E173" s="1">
        <v>2</v>
      </c>
      <c r="F173" s="1" t="s">
        <v>39</v>
      </c>
      <c r="G173" s="8"/>
      <c r="H173" s="1"/>
      <c r="I173" s="1"/>
      <c r="J173" s="1"/>
      <c r="K173" s="1"/>
      <c r="L173" s="1"/>
      <c r="M173" s="1"/>
    </row>
    <row r="174" spans="2:13" ht="16.8" x14ac:dyDescent="0.35">
      <c r="B174" s="1"/>
      <c r="C174" s="3" t="s">
        <v>78</v>
      </c>
      <c r="D174" s="1" t="s">
        <v>249</v>
      </c>
      <c r="E174" s="1">
        <v>2</v>
      </c>
      <c r="F174" s="1" t="s">
        <v>39</v>
      </c>
      <c r="G174" s="8"/>
      <c r="H174" s="1"/>
      <c r="I174" s="1"/>
      <c r="J174" s="1"/>
      <c r="K174" s="1"/>
      <c r="L174" s="1"/>
      <c r="M174" s="1"/>
    </row>
    <row r="175" spans="2:13" ht="16.8" x14ac:dyDescent="0.35">
      <c r="B175" s="1"/>
      <c r="C175" s="3" t="s">
        <v>79</v>
      </c>
      <c r="D175" s="1" t="s">
        <v>249</v>
      </c>
      <c r="E175" s="1">
        <v>2</v>
      </c>
      <c r="F175" s="1" t="s">
        <v>39</v>
      </c>
      <c r="G175" s="8"/>
      <c r="H175" s="1"/>
      <c r="I175" s="1"/>
      <c r="J175" s="1"/>
      <c r="K175" s="1"/>
      <c r="L175" s="1"/>
      <c r="M175" s="1"/>
    </row>
    <row r="176" spans="2:13" ht="16.8" x14ac:dyDescent="0.35">
      <c r="B176" s="1"/>
      <c r="C176" s="3" t="s">
        <v>80</v>
      </c>
      <c r="D176" s="1" t="s">
        <v>249</v>
      </c>
      <c r="E176" s="1">
        <v>2</v>
      </c>
      <c r="F176" s="1" t="s">
        <v>39</v>
      </c>
      <c r="G176" s="8"/>
      <c r="H176" s="1"/>
      <c r="I176" s="1"/>
      <c r="J176" s="1"/>
      <c r="K176" s="1"/>
      <c r="L176" s="1"/>
      <c r="M176" s="1"/>
    </row>
    <row r="177" spans="2:13" ht="16.8" x14ac:dyDescent="0.35">
      <c r="B177" s="1"/>
      <c r="C177" s="3" t="s">
        <v>81</v>
      </c>
      <c r="D177" s="1" t="s">
        <v>249</v>
      </c>
      <c r="E177" s="1">
        <v>2</v>
      </c>
      <c r="F177" s="1" t="s">
        <v>39</v>
      </c>
      <c r="G177" s="8"/>
      <c r="H177" s="1"/>
      <c r="I177" s="1"/>
      <c r="J177" s="1"/>
      <c r="K177" s="1"/>
      <c r="L177" s="1"/>
      <c r="M177" s="1"/>
    </row>
    <row r="178" spans="2:13" ht="16.8" x14ac:dyDescent="0.35">
      <c r="B178" s="1"/>
      <c r="C178" s="3" t="s">
        <v>82</v>
      </c>
      <c r="D178" s="1" t="s">
        <v>249</v>
      </c>
      <c r="E178" s="1">
        <v>2</v>
      </c>
      <c r="F178" s="1" t="s">
        <v>39</v>
      </c>
      <c r="G178" s="8"/>
      <c r="H178" s="1"/>
      <c r="I178" s="1"/>
      <c r="J178" s="1"/>
      <c r="K178" s="1"/>
      <c r="L178" s="1"/>
      <c r="M178" s="1"/>
    </row>
    <row r="179" spans="2:13" ht="16.8" x14ac:dyDescent="0.35">
      <c r="B179" s="1"/>
      <c r="C179" s="3" t="s">
        <v>83</v>
      </c>
      <c r="D179" s="1" t="s">
        <v>249</v>
      </c>
      <c r="E179" s="1">
        <v>2</v>
      </c>
      <c r="F179" s="1" t="s">
        <v>39</v>
      </c>
      <c r="G179" s="8"/>
      <c r="H179" s="1"/>
      <c r="I179" s="1"/>
      <c r="J179" s="1"/>
      <c r="K179" s="1"/>
      <c r="L179" s="1"/>
      <c r="M179" s="1"/>
    </row>
    <row r="180" spans="2:13" ht="16.8" x14ac:dyDescent="0.35">
      <c r="B180" s="1"/>
      <c r="C180" s="3" t="s">
        <v>84</v>
      </c>
      <c r="D180" s="1" t="s">
        <v>249</v>
      </c>
      <c r="E180" s="1">
        <v>2</v>
      </c>
      <c r="F180" s="1" t="s">
        <v>39</v>
      </c>
      <c r="G180" s="8"/>
      <c r="H180" s="1"/>
      <c r="I180" s="1"/>
      <c r="J180" s="1"/>
      <c r="K180" s="1"/>
      <c r="L180" s="1"/>
      <c r="M180" s="1"/>
    </row>
    <row r="181" spans="2:13" ht="16.8" x14ac:dyDescent="0.35">
      <c r="B181" s="1"/>
      <c r="C181" s="3" t="s">
        <v>85</v>
      </c>
      <c r="D181" s="1" t="s">
        <v>249</v>
      </c>
      <c r="E181" s="1">
        <v>2</v>
      </c>
      <c r="F181" s="1" t="s">
        <v>39</v>
      </c>
      <c r="G181" s="8"/>
      <c r="H181" s="1"/>
      <c r="I181" s="1"/>
      <c r="J181" s="1"/>
      <c r="K181" s="1"/>
      <c r="L181" s="1"/>
      <c r="M181" s="1"/>
    </row>
    <row r="182" spans="2:13" ht="16.8" x14ac:dyDescent="0.35">
      <c r="B182" s="1"/>
      <c r="C182" s="3" t="s">
        <v>86</v>
      </c>
      <c r="D182" s="1" t="s">
        <v>249</v>
      </c>
      <c r="E182" s="1">
        <v>2</v>
      </c>
      <c r="F182" s="1" t="s">
        <v>39</v>
      </c>
      <c r="G182" s="8"/>
      <c r="H182" s="1"/>
      <c r="I182" s="1"/>
      <c r="J182" s="1"/>
      <c r="K182" s="1"/>
      <c r="L182" s="1"/>
      <c r="M182" s="1"/>
    </row>
    <row r="183" spans="2:13" ht="16.8" x14ac:dyDescent="0.35">
      <c r="B183" s="1"/>
      <c r="C183" s="3" t="s">
        <v>87</v>
      </c>
      <c r="D183" s="1" t="s">
        <v>249</v>
      </c>
      <c r="E183" s="1">
        <v>2</v>
      </c>
      <c r="F183" s="1" t="s">
        <v>39</v>
      </c>
      <c r="G183" s="8"/>
      <c r="H183" s="1"/>
      <c r="I183" s="1"/>
      <c r="J183" s="1"/>
      <c r="K183" s="1"/>
      <c r="L183" s="1"/>
      <c r="M183" s="1"/>
    </row>
    <row r="184" spans="2:13" ht="16.8" x14ac:dyDescent="0.35">
      <c r="B184" s="1"/>
      <c r="C184" s="3" t="s">
        <v>88</v>
      </c>
      <c r="D184" s="1" t="s">
        <v>249</v>
      </c>
      <c r="E184" s="1">
        <v>2</v>
      </c>
      <c r="F184" s="1" t="s">
        <v>39</v>
      </c>
      <c r="G184" s="8"/>
      <c r="H184" s="1"/>
      <c r="I184" s="1"/>
      <c r="J184" s="1"/>
      <c r="K184" s="1"/>
      <c r="L184" s="1"/>
      <c r="M184" s="1"/>
    </row>
    <row r="185" spans="2:13" ht="16.8" x14ac:dyDescent="0.35">
      <c r="B185" s="1"/>
      <c r="C185" s="3" t="s">
        <v>89</v>
      </c>
      <c r="D185" s="1" t="s">
        <v>249</v>
      </c>
      <c r="E185" s="1">
        <v>2</v>
      </c>
      <c r="F185" s="1" t="s">
        <v>39</v>
      </c>
      <c r="G185" s="8"/>
      <c r="H185" s="1"/>
      <c r="I185" s="1"/>
      <c r="J185" s="1"/>
      <c r="K185" s="1"/>
      <c r="L185" s="1"/>
      <c r="M185" s="1"/>
    </row>
    <row r="186" spans="2:13" ht="16.8" x14ac:dyDescent="0.35">
      <c r="B186" s="1"/>
      <c r="C186" s="3" t="s">
        <v>90</v>
      </c>
      <c r="D186" s="1" t="s">
        <v>249</v>
      </c>
      <c r="E186" s="1">
        <v>2</v>
      </c>
      <c r="F186" s="1" t="s">
        <v>39</v>
      </c>
      <c r="G186" s="8"/>
      <c r="H186" s="1"/>
      <c r="I186" s="1"/>
      <c r="J186" s="1"/>
      <c r="K186" s="1"/>
      <c r="L186" s="1"/>
      <c r="M186" s="1"/>
    </row>
    <row r="187" spans="2:13" ht="16.8" x14ac:dyDescent="0.35">
      <c r="B187" s="1"/>
      <c r="C187" s="3" t="s">
        <v>91</v>
      </c>
      <c r="D187" s="1" t="s">
        <v>249</v>
      </c>
      <c r="E187" s="1">
        <v>2</v>
      </c>
      <c r="F187" s="1" t="s">
        <v>39</v>
      </c>
      <c r="G187" s="8"/>
      <c r="H187" s="1"/>
      <c r="I187" s="1"/>
      <c r="J187" s="1"/>
      <c r="K187" s="1"/>
      <c r="L187" s="1"/>
      <c r="M187" s="1"/>
    </row>
    <row r="188" spans="2:13" ht="16.8" x14ac:dyDescent="0.35">
      <c r="B188" s="1"/>
      <c r="C188" s="3" t="s">
        <v>92</v>
      </c>
      <c r="D188" s="1" t="s">
        <v>249</v>
      </c>
      <c r="E188" s="1">
        <v>2</v>
      </c>
      <c r="F188" s="1" t="s">
        <v>39</v>
      </c>
      <c r="G188" s="8"/>
      <c r="H188" s="1"/>
      <c r="I188" s="1"/>
      <c r="J188" s="1"/>
      <c r="K188" s="1"/>
      <c r="L188" s="1"/>
      <c r="M188" s="1"/>
    </row>
    <row r="189" spans="2:13" ht="16.8" x14ac:dyDescent="0.35">
      <c r="B189" s="1"/>
      <c r="C189" s="3" t="s">
        <v>93</v>
      </c>
      <c r="D189" s="1" t="s">
        <v>249</v>
      </c>
      <c r="E189" s="1">
        <v>2</v>
      </c>
      <c r="F189" s="1" t="s">
        <v>39</v>
      </c>
      <c r="G189" s="8"/>
      <c r="H189" s="1"/>
      <c r="I189" s="1"/>
      <c r="J189" s="1"/>
      <c r="K189" s="1"/>
      <c r="L189" s="1"/>
      <c r="M189" s="1"/>
    </row>
    <row r="190" spans="2:13" ht="16.8" x14ac:dyDescent="0.35">
      <c r="B190" s="1"/>
      <c r="C190" s="3" t="s">
        <v>94</v>
      </c>
      <c r="D190" s="1" t="s">
        <v>249</v>
      </c>
      <c r="E190" s="1">
        <v>2</v>
      </c>
      <c r="F190" s="1" t="s">
        <v>39</v>
      </c>
      <c r="G190" s="8"/>
      <c r="H190" s="1"/>
      <c r="I190" s="1"/>
      <c r="J190" s="1"/>
      <c r="K190" s="1"/>
      <c r="L190" s="1"/>
      <c r="M190" s="1"/>
    </row>
    <row r="191" spans="2:13" ht="16.8" x14ac:dyDescent="0.35">
      <c r="B191" s="1"/>
      <c r="C191" s="5" t="s">
        <v>95</v>
      </c>
      <c r="D191" s="1" t="s">
        <v>251</v>
      </c>
      <c r="E191" s="1">
        <v>1</v>
      </c>
      <c r="F191" s="1" t="s">
        <v>65</v>
      </c>
      <c r="G191" s="8"/>
      <c r="H191" s="1"/>
      <c r="I191" s="1"/>
      <c r="J191" s="1"/>
      <c r="K191" s="1"/>
      <c r="L191" s="1"/>
      <c r="M191" s="1"/>
    </row>
    <row r="192" spans="2:13" ht="16.8" x14ac:dyDescent="0.35">
      <c r="B192" s="1"/>
      <c r="C192" s="3" t="s">
        <v>96</v>
      </c>
      <c r="D192" s="1" t="s">
        <v>251</v>
      </c>
      <c r="E192" s="1">
        <v>2</v>
      </c>
      <c r="F192" s="1" t="s">
        <v>65</v>
      </c>
      <c r="G192" s="8"/>
      <c r="H192" s="1"/>
      <c r="I192" s="1"/>
      <c r="J192" s="1"/>
      <c r="K192" s="1"/>
      <c r="L192" s="1"/>
      <c r="M192" s="1"/>
    </row>
    <row r="193" spans="2:13" ht="16.8" x14ac:dyDescent="0.35">
      <c r="B193" s="1"/>
      <c r="C193" s="3" t="s">
        <v>97</v>
      </c>
      <c r="D193" s="1" t="s">
        <v>251</v>
      </c>
      <c r="E193" s="1">
        <v>2</v>
      </c>
      <c r="F193" s="1" t="s">
        <v>65</v>
      </c>
      <c r="G193" s="8"/>
      <c r="H193" s="1"/>
      <c r="I193" s="1"/>
      <c r="J193" s="1"/>
      <c r="K193" s="1"/>
      <c r="L193" s="1"/>
      <c r="M193" s="1"/>
    </row>
    <row r="194" spans="2:13" ht="16.8" x14ac:dyDescent="0.35">
      <c r="B194" s="1"/>
      <c r="C194" s="3" t="s">
        <v>98</v>
      </c>
      <c r="D194" s="1" t="s">
        <v>251</v>
      </c>
      <c r="E194" s="1">
        <v>2</v>
      </c>
      <c r="F194" s="1" t="s">
        <v>65</v>
      </c>
      <c r="G194" s="8"/>
      <c r="H194" s="1"/>
      <c r="I194" s="1"/>
      <c r="J194" s="1"/>
      <c r="K194" s="1"/>
      <c r="L194" s="1"/>
      <c r="M194" s="1"/>
    </row>
    <row r="195" spans="2:13" ht="16.8" x14ac:dyDescent="0.35">
      <c r="B195" s="1"/>
      <c r="C195" s="3" t="s">
        <v>99</v>
      </c>
      <c r="D195" s="1" t="s">
        <v>251</v>
      </c>
      <c r="E195" s="1">
        <v>2</v>
      </c>
      <c r="F195" s="1" t="s">
        <v>65</v>
      </c>
      <c r="G195" s="8"/>
      <c r="H195" s="1"/>
      <c r="I195" s="1"/>
      <c r="J195" s="1"/>
      <c r="K195" s="1"/>
      <c r="L195" s="1"/>
      <c r="M195" s="1"/>
    </row>
    <row r="196" spans="2:13" ht="16.8" x14ac:dyDescent="0.35">
      <c r="B196" s="1"/>
      <c r="C196" s="3" t="s">
        <v>100</v>
      </c>
      <c r="D196" s="1" t="s">
        <v>251</v>
      </c>
      <c r="E196" s="1">
        <v>2</v>
      </c>
      <c r="F196" s="1" t="s">
        <v>65</v>
      </c>
      <c r="G196" s="8"/>
      <c r="H196" s="1"/>
      <c r="I196" s="1"/>
      <c r="J196" s="1"/>
      <c r="K196" s="1"/>
      <c r="L196" s="1"/>
      <c r="M196" s="1"/>
    </row>
    <row r="197" spans="2:13" ht="16.8" x14ac:dyDescent="0.35">
      <c r="B197" s="1"/>
      <c r="C197" s="3" t="s">
        <v>101</v>
      </c>
      <c r="D197" s="1" t="s">
        <v>251</v>
      </c>
      <c r="E197" s="1">
        <v>2</v>
      </c>
      <c r="F197" s="1" t="s">
        <v>65</v>
      </c>
      <c r="G197" s="8"/>
      <c r="H197" s="1"/>
      <c r="I197" s="1"/>
      <c r="J197" s="1"/>
      <c r="K197" s="1"/>
      <c r="L197" s="1"/>
      <c r="M197" s="1"/>
    </row>
    <row r="198" spans="2:13" ht="16.8" x14ac:dyDescent="0.35">
      <c r="B198" s="1"/>
      <c r="C198" s="3" t="s">
        <v>102</v>
      </c>
      <c r="D198" s="1" t="s">
        <v>251</v>
      </c>
      <c r="E198" s="1">
        <v>2</v>
      </c>
      <c r="F198" s="1" t="s">
        <v>65</v>
      </c>
      <c r="G198" s="8"/>
      <c r="H198" s="1"/>
      <c r="I198" s="1"/>
      <c r="J198" s="1"/>
      <c r="K198" s="1"/>
      <c r="L198" s="1"/>
      <c r="M198" s="1"/>
    </row>
    <row r="199" spans="2:13" ht="16.8" x14ac:dyDescent="0.35">
      <c r="B199" s="1"/>
      <c r="C199" s="3" t="s">
        <v>103</v>
      </c>
      <c r="D199" s="1" t="s">
        <v>251</v>
      </c>
      <c r="E199" s="1">
        <v>2</v>
      </c>
      <c r="F199" s="1" t="s">
        <v>65</v>
      </c>
      <c r="G199" s="8"/>
      <c r="H199" s="1"/>
      <c r="I199" s="1"/>
      <c r="J199" s="1"/>
      <c r="K199" s="1"/>
      <c r="L199" s="1"/>
      <c r="M199" s="1"/>
    </row>
    <row r="200" spans="2:13" ht="16.8" x14ac:dyDescent="0.35">
      <c r="B200" s="1"/>
      <c r="C200" s="3" t="s">
        <v>104</v>
      </c>
      <c r="D200" s="1" t="s">
        <v>251</v>
      </c>
      <c r="E200" s="1">
        <v>2</v>
      </c>
      <c r="F200" s="1" t="s">
        <v>65</v>
      </c>
      <c r="G200" s="8"/>
      <c r="H200" s="1"/>
      <c r="I200" s="1"/>
      <c r="J200" s="1"/>
      <c r="K200" s="1"/>
      <c r="L200" s="1"/>
      <c r="M200" s="1"/>
    </row>
    <row r="201" spans="2:13" ht="16.8" x14ac:dyDescent="0.35">
      <c r="B201" s="1"/>
      <c r="C201" s="3" t="s">
        <v>105</v>
      </c>
      <c r="D201" s="1" t="s">
        <v>251</v>
      </c>
      <c r="E201" s="1">
        <v>2</v>
      </c>
      <c r="F201" s="1" t="s">
        <v>65</v>
      </c>
      <c r="G201" s="8"/>
      <c r="H201" s="1"/>
      <c r="I201" s="1"/>
      <c r="J201" s="1"/>
      <c r="K201" s="1"/>
      <c r="L201" s="1"/>
      <c r="M201" s="1"/>
    </row>
    <row r="202" spans="2:13" ht="16.8" x14ac:dyDescent="0.35">
      <c r="B202" s="1"/>
      <c r="C202" s="3" t="s">
        <v>106</v>
      </c>
      <c r="D202" s="1" t="s">
        <v>251</v>
      </c>
      <c r="E202" s="1">
        <v>2</v>
      </c>
      <c r="F202" s="1" t="s">
        <v>65</v>
      </c>
      <c r="G202" s="8"/>
      <c r="H202" s="1"/>
      <c r="I202" s="1"/>
      <c r="J202" s="1"/>
      <c r="K202" s="1"/>
      <c r="L202" s="1"/>
      <c r="M202" s="1"/>
    </row>
    <row r="203" spans="2:13" ht="16.8" x14ac:dyDescent="0.35">
      <c r="B203" s="1"/>
      <c r="C203" s="3" t="s">
        <v>107</v>
      </c>
      <c r="D203" s="1" t="s">
        <v>251</v>
      </c>
      <c r="E203" s="1">
        <v>2</v>
      </c>
      <c r="F203" s="1" t="s">
        <v>65</v>
      </c>
      <c r="G203" s="8"/>
      <c r="H203" s="1"/>
      <c r="I203" s="1"/>
      <c r="J203" s="1"/>
      <c r="K203" s="1"/>
      <c r="L203" s="1"/>
      <c r="M203" s="1"/>
    </row>
    <row r="204" spans="2:13" ht="16.8" x14ac:dyDescent="0.35">
      <c r="B204" s="1"/>
      <c r="C204" s="3" t="s">
        <v>108</v>
      </c>
      <c r="D204" s="1" t="s">
        <v>251</v>
      </c>
      <c r="E204" s="1">
        <v>2</v>
      </c>
      <c r="F204" s="1" t="s">
        <v>65</v>
      </c>
      <c r="G204" s="8"/>
      <c r="H204" s="1"/>
      <c r="I204" s="1"/>
      <c r="J204" s="1"/>
      <c r="K204" s="1"/>
      <c r="L204" s="1"/>
      <c r="M204" s="1"/>
    </row>
    <row r="205" spans="2:13" ht="16.8" x14ac:dyDescent="0.35">
      <c r="B205" s="1"/>
      <c r="C205" s="3" t="s">
        <v>109</v>
      </c>
      <c r="D205" s="1" t="s">
        <v>251</v>
      </c>
      <c r="E205" s="1">
        <v>2</v>
      </c>
      <c r="F205" s="1" t="s">
        <v>65</v>
      </c>
      <c r="G205" s="8"/>
      <c r="H205" s="1"/>
      <c r="I205" s="1"/>
      <c r="J205" s="1"/>
      <c r="K205" s="1"/>
      <c r="L205" s="1"/>
      <c r="M205" s="1"/>
    </row>
    <row r="206" spans="2:13" ht="16.8" x14ac:dyDescent="0.35">
      <c r="B206" s="1"/>
      <c r="C206" s="3" t="s">
        <v>110</v>
      </c>
      <c r="D206" s="1" t="s">
        <v>251</v>
      </c>
      <c r="E206" s="1">
        <v>2</v>
      </c>
      <c r="F206" s="1" t="s">
        <v>65</v>
      </c>
      <c r="G206" s="8"/>
      <c r="H206" s="1"/>
      <c r="I206" s="1"/>
      <c r="J206" s="1"/>
      <c r="K206" s="1"/>
      <c r="L206" s="1"/>
      <c r="M206" s="1"/>
    </row>
    <row r="207" spans="2:13" ht="16.8" x14ac:dyDescent="0.35">
      <c r="B207" s="1"/>
      <c r="C207" s="3" t="s">
        <v>111</v>
      </c>
      <c r="D207" s="1" t="s">
        <v>251</v>
      </c>
      <c r="E207" s="1">
        <v>2</v>
      </c>
      <c r="F207" s="1" t="s">
        <v>65</v>
      </c>
      <c r="G207" s="8"/>
      <c r="H207" s="1"/>
      <c r="I207" s="1"/>
      <c r="J207" s="1"/>
      <c r="K207" s="1"/>
      <c r="L207" s="1"/>
      <c r="M207" s="1"/>
    </row>
    <row r="208" spans="2:13" ht="16.8" x14ac:dyDescent="0.35">
      <c r="B208" s="1"/>
      <c r="C208" s="3" t="s">
        <v>112</v>
      </c>
      <c r="D208" s="1" t="s">
        <v>251</v>
      </c>
      <c r="E208" s="1">
        <v>2</v>
      </c>
      <c r="F208" s="1" t="s">
        <v>65</v>
      </c>
      <c r="G208" s="8"/>
      <c r="H208" s="1"/>
      <c r="I208" s="1"/>
      <c r="J208" s="1"/>
      <c r="K208" s="1"/>
      <c r="L208" s="1"/>
      <c r="M208" s="1"/>
    </row>
    <row r="209" spans="2:13" ht="16.8" x14ac:dyDescent="0.35">
      <c r="B209" s="1"/>
      <c r="C209" s="3" t="s">
        <v>113</v>
      </c>
      <c r="D209" s="1" t="s">
        <v>251</v>
      </c>
      <c r="E209" s="1">
        <v>2</v>
      </c>
      <c r="F209" s="1" t="s">
        <v>65</v>
      </c>
      <c r="G209" s="8"/>
      <c r="H209" s="1"/>
      <c r="I209" s="1"/>
      <c r="J209" s="1"/>
      <c r="K209" s="1"/>
      <c r="L209" s="1"/>
      <c r="M209" s="1"/>
    </row>
    <row r="210" spans="2:13" ht="16.8" x14ac:dyDescent="0.35">
      <c r="B210" s="1"/>
      <c r="C210" s="5" t="s">
        <v>114</v>
      </c>
      <c r="D210" s="1" t="s">
        <v>251</v>
      </c>
      <c r="E210" s="1">
        <v>1</v>
      </c>
      <c r="F210" s="1" t="s">
        <v>65</v>
      </c>
      <c r="G210" s="8"/>
      <c r="H210" s="1"/>
      <c r="I210" s="1"/>
      <c r="J210" s="1"/>
      <c r="K210" s="1"/>
      <c r="L210" s="1"/>
      <c r="M210" s="1"/>
    </row>
    <row r="211" spans="2:13" ht="16.8" x14ac:dyDescent="0.35">
      <c r="B211" s="1"/>
      <c r="C211" s="3" t="s">
        <v>115</v>
      </c>
      <c r="D211" s="1" t="s">
        <v>251</v>
      </c>
      <c r="E211" s="1">
        <v>2</v>
      </c>
      <c r="F211" s="1" t="s">
        <v>65</v>
      </c>
      <c r="G211" s="8"/>
      <c r="H211" s="1"/>
      <c r="I211" s="1"/>
      <c r="J211" s="1"/>
      <c r="K211" s="1"/>
      <c r="L211" s="1"/>
      <c r="M211" s="1"/>
    </row>
    <row r="212" spans="2:13" ht="16.8" x14ac:dyDescent="0.35">
      <c r="B212" s="1"/>
      <c r="C212" s="3" t="s">
        <v>116</v>
      </c>
      <c r="D212" s="1" t="s">
        <v>251</v>
      </c>
      <c r="E212" s="1">
        <v>2</v>
      </c>
      <c r="F212" s="1" t="s">
        <v>65</v>
      </c>
      <c r="G212" s="8"/>
      <c r="H212" s="1"/>
      <c r="I212" s="1"/>
      <c r="J212" s="1"/>
      <c r="K212" s="1"/>
      <c r="L212" s="1"/>
      <c r="M212" s="1"/>
    </row>
    <row r="213" spans="2:13" ht="16.8" x14ac:dyDescent="0.35">
      <c r="B213" s="1"/>
      <c r="C213" s="3" t="s">
        <v>117</v>
      </c>
      <c r="D213" s="1" t="s">
        <v>251</v>
      </c>
      <c r="E213" s="1">
        <v>2</v>
      </c>
      <c r="F213" s="1" t="s">
        <v>65</v>
      </c>
      <c r="G213" s="8"/>
      <c r="H213" s="1"/>
      <c r="I213" s="1"/>
      <c r="J213" s="1"/>
      <c r="K213" s="1"/>
      <c r="L213" s="1"/>
      <c r="M213" s="1"/>
    </row>
    <row r="214" spans="2:13" ht="16.8" x14ac:dyDescent="0.35">
      <c r="B214" s="1"/>
      <c r="C214" s="3" t="s">
        <v>118</v>
      </c>
      <c r="D214" s="1" t="s">
        <v>251</v>
      </c>
      <c r="E214" s="1">
        <v>2</v>
      </c>
      <c r="F214" s="1" t="s">
        <v>65</v>
      </c>
      <c r="G214" s="8"/>
      <c r="H214" s="1"/>
      <c r="I214" s="1"/>
      <c r="J214" s="1"/>
      <c r="K214" s="1"/>
      <c r="L214" s="1"/>
      <c r="M214" s="1"/>
    </row>
    <row r="215" spans="2:13" ht="16.8" x14ac:dyDescent="0.35">
      <c r="B215" s="1"/>
      <c r="C215" s="3" t="s">
        <v>119</v>
      </c>
      <c r="D215" s="1" t="s">
        <v>251</v>
      </c>
      <c r="E215" s="1">
        <v>2</v>
      </c>
      <c r="F215" s="1" t="s">
        <v>65</v>
      </c>
      <c r="G215" s="8"/>
      <c r="H215" s="1"/>
      <c r="I215" s="1"/>
      <c r="J215" s="1"/>
      <c r="K215" s="1"/>
      <c r="L215" s="1"/>
      <c r="M215" s="1"/>
    </row>
    <row r="216" spans="2:13" ht="16.8" x14ac:dyDescent="0.35">
      <c r="B216" s="1"/>
      <c r="C216" s="3" t="s">
        <v>120</v>
      </c>
      <c r="D216" s="1" t="s">
        <v>251</v>
      </c>
      <c r="E216" s="1">
        <v>2</v>
      </c>
      <c r="F216" s="1" t="s">
        <v>65</v>
      </c>
      <c r="G216" s="8"/>
      <c r="H216" s="1"/>
      <c r="I216" s="1"/>
      <c r="J216" s="1"/>
      <c r="K216" s="1"/>
      <c r="L216" s="1"/>
      <c r="M216" s="1"/>
    </row>
    <row r="217" spans="2:13" ht="16.8" x14ac:dyDescent="0.35">
      <c r="B217" s="1"/>
      <c r="C217" s="3" t="s">
        <v>121</v>
      </c>
      <c r="D217" s="1" t="s">
        <v>251</v>
      </c>
      <c r="E217" s="1">
        <v>2</v>
      </c>
      <c r="F217" s="1" t="s">
        <v>65</v>
      </c>
      <c r="G217" s="8"/>
      <c r="H217" s="1"/>
      <c r="I217" s="1"/>
      <c r="J217" s="1"/>
      <c r="K217" s="1"/>
      <c r="L217" s="1"/>
      <c r="M217" s="1"/>
    </row>
    <row r="218" spans="2:13" ht="16.8" x14ac:dyDescent="0.35">
      <c r="B218" s="1"/>
      <c r="C218" s="3" t="s">
        <v>122</v>
      </c>
      <c r="D218" s="1" t="s">
        <v>251</v>
      </c>
      <c r="E218" s="1">
        <v>2</v>
      </c>
      <c r="F218" s="1" t="s">
        <v>65</v>
      </c>
      <c r="G218" s="8"/>
      <c r="H218" s="1"/>
      <c r="I218" s="1"/>
      <c r="J218" s="1"/>
      <c r="K218" s="1"/>
      <c r="L218" s="1"/>
      <c r="M218" s="1"/>
    </row>
    <row r="219" spans="2:13" ht="16.8" x14ac:dyDescent="0.35">
      <c r="B219" s="1"/>
      <c r="C219" s="3" t="s">
        <v>123</v>
      </c>
      <c r="D219" s="1" t="s">
        <v>251</v>
      </c>
      <c r="E219" s="1">
        <v>2</v>
      </c>
      <c r="F219" s="1" t="s">
        <v>65</v>
      </c>
      <c r="G219" s="8"/>
      <c r="H219" s="1"/>
      <c r="I219" s="1"/>
      <c r="J219" s="1"/>
      <c r="K219" s="1"/>
      <c r="L219" s="1"/>
      <c r="M219" s="1"/>
    </row>
    <row r="220" spans="2:13" ht="16.8" x14ac:dyDescent="0.35">
      <c r="B220" s="1"/>
      <c r="C220" s="3" t="s">
        <v>124</v>
      </c>
      <c r="D220" s="1" t="s">
        <v>251</v>
      </c>
      <c r="E220" s="1">
        <v>2</v>
      </c>
      <c r="F220" s="1" t="s">
        <v>65</v>
      </c>
      <c r="G220" s="8"/>
      <c r="H220" s="1"/>
      <c r="I220" s="1"/>
      <c r="J220" s="1"/>
      <c r="K220" s="1"/>
      <c r="L220" s="1"/>
      <c r="M220" s="1"/>
    </row>
    <row r="221" spans="2:13" ht="16.8" x14ac:dyDescent="0.35">
      <c r="B221" s="1"/>
      <c r="C221" s="3" t="s">
        <v>125</v>
      </c>
      <c r="D221" s="1" t="s">
        <v>251</v>
      </c>
      <c r="E221" s="1">
        <v>2</v>
      </c>
      <c r="F221" s="1" t="s">
        <v>65</v>
      </c>
      <c r="G221" s="8"/>
      <c r="H221" s="1"/>
      <c r="I221" s="1"/>
      <c r="J221" s="1"/>
      <c r="K221" s="1"/>
      <c r="L221" s="1"/>
      <c r="M221" s="1"/>
    </row>
    <row r="222" spans="2:13" ht="16.8" x14ac:dyDescent="0.35">
      <c r="B222" s="1"/>
      <c r="C222" s="3" t="s">
        <v>126</v>
      </c>
      <c r="D222" s="1" t="s">
        <v>251</v>
      </c>
      <c r="E222" s="1">
        <v>2</v>
      </c>
      <c r="F222" s="1" t="s">
        <v>65</v>
      </c>
      <c r="G222" s="8"/>
      <c r="H222" s="1"/>
      <c r="I222" s="1"/>
      <c r="J222" s="1"/>
      <c r="K222" s="1"/>
      <c r="L222" s="1"/>
      <c r="M222" s="1"/>
    </row>
    <row r="223" spans="2:13" ht="16.8" x14ac:dyDescent="0.35">
      <c r="B223" s="1"/>
      <c r="C223" s="3" t="s">
        <v>127</v>
      </c>
      <c r="D223" s="1" t="s">
        <v>251</v>
      </c>
      <c r="E223" s="1">
        <v>2</v>
      </c>
      <c r="F223" s="1" t="s">
        <v>65</v>
      </c>
      <c r="G223" s="8"/>
      <c r="H223" s="1"/>
      <c r="I223" s="1"/>
      <c r="J223" s="1"/>
      <c r="K223" s="1"/>
      <c r="L223" s="1"/>
      <c r="M223" s="1"/>
    </row>
    <row r="224" spans="2:13" ht="16.8" x14ac:dyDescent="0.35">
      <c r="B224" s="1"/>
      <c r="C224" s="3" t="s">
        <v>128</v>
      </c>
      <c r="D224" s="1" t="s">
        <v>251</v>
      </c>
      <c r="E224" s="1">
        <v>2</v>
      </c>
      <c r="F224" s="1" t="s">
        <v>65</v>
      </c>
      <c r="G224" s="8"/>
      <c r="H224" s="1"/>
      <c r="I224" s="1"/>
      <c r="J224" s="1"/>
      <c r="K224" s="1"/>
      <c r="L224" s="1"/>
      <c r="M224" s="1"/>
    </row>
    <row r="225" spans="2:13" ht="16.8" x14ac:dyDescent="0.35">
      <c r="B225" s="1"/>
      <c r="C225" s="3" t="s">
        <v>129</v>
      </c>
      <c r="D225" s="1" t="s">
        <v>251</v>
      </c>
      <c r="E225" s="1">
        <v>2</v>
      </c>
      <c r="F225" s="1" t="s">
        <v>65</v>
      </c>
      <c r="G225" s="8"/>
      <c r="H225" s="1"/>
      <c r="I225" s="1"/>
      <c r="J225" s="1"/>
      <c r="K225" s="1"/>
      <c r="L225" s="1"/>
      <c r="M225" s="1"/>
    </row>
    <row r="226" spans="2:13" ht="16.8" x14ac:dyDescent="0.35">
      <c r="B226" s="1"/>
      <c r="C226" s="3" t="s">
        <v>130</v>
      </c>
      <c r="D226" s="1" t="s">
        <v>251</v>
      </c>
      <c r="E226" s="1">
        <v>2</v>
      </c>
      <c r="F226" s="1" t="s">
        <v>65</v>
      </c>
      <c r="G226" s="8"/>
      <c r="H226" s="1"/>
      <c r="I226" s="1"/>
      <c r="J226" s="1"/>
      <c r="K226" s="1"/>
      <c r="L226" s="1"/>
      <c r="M226" s="1"/>
    </row>
    <row r="227" spans="2:13" ht="16.8" x14ac:dyDescent="0.35">
      <c r="B227" s="1"/>
      <c r="C227" s="3" t="s">
        <v>131</v>
      </c>
      <c r="D227" s="1" t="s">
        <v>251</v>
      </c>
      <c r="E227" s="1">
        <v>2</v>
      </c>
      <c r="F227" s="1" t="s">
        <v>65</v>
      </c>
      <c r="G227" s="8"/>
      <c r="H227" s="1"/>
      <c r="I227" s="1"/>
      <c r="J227" s="1"/>
      <c r="K227" s="1"/>
      <c r="L227" s="1"/>
      <c r="M227" s="1"/>
    </row>
    <row r="228" spans="2:13" ht="16.8" x14ac:dyDescent="0.35">
      <c r="B228" s="1"/>
      <c r="C228" s="3" t="s">
        <v>132</v>
      </c>
      <c r="D228" s="1" t="s">
        <v>251</v>
      </c>
      <c r="E228" s="1">
        <v>2</v>
      </c>
      <c r="F228" s="1" t="s">
        <v>65</v>
      </c>
      <c r="G228" s="8"/>
      <c r="H228" s="1"/>
      <c r="I228" s="1"/>
      <c r="J228" s="1"/>
      <c r="K228" s="1"/>
      <c r="L228" s="1"/>
      <c r="M228" s="1"/>
    </row>
    <row r="229" spans="2:13" ht="16.8" x14ac:dyDescent="0.35">
      <c r="B229" s="1"/>
      <c r="C229" s="5" t="s">
        <v>133</v>
      </c>
      <c r="D229" s="1" t="s">
        <v>251</v>
      </c>
      <c r="E229" s="1">
        <v>1</v>
      </c>
      <c r="F229" s="1" t="s">
        <v>65</v>
      </c>
      <c r="G229" s="8"/>
      <c r="H229" s="1"/>
      <c r="I229" s="1"/>
      <c r="J229" s="1"/>
      <c r="K229" s="1"/>
      <c r="L229" s="1"/>
      <c r="M229" s="1"/>
    </row>
    <row r="230" spans="2:13" ht="16.8" x14ac:dyDescent="0.35">
      <c r="B230" s="1"/>
      <c r="C230" s="3" t="s">
        <v>134</v>
      </c>
      <c r="D230" s="1" t="s">
        <v>251</v>
      </c>
      <c r="E230" s="1">
        <v>2</v>
      </c>
      <c r="F230" s="1" t="s">
        <v>65</v>
      </c>
      <c r="G230" s="8"/>
      <c r="H230" s="1"/>
      <c r="I230" s="1"/>
      <c r="J230" s="1"/>
      <c r="K230" s="1"/>
      <c r="L230" s="1"/>
      <c r="M230" s="1"/>
    </row>
    <row r="231" spans="2:13" ht="16.8" x14ac:dyDescent="0.35">
      <c r="B231" s="1"/>
      <c r="C231" s="3" t="s">
        <v>135</v>
      </c>
      <c r="D231" s="1" t="s">
        <v>251</v>
      </c>
      <c r="E231" s="1">
        <v>2</v>
      </c>
      <c r="F231" s="1" t="s">
        <v>65</v>
      </c>
      <c r="G231" s="8"/>
      <c r="H231" s="1"/>
      <c r="I231" s="1"/>
      <c r="J231" s="1"/>
      <c r="K231" s="1"/>
      <c r="L231" s="1"/>
      <c r="M231" s="1"/>
    </row>
    <row r="232" spans="2:13" ht="16.8" x14ac:dyDescent="0.35">
      <c r="B232" s="1"/>
      <c r="C232" s="3" t="s">
        <v>136</v>
      </c>
      <c r="D232" s="1" t="s">
        <v>251</v>
      </c>
      <c r="E232" s="1">
        <v>2</v>
      </c>
      <c r="F232" s="1" t="s">
        <v>65</v>
      </c>
      <c r="G232" s="8"/>
      <c r="H232" s="1"/>
      <c r="I232" s="1"/>
      <c r="J232" s="1"/>
      <c r="K232" s="1"/>
      <c r="L232" s="1"/>
      <c r="M232" s="1"/>
    </row>
    <row r="233" spans="2:13" ht="16.8" x14ac:dyDescent="0.35">
      <c r="B233" s="1"/>
      <c r="C233" s="3" t="s">
        <v>137</v>
      </c>
      <c r="D233" s="1" t="s">
        <v>251</v>
      </c>
      <c r="E233" s="1">
        <v>2</v>
      </c>
      <c r="F233" s="1" t="s">
        <v>65</v>
      </c>
      <c r="G233" s="8"/>
      <c r="H233" s="1"/>
      <c r="I233" s="1"/>
      <c r="J233" s="1"/>
      <c r="K233" s="1"/>
      <c r="L233" s="1"/>
      <c r="M233" s="1"/>
    </row>
    <row r="234" spans="2:13" ht="16.8" x14ac:dyDescent="0.35">
      <c r="B234" s="1"/>
      <c r="C234" s="3" t="s">
        <v>138</v>
      </c>
      <c r="D234" s="1" t="s">
        <v>251</v>
      </c>
      <c r="E234" s="1">
        <v>2</v>
      </c>
      <c r="F234" s="1" t="s">
        <v>65</v>
      </c>
      <c r="G234" s="8"/>
      <c r="H234" s="1"/>
      <c r="I234" s="1"/>
      <c r="J234" s="1"/>
      <c r="K234" s="1"/>
      <c r="L234" s="1"/>
      <c r="M234" s="1"/>
    </row>
    <row r="235" spans="2:13" ht="16.8" x14ac:dyDescent="0.35">
      <c r="B235" s="1"/>
      <c r="C235" s="3" t="s">
        <v>139</v>
      </c>
      <c r="D235" s="1" t="s">
        <v>251</v>
      </c>
      <c r="E235" s="1">
        <v>2</v>
      </c>
      <c r="F235" s="1" t="s">
        <v>65</v>
      </c>
      <c r="G235" s="8"/>
      <c r="H235" s="1"/>
      <c r="I235" s="1"/>
      <c r="J235" s="1"/>
      <c r="K235" s="1"/>
      <c r="L235" s="1"/>
      <c r="M235" s="1"/>
    </row>
    <row r="236" spans="2:13" ht="16.8" x14ac:dyDescent="0.35">
      <c r="B236" s="1"/>
      <c r="C236" s="3" t="s">
        <v>140</v>
      </c>
      <c r="D236" s="1" t="s">
        <v>251</v>
      </c>
      <c r="E236" s="1">
        <v>2</v>
      </c>
      <c r="F236" s="1" t="s">
        <v>65</v>
      </c>
      <c r="G236" s="8"/>
      <c r="H236" s="1"/>
      <c r="I236" s="1"/>
      <c r="J236" s="1"/>
      <c r="K236" s="1"/>
      <c r="L236" s="1"/>
      <c r="M236" s="1"/>
    </row>
    <row r="237" spans="2:13" ht="16.8" x14ac:dyDescent="0.35">
      <c r="B237" s="1"/>
      <c r="C237" s="3" t="s">
        <v>141</v>
      </c>
      <c r="D237" s="1" t="s">
        <v>251</v>
      </c>
      <c r="E237" s="1">
        <v>2</v>
      </c>
      <c r="F237" s="1" t="s">
        <v>65</v>
      </c>
      <c r="G237" s="8"/>
      <c r="H237" s="1"/>
      <c r="I237" s="1"/>
      <c r="J237" s="1"/>
      <c r="K237" s="1"/>
      <c r="L237" s="1"/>
      <c r="M237" s="1"/>
    </row>
    <row r="238" spans="2:13" ht="16.8" x14ac:dyDescent="0.35">
      <c r="B238" s="1"/>
      <c r="C238" s="3" t="s">
        <v>142</v>
      </c>
      <c r="D238" s="1" t="s">
        <v>251</v>
      </c>
      <c r="E238" s="1">
        <v>2</v>
      </c>
      <c r="F238" s="1" t="s">
        <v>65</v>
      </c>
      <c r="G238" s="8"/>
      <c r="H238" s="1"/>
      <c r="I238" s="1"/>
      <c r="J238" s="1"/>
      <c r="K238" s="1"/>
      <c r="L238" s="1"/>
      <c r="M238" s="1"/>
    </row>
    <row r="239" spans="2:13" ht="16.8" x14ac:dyDescent="0.35">
      <c r="B239" s="1"/>
      <c r="C239" s="3" t="s">
        <v>143</v>
      </c>
      <c r="D239" s="1" t="s">
        <v>251</v>
      </c>
      <c r="E239" s="1">
        <v>2</v>
      </c>
      <c r="F239" s="1" t="s">
        <v>65</v>
      </c>
      <c r="G239" s="8"/>
      <c r="H239" s="1"/>
      <c r="I239" s="1"/>
      <c r="J239" s="1"/>
      <c r="K239" s="1"/>
      <c r="L239" s="1"/>
      <c r="M239" s="1"/>
    </row>
    <row r="240" spans="2:13" ht="16.8" x14ac:dyDescent="0.35">
      <c r="B240" s="1"/>
      <c r="C240" s="3" t="s">
        <v>144</v>
      </c>
      <c r="D240" s="1" t="s">
        <v>251</v>
      </c>
      <c r="E240" s="1">
        <v>2</v>
      </c>
      <c r="F240" s="1" t="s">
        <v>65</v>
      </c>
      <c r="G240" s="8"/>
      <c r="H240" s="1"/>
      <c r="I240" s="1"/>
      <c r="J240" s="1"/>
      <c r="K240" s="1"/>
      <c r="L240" s="1"/>
      <c r="M240" s="1"/>
    </row>
    <row r="241" spans="2:13" ht="16.8" x14ac:dyDescent="0.35">
      <c r="B241" s="1"/>
      <c r="C241" s="3" t="s">
        <v>145</v>
      </c>
      <c r="D241" s="1" t="s">
        <v>251</v>
      </c>
      <c r="E241" s="1">
        <v>2</v>
      </c>
      <c r="F241" s="1" t="s">
        <v>65</v>
      </c>
      <c r="G241" s="8"/>
      <c r="H241" s="1"/>
      <c r="I241" s="1"/>
      <c r="J241" s="1"/>
      <c r="K241" s="1"/>
      <c r="L241" s="1"/>
      <c r="M241" s="1"/>
    </row>
    <row r="242" spans="2:13" ht="16.8" x14ac:dyDescent="0.35">
      <c r="B242" s="1"/>
      <c r="C242" s="3" t="s">
        <v>146</v>
      </c>
      <c r="D242" s="1" t="s">
        <v>251</v>
      </c>
      <c r="E242" s="1">
        <v>2</v>
      </c>
      <c r="F242" s="1" t="s">
        <v>65</v>
      </c>
      <c r="G242" s="8"/>
      <c r="H242" s="1"/>
      <c r="I242" s="1"/>
      <c r="J242" s="1"/>
      <c r="K242" s="1"/>
      <c r="L242" s="1"/>
      <c r="M242" s="1"/>
    </row>
    <row r="243" spans="2:13" ht="16.8" x14ac:dyDescent="0.35">
      <c r="B243" s="1"/>
      <c r="C243" s="3" t="s">
        <v>147</v>
      </c>
      <c r="D243" s="1" t="s">
        <v>251</v>
      </c>
      <c r="E243" s="1">
        <v>2</v>
      </c>
      <c r="F243" s="1" t="s">
        <v>65</v>
      </c>
      <c r="G243" s="8"/>
      <c r="H243" s="1"/>
      <c r="I243" s="1"/>
      <c r="J243" s="1"/>
      <c r="K243" s="1"/>
      <c r="L243" s="1"/>
      <c r="M243" s="1"/>
    </row>
    <row r="244" spans="2:13" ht="16.8" x14ac:dyDescent="0.35">
      <c r="B244" s="1"/>
      <c r="C244" s="3" t="s">
        <v>148</v>
      </c>
      <c r="D244" s="1" t="s">
        <v>251</v>
      </c>
      <c r="E244" s="1">
        <v>2</v>
      </c>
      <c r="F244" s="1" t="s">
        <v>65</v>
      </c>
      <c r="G244" s="8"/>
      <c r="H244" s="1"/>
      <c r="I244" s="1"/>
      <c r="J244" s="1"/>
      <c r="K244" s="1"/>
      <c r="L244" s="1"/>
      <c r="M244" s="1"/>
    </row>
    <row r="245" spans="2:13" ht="16.8" x14ac:dyDescent="0.35">
      <c r="B245" s="1"/>
      <c r="C245" s="3" t="s">
        <v>149</v>
      </c>
      <c r="D245" s="1" t="s">
        <v>251</v>
      </c>
      <c r="E245" s="1">
        <v>2</v>
      </c>
      <c r="F245" s="1" t="s">
        <v>65</v>
      </c>
      <c r="G245" s="8"/>
      <c r="H245" s="1"/>
      <c r="I245" s="1"/>
      <c r="J245" s="1"/>
      <c r="K245" s="1"/>
      <c r="L245" s="1"/>
      <c r="M245" s="1"/>
    </row>
    <row r="246" spans="2:13" ht="16.8" x14ac:dyDescent="0.35">
      <c r="B246" s="1"/>
      <c r="C246" s="3" t="s">
        <v>150</v>
      </c>
      <c r="D246" s="1" t="s">
        <v>251</v>
      </c>
      <c r="E246" s="1">
        <v>2</v>
      </c>
      <c r="F246" s="1" t="s">
        <v>65</v>
      </c>
      <c r="G246" s="8"/>
      <c r="H246" s="1"/>
      <c r="I246" s="1"/>
      <c r="J246" s="1"/>
      <c r="K246" s="1"/>
      <c r="L246" s="1"/>
      <c r="M246" s="1"/>
    </row>
    <row r="247" spans="2:13" ht="16.8" x14ac:dyDescent="0.35">
      <c r="B247" s="1"/>
      <c r="C247" s="3" t="s">
        <v>151</v>
      </c>
      <c r="D247" s="1" t="s">
        <v>251</v>
      </c>
      <c r="E247" s="1">
        <v>2</v>
      </c>
      <c r="F247" s="1" t="s">
        <v>65</v>
      </c>
      <c r="G247" s="8"/>
      <c r="H247" s="1"/>
      <c r="I247" s="1"/>
      <c r="J247" s="1"/>
      <c r="K247" s="1"/>
      <c r="L247" s="1"/>
      <c r="M247" s="1"/>
    </row>
    <row r="248" spans="2:13" ht="16.8" x14ac:dyDescent="0.35">
      <c r="B248" s="1"/>
      <c r="C248" s="5" t="s">
        <v>152</v>
      </c>
      <c r="D248" s="1" t="s">
        <v>251</v>
      </c>
      <c r="E248" s="1">
        <v>1</v>
      </c>
      <c r="F248" s="1" t="s">
        <v>65</v>
      </c>
      <c r="G248" s="8"/>
      <c r="H248" s="1"/>
      <c r="I248" s="1"/>
      <c r="J248" s="1"/>
      <c r="K248" s="1"/>
      <c r="L248" s="1"/>
      <c r="M248" s="1"/>
    </row>
    <row r="249" spans="2:13" ht="16.8" x14ac:dyDescent="0.35">
      <c r="B249" s="1"/>
      <c r="C249" s="3" t="s">
        <v>153</v>
      </c>
      <c r="D249" s="1" t="s">
        <v>251</v>
      </c>
      <c r="E249" s="1">
        <v>2</v>
      </c>
      <c r="F249" s="1" t="s">
        <v>65</v>
      </c>
      <c r="G249" s="8"/>
      <c r="H249" s="1"/>
      <c r="I249" s="1"/>
      <c r="J249" s="1"/>
      <c r="K249" s="1"/>
      <c r="L249" s="1"/>
      <c r="M249" s="1"/>
    </row>
    <row r="250" spans="2:13" ht="16.8" x14ac:dyDescent="0.35">
      <c r="B250" s="1"/>
      <c r="C250" s="3" t="s">
        <v>154</v>
      </c>
      <c r="D250" s="1" t="s">
        <v>251</v>
      </c>
      <c r="E250" s="1">
        <v>2</v>
      </c>
      <c r="F250" s="1" t="s">
        <v>65</v>
      </c>
      <c r="G250" s="8"/>
      <c r="H250" s="1"/>
      <c r="I250" s="1"/>
      <c r="J250" s="1"/>
      <c r="K250" s="1"/>
      <c r="L250" s="1"/>
      <c r="M250" s="1"/>
    </row>
    <row r="251" spans="2:13" ht="16.8" x14ac:dyDescent="0.35">
      <c r="B251" s="1"/>
      <c r="C251" s="3" t="s">
        <v>155</v>
      </c>
      <c r="D251" s="1" t="s">
        <v>251</v>
      </c>
      <c r="E251" s="1">
        <v>2</v>
      </c>
      <c r="F251" s="1" t="s">
        <v>65</v>
      </c>
      <c r="G251" s="8"/>
      <c r="H251" s="1"/>
      <c r="I251" s="1"/>
      <c r="J251" s="1"/>
      <c r="K251" s="1"/>
      <c r="L251" s="1"/>
      <c r="M251" s="1"/>
    </row>
    <row r="252" spans="2:13" ht="16.8" x14ac:dyDescent="0.35">
      <c r="B252" s="1"/>
      <c r="C252" s="3" t="s">
        <v>156</v>
      </c>
      <c r="D252" s="1" t="s">
        <v>251</v>
      </c>
      <c r="E252" s="1">
        <v>2</v>
      </c>
      <c r="F252" s="1" t="s">
        <v>65</v>
      </c>
      <c r="G252" s="8"/>
      <c r="H252" s="1"/>
      <c r="I252" s="1"/>
      <c r="J252" s="1"/>
      <c r="K252" s="1"/>
      <c r="L252" s="1"/>
      <c r="M252" s="1"/>
    </row>
    <row r="253" spans="2:13" ht="16.8" x14ac:dyDescent="0.35">
      <c r="B253" s="1"/>
      <c r="C253" s="3" t="s">
        <v>157</v>
      </c>
      <c r="D253" s="1" t="s">
        <v>251</v>
      </c>
      <c r="E253" s="1">
        <v>2</v>
      </c>
      <c r="F253" s="1" t="s">
        <v>65</v>
      </c>
      <c r="G253" s="8"/>
      <c r="H253" s="1"/>
      <c r="I253" s="1"/>
      <c r="J253" s="1"/>
      <c r="K253" s="1"/>
      <c r="L253" s="1"/>
      <c r="M253" s="1"/>
    </row>
    <row r="254" spans="2:13" ht="16.8" x14ac:dyDescent="0.35">
      <c r="B254" s="1"/>
      <c r="C254" s="3" t="s">
        <v>158</v>
      </c>
      <c r="D254" s="1" t="s">
        <v>251</v>
      </c>
      <c r="E254" s="1">
        <v>2</v>
      </c>
      <c r="F254" s="1" t="s">
        <v>65</v>
      </c>
      <c r="G254" s="8"/>
      <c r="H254" s="1"/>
      <c r="I254" s="1"/>
      <c r="J254" s="1"/>
      <c r="K254" s="1"/>
      <c r="L254" s="1"/>
      <c r="M254" s="1"/>
    </row>
    <row r="255" spans="2:13" ht="16.8" x14ac:dyDescent="0.35">
      <c r="B255" s="1"/>
      <c r="C255" s="3" t="s">
        <v>159</v>
      </c>
      <c r="D255" s="1" t="s">
        <v>251</v>
      </c>
      <c r="E255" s="1">
        <v>2</v>
      </c>
      <c r="F255" s="1" t="s">
        <v>65</v>
      </c>
      <c r="G255" s="8"/>
      <c r="H255" s="1"/>
      <c r="I255" s="1"/>
      <c r="J255" s="1"/>
      <c r="K255" s="1"/>
      <c r="L255" s="1"/>
      <c r="M255" s="1"/>
    </row>
    <row r="256" spans="2:13" ht="16.8" x14ac:dyDescent="0.35">
      <c r="B256" s="1"/>
      <c r="C256" s="3" t="s">
        <v>160</v>
      </c>
      <c r="D256" s="1" t="s">
        <v>251</v>
      </c>
      <c r="E256" s="1">
        <v>2</v>
      </c>
      <c r="F256" s="1" t="s">
        <v>65</v>
      </c>
      <c r="G256" s="8"/>
      <c r="H256" s="1"/>
      <c r="I256" s="1"/>
      <c r="J256" s="1"/>
      <c r="K256" s="1"/>
      <c r="L256" s="1"/>
      <c r="M256" s="1"/>
    </row>
    <row r="257" spans="2:13" ht="16.8" x14ac:dyDescent="0.35">
      <c r="B257" s="1"/>
      <c r="C257" s="3" t="s">
        <v>161</v>
      </c>
      <c r="D257" s="1" t="s">
        <v>251</v>
      </c>
      <c r="E257" s="1">
        <v>2</v>
      </c>
      <c r="F257" s="1" t="s">
        <v>65</v>
      </c>
      <c r="G257" s="8"/>
      <c r="H257" s="1"/>
      <c r="I257" s="1"/>
      <c r="J257" s="1"/>
      <c r="K257" s="1"/>
      <c r="L257" s="1"/>
      <c r="M257" s="1"/>
    </row>
    <row r="258" spans="2:13" ht="16.8" x14ac:dyDescent="0.35">
      <c r="B258" s="1"/>
      <c r="C258" s="3" t="s">
        <v>162</v>
      </c>
      <c r="D258" s="1" t="s">
        <v>251</v>
      </c>
      <c r="E258" s="1">
        <v>2</v>
      </c>
      <c r="F258" s="1" t="s">
        <v>65</v>
      </c>
      <c r="G258" s="8"/>
      <c r="H258" s="1"/>
      <c r="I258" s="1"/>
      <c r="J258" s="1"/>
      <c r="K258" s="1"/>
      <c r="L258" s="1"/>
      <c r="M258" s="1"/>
    </row>
    <row r="259" spans="2:13" ht="16.8" x14ac:dyDescent="0.35">
      <c r="B259" s="1"/>
      <c r="C259" s="3" t="s">
        <v>163</v>
      </c>
      <c r="D259" s="1" t="s">
        <v>251</v>
      </c>
      <c r="E259" s="1">
        <v>2</v>
      </c>
      <c r="F259" s="1" t="s">
        <v>65</v>
      </c>
      <c r="G259" s="8"/>
      <c r="H259" s="1"/>
      <c r="I259" s="1"/>
      <c r="J259" s="1"/>
      <c r="K259" s="1"/>
      <c r="L259" s="1"/>
      <c r="M259" s="1"/>
    </row>
    <row r="260" spans="2:13" ht="16.8" x14ac:dyDescent="0.35">
      <c r="B260" s="1"/>
      <c r="C260" s="3" t="s">
        <v>164</v>
      </c>
      <c r="D260" s="1" t="s">
        <v>251</v>
      </c>
      <c r="E260" s="1">
        <v>2</v>
      </c>
      <c r="F260" s="1" t="s">
        <v>65</v>
      </c>
      <c r="G260" s="8"/>
      <c r="H260" s="1"/>
      <c r="I260" s="1"/>
      <c r="J260" s="1"/>
      <c r="K260" s="1"/>
      <c r="L260" s="1"/>
      <c r="M260" s="1"/>
    </row>
    <row r="261" spans="2:13" ht="16.8" x14ac:dyDescent="0.35">
      <c r="B261" s="1"/>
      <c r="C261" s="3" t="s">
        <v>165</v>
      </c>
      <c r="D261" s="1" t="s">
        <v>251</v>
      </c>
      <c r="E261" s="1">
        <v>2</v>
      </c>
      <c r="F261" s="1" t="s">
        <v>65</v>
      </c>
      <c r="G261" s="8"/>
      <c r="H261" s="1"/>
      <c r="I261" s="1"/>
      <c r="J261" s="1"/>
      <c r="K261" s="1"/>
      <c r="L261" s="1"/>
      <c r="M261" s="1"/>
    </row>
    <row r="262" spans="2:13" ht="16.8" x14ac:dyDescent="0.35">
      <c r="B262" s="1"/>
      <c r="C262" s="3" t="s">
        <v>166</v>
      </c>
      <c r="D262" s="1" t="s">
        <v>251</v>
      </c>
      <c r="E262" s="1">
        <v>2</v>
      </c>
      <c r="F262" s="1" t="s">
        <v>65</v>
      </c>
      <c r="G262" s="8"/>
      <c r="H262" s="1"/>
      <c r="I262" s="1"/>
      <c r="J262" s="1"/>
      <c r="K262" s="1"/>
      <c r="L262" s="1"/>
      <c r="M262" s="1"/>
    </row>
    <row r="263" spans="2:13" ht="16.8" x14ac:dyDescent="0.35">
      <c r="B263" s="1"/>
      <c r="C263" s="3" t="s">
        <v>167</v>
      </c>
      <c r="D263" s="1" t="s">
        <v>251</v>
      </c>
      <c r="E263" s="1">
        <v>2</v>
      </c>
      <c r="F263" s="1" t="s">
        <v>65</v>
      </c>
      <c r="G263" s="8"/>
      <c r="H263" s="1"/>
      <c r="I263" s="1"/>
      <c r="J263" s="1"/>
      <c r="K263" s="1"/>
      <c r="L263" s="1"/>
      <c r="M263" s="1"/>
    </row>
    <row r="264" spans="2:13" ht="16.8" x14ac:dyDescent="0.35">
      <c r="B264" s="1"/>
      <c r="C264" s="3" t="s">
        <v>168</v>
      </c>
      <c r="D264" s="1" t="s">
        <v>251</v>
      </c>
      <c r="E264" s="1">
        <v>2</v>
      </c>
      <c r="F264" s="1" t="s">
        <v>65</v>
      </c>
      <c r="G264" s="8"/>
      <c r="H264" s="1"/>
      <c r="I264" s="1"/>
      <c r="J264" s="1"/>
      <c r="K264" s="1"/>
      <c r="L264" s="1"/>
      <c r="M264" s="1"/>
    </row>
    <row r="265" spans="2:13" ht="16.8" x14ac:dyDescent="0.35">
      <c r="B265" s="1"/>
      <c r="C265" s="3" t="s">
        <v>169</v>
      </c>
      <c r="D265" s="1" t="s">
        <v>251</v>
      </c>
      <c r="E265" s="1">
        <v>2</v>
      </c>
      <c r="F265" s="1" t="s">
        <v>65</v>
      </c>
      <c r="G265" s="8"/>
      <c r="H265" s="1"/>
      <c r="I265" s="1"/>
      <c r="J265" s="1"/>
      <c r="K265" s="1"/>
      <c r="L265" s="1"/>
      <c r="M265" s="1"/>
    </row>
    <row r="266" spans="2:13" ht="16.8" x14ac:dyDescent="0.35">
      <c r="B266" s="1"/>
      <c r="C266" s="3" t="s">
        <v>170</v>
      </c>
      <c r="D266" s="1" t="s">
        <v>251</v>
      </c>
      <c r="E266" s="1">
        <v>2</v>
      </c>
      <c r="F266" s="1" t="s">
        <v>65</v>
      </c>
      <c r="G266" s="8"/>
      <c r="H266" s="1"/>
      <c r="I266" s="1"/>
      <c r="J266" s="1"/>
      <c r="K266" s="1"/>
      <c r="L266" s="1"/>
      <c r="M266" s="1"/>
    </row>
    <row r="267" spans="2:13" ht="16.8" x14ac:dyDescent="0.35">
      <c r="B267" s="1"/>
      <c r="C267" s="5" t="s">
        <v>171</v>
      </c>
      <c r="D267" s="1" t="s">
        <v>251</v>
      </c>
      <c r="E267" s="1">
        <v>1</v>
      </c>
      <c r="F267" s="1" t="s">
        <v>65</v>
      </c>
      <c r="G267" s="8"/>
      <c r="H267" s="1"/>
      <c r="I267" s="1"/>
      <c r="J267" s="1"/>
      <c r="K267" s="1"/>
      <c r="L267" s="1"/>
      <c r="M267" s="1"/>
    </row>
    <row r="268" spans="2:13" ht="16.8" x14ac:dyDescent="0.35">
      <c r="B268" s="1"/>
      <c r="C268" s="3" t="s">
        <v>172</v>
      </c>
      <c r="D268" s="1" t="s">
        <v>251</v>
      </c>
      <c r="E268" s="1">
        <v>2</v>
      </c>
      <c r="F268" s="1" t="s">
        <v>65</v>
      </c>
      <c r="G268" s="8"/>
      <c r="H268" s="1"/>
      <c r="I268" s="1"/>
      <c r="J268" s="1"/>
      <c r="K268" s="1"/>
      <c r="L268" s="1"/>
      <c r="M268" s="1"/>
    </row>
    <row r="269" spans="2:13" ht="16.8" x14ac:dyDescent="0.35">
      <c r="B269" s="1"/>
      <c r="C269" s="3" t="s">
        <v>173</v>
      </c>
      <c r="D269" s="1" t="s">
        <v>251</v>
      </c>
      <c r="E269" s="1">
        <v>2</v>
      </c>
      <c r="F269" s="1" t="s">
        <v>65</v>
      </c>
      <c r="G269" s="8"/>
      <c r="H269" s="1"/>
      <c r="I269" s="1"/>
      <c r="J269" s="1"/>
      <c r="K269" s="1"/>
      <c r="L269" s="1"/>
      <c r="M269" s="1"/>
    </row>
    <row r="270" spans="2:13" ht="16.8" x14ac:dyDescent="0.35">
      <c r="B270" s="1"/>
      <c r="C270" s="3" t="s">
        <v>174</v>
      </c>
      <c r="D270" s="1" t="s">
        <v>251</v>
      </c>
      <c r="E270" s="1">
        <v>2</v>
      </c>
      <c r="F270" s="1" t="s">
        <v>65</v>
      </c>
      <c r="G270" s="8"/>
      <c r="H270" s="1"/>
      <c r="I270" s="1"/>
      <c r="J270" s="1"/>
      <c r="K270" s="1"/>
      <c r="L270" s="1"/>
      <c r="M270" s="1"/>
    </row>
    <row r="271" spans="2:13" ht="16.8" x14ac:dyDescent="0.35">
      <c r="B271" s="1"/>
      <c r="C271" s="3" t="s">
        <v>175</v>
      </c>
      <c r="D271" s="1" t="s">
        <v>251</v>
      </c>
      <c r="E271" s="1">
        <v>2</v>
      </c>
      <c r="F271" s="1" t="s">
        <v>65</v>
      </c>
      <c r="G271" s="8"/>
      <c r="H271" s="1"/>
      <c r="I271" s="1"/>
      <c r="J271" s="1"/>
      <c r="K271" s="1"/>
      <c r="L271" s="1"/>
      <c r="M271" s="1"/>
    </row>
    <row r="272" spans="2:13" ht="16.8" x14ac:dyDescent="0.35">
      <c r="B272" s="1"/>
      <c r="C272" s="3" t="s">
        <v>176</v>
      </c>
      <c r="D272" s="1" t="s">
        <v>251</v>
      </c>
      <c r="E272" s="1">
        <v>2</v>
      </c>
      <c r="F272" s="1" t="s">
        <v>65</v>
      </c>
      <c r="G272" s="8"/>
      <c r="H272" s="1"/>
      <c r="I272" s="1"/>
      <c r="J272" s="1"/>
      <c r="K272" s="1"/>
      <c r="L272" s="1"/>
      <c r="M272" s="1"/>
    </row>
    <row r="273" spans="2:13" ht="16.8" x14ac:dyDescent="0.35">
      <c r="B273" s="1"/>
      <c r="C273" s="3" t="s">
        <v>177</v>
      </c>
      <c r="D273" s="1" t="s">
        <v>251</v>
      </c>
      <c r="E273" s="1">
        <v>2</v>
      </c>
      <c r="F273" s="1" t="s">
        <v>65</v>
      </c>
      <c r="G273" s="8"/>
      <c r="H273" s="1"/>
      <c r="I273" s="1"/>
      <c r="J273" s="1"/>
      <c r="K273" s="1"/>
      <c r="L273" s="1"/>
      <c r="M273" s="1"/>
    </row>
    <row r="274" spans="2:13" ht="16.8" x14ac:dyDescent="0.35">
      <c r="B274" s="1"/>
      <c r="C274" s="3" t="s">
        <v>178</v>
      </c>
      <c r="D274" s="1" t="s">
        <v>251</v>
      </c>
      <c r="E274" s="1">
        <v>2</v>
      </c>
      <c r="F274" s="1" t="s">
        <v>65</v>
      </c>
      <c r="G274" s="8"/>
      <c r="H274" s="1"/>
      <c r="I274" s="1"/>
      <c r="J274" s="1"/>
      <c r="K274" s="1"/>
      <c r="L274" s="1"/>
      <c r="M274" s="1"/>
    </row>
    <row r="275" spans="2:13" ht="16.8" x14ac:dyDescent="0.35">
      <c r="B275" s="1"/>
      <c r="C275" s="3" t="s">
        <v>179</v>
      </c>
      <c r="D275" s="1" t="s">
        <v>251</v>
      </c>
      <c r="E275" s="1">
        <v>2</v>
      </c>
      <c r="F275" s="1" t="s">
        <v>65</v>
      </c>
      <c r="G275" s="8"/>
      <c r="H275" s="1"/>
      <c r="I275" s="1"/>
      <c r="J275" s="1"/>
      <c r="K275" s="1"/>
      <c r="L275" s="1"/>
      <c r="M275" s="1"/>
    </row>
    <row r="276" spans="2:13" ht="16.8" x14ac:dyDescent="0.35">
      <c r="B276" s="1"/>
      <c r="C276" s="3" t="s">
        <v>180</v>
      </c>
      <c r="D276" s="1" t="s">
        <v>251</v>
      </c>
      <c r="E276" s="1">
        <v>2</v>
      </c>
      <c r="F276" s="1" t="s">
        <v>65</v>
      </c>
      <c r="G276" s="8"/>
      <c r="H276" s="1"/>
      <c r="I276" s="1"/>
      <c r="J276" s="1"/>
      <c r="K276" s="1"/>
      <c r="L276" s="1"/>
      <c r="M276" s="1"/>
    </row>
    <row r="277" spans="2:13" ht="16.8" x14ac:dyDescent="0.35">
      <c r="B277" s="1"/>
      <c r="C277" s="3" t="s">
        <v>181</v>
      </c>
      <c r="D277" s="1" t="s">
        <v>251</v>
      </c>
      <c r="E277" s="1">
        <v>2</v>
      </c>
      <c r="F277" s="1" t="s">
        <v>65</v>
      </c>
      <c r="G277" s="8"/>
      <c r="H277" s="1"/>
      <c r="I277" s="1"/>
      <c r="J277" s="1"/>
      <c r="K277" s="1"/>
      <c r="L277" s="1"/>
      <c r="M277" s="1"/>
    </row>
    <row r="278" spans="2:13" ht="16.8" x14ac:dyDescent="0.35">
      <c r="B278" s="1"/>
      <c r="C278" s="3" t="s">
        <v>182</v>
      </c>
      <c r="D278" s="1" t="s">
        <v>251</v>
      </c>
      <c r="E278" s="1">
        <v>2</v>
      </c>
      <c r="F278" s="1" t="s">
        <v>65</v>
      </c>
      <c r="G278" s="8"/>
      <c r="H278" s="1"/>
      <c r="I278" s="1"/>
      <c r="J278" s="1"/>
      <c r="K278" s="1"/>
      <c r="L278" s="1"/>
      <c r="M278" s="1"/>
    </row>
    <row r="279" spans="2:13" ht="16.8" x14ac:dyDescent="0.35">
      <c r="B279" s="1"/>
      <c r="C279" s="3" t="s">
        <v>183</v>
      </c>
      <c r="D279" s="1" t="s">
        <v>251</v>
      </c>
      <c r="E279" s="1">
        <v>2</v>
      </c>
      <c r="F279" s="1" t="s">
        <v>65</v>
      </c>
      <c r="G279" s="8"/>
      <c r="H279" s="1"/>
      <c r="I279" s="1"/>
      <c r="J279" s="1"/>
      <c r="K279" s="1"/>
      <c r="L279" s="1"/>
      <c r="M279" s="1"/>
    </row>
    <row r="280" spans="2:13" ht="16.8" x14ac:dyDescent="0.35">
      <c r="B280" s="1"/>
      <c r="C280" s="3" t="s">
        <v>184</v>
      </c>
      <c r="D280" s="1" t="s">
        <v>251</v>
      </c>
      <c r="E280" s="1">
        <v>2</v>
      </c>
      <c r="F280" s="1" t="s">
        <v>65</v>
      </c>
      <c r="G280" s="8"/>
      <c r="H280" s="1"/>
      <c r="I280" s="1"/>
      <c r="J280" s="1"/>
      <c r="K280" s="1"/>
      <c r="L280" s="1"/>
      <c r="M280" s="1"/>
    </row>
    <row r="281" spans="2:13" ht="16.8" x14ac:dyDescent="0.35">
      <c r="B281" s="1"/>
      <c r="C281" s="3" t="s">
        <v>185</v>
      </c>
      <c r="D281" s="1" t="s">
        <v>251</v>
      </c>
      <c r="E281" s="1">
        <v>2</v>
      </c>
      <c r="F281" s="1" t="s">
        <v>65</v>
      </c>
      <c r="G281" s="8"/>
      <c r="H281" s="1"/>
      <c r="I281" s="1"/>
      <c r="J281" s="1"/>
      <c r="K281" s="1"/>
      <c r="L281" s="1"/>
      <c r="M281" s="1"/>
    </row>
    <row r="282" spans="2:13" ht="16.8" x14ac:dyDescent="0.35">
      <c r="B282" s="1"/>
      <c r="C282" s="3" t="s">
        <v>186</v>
      </c>
      <c r="D282" s="1" t="s">
        <v>251</v>
      </c>
      <c r="E282" s="1">
        <v>2</v>
      </c>
      <c r="F282" s="1" t="s">
        <v>65</v>
      </c>
      <c r="G282" s="8"/>
      <c r="H282" s="1"/>
      <c r="I282" s="1"/>
      <c r="J282" s="1"/>
      <c r="K282" s="1"/>
      <c r="L282" s="1"/>
      <c r="M282" s="1"/>
    </row>
    <row r="283" spans="2:13" ht="16.8" x14ac:dyDescent="0.35">
      <c r="B283" s="1"/>
      <c r="C283" s="3" t="s">
        <v>187</v>
      </c>
      <c r="D283" s="1" t="s">
        <v>251</v>
      </c>
      <c r="E283" s="1">
        <v>2</v>
      </c>
      <c r="F283" s="1" t="s">
        <v>65</v>
      </c>
      <c r="G283" s="8"/>
      <c r="H283" s="1"/>
      <c r="I283" s="1"/>
      <c r="J283" s="1"/>
      <c r="K283" s="1"/>
      <c r="L283" s="1"/>
      <c r="M283" s="1"/>
    </row>
    <row r="284" spans="2:13" ht="16.8" x14ac:dyDescent="0.35">
      <c r="B284" s="1"/>
      <c r="C284" s="3" t="s">
        <v>188</v>
      </c>
      <c r="D284" s="1" t="s">
        <v>251</v>
      </c>
      <c r="E284" s="1">
        <v>2</v>
      </c>
      <c r="F284" s="1" t="s">
        <v>65</v>
      </c>
      <c r="G284" s="8"/>
      <c r="H284" s="1"/>
      <c r="I284" s="1"/>
      <c r="J284" s="1"/>
      <c r="K284" s="1"/>
      <c r="L284" s="1"/>
      <c r="M284" s="1"/>
    </row>
    <row r="285" spans="2:13" ht="16.8" x14ac:dyDescent="0.35">
      <c r="B285" s="1"/>
      <c r="C285" s="3" t="s">
        <v>189</v>
      </c>
      <c r="D285" s="1" t="s">
        <v>251</v>
      </c>
      <c r="E285" s="1">
        <v>2</v>
      </c>
      <c r="F285" s="1" t="s">
        <v>65</v>
      </c>
      <c r="G285" s="8"/>
      <c r="H285" s="1"/>
      <c r="I285" s="1"/>
      <c r="J285" s="1"/>
      <c r="K285" s="1"/>
      <c r="L285" s="1"/>
      <c r="M285" s="1"/>
    </row>
    <row r="286" spans="2:13" ht="16.8" x14ac:dyDescent="0.35">
      <c r="B286" s="1"/>
      <c r="C286" s="5" t="s">
        <v>190</v>
      </c>
      <c r="D286" s="1" t="s">
        <v>251</v>
      </c>
      <c r="E286" s="1">
        <v>1</v>
      </c>
      <c r="F286" s="1" t="s">
        <v>65</v>
      </c>
      <c r="G286" s="8"/>
      <c r="H286" s="1"/>
      <c r="I286" s="1"/>
      <c r="J286" s="1"/>
      <c r="K286" s="1"/>
      <c r="L286" s="1"/>
      <c r="M286" s="1"/>
    </row>
    <row r="287" spans="2:13" ht="16.8" x14ac:dyDescent="0.35">
      <c r="B287" s="1"/>
      <c r="C287" s="3" t="s">
        <v>191</v>
      </c>
      <c r="D287" s="1" t="s">
        <v>251</v>
      </c>
      <c r="E287" s="1">
        <v>2</v>
      </c>
      <c r="F287" s="1" t="s">
        <v>65</v>
      </c>
      <c r="G287" s="8"/>
      <c r="H287" s="1"/>
      <c r="I287" s="1"/>
      <c r="J287" s="1"/>
      <c r="K287" s="1"/>
      <c r="L287" s="1"/>
      <c r="M287" s="1"/>
    </row>
    <row r="288" spans="2:13" ht="16.8" x14ac:dyDescent="0.35">
      <c r="B288" s="1"/>
      <c r="C288" s="3" t="s">
        <v>192</v>
      </c>
      <c r="D288" s="1" t="s">
        <v>251</v>
      </c>
      <c r="E288" s="1">
        <v>2</v>
      </c>
      <c r="F288" s="1" t="s">
        <v>65</v>
      </c>
      <c r="G288" s="8"/>
      <c r="H288" s="1"/>
      <c r="I288" s="1"/>
      <c r="J288" s="1"/>
      <c r="K288" s="1"/>
      <c r="L288" s="1"/>
      <c r="M288" s="1"/>
    </row>
    <row r="289" spans="2:13" ht="16.8" x14ac:dyDescent="0.35">
      <c r="B289" s="1"/>
      <c r="C289" s="3" t="s">
        <v>193</v>
      </c>
      <c r="D289" s="1" t="s">
        <v>251</v>
      </c>
      <c r="E289" s="1">
        <v>2</v>
      </c>
      <c r="F289" s="1" t="s">
        <v>65</v>
      </c>
      <c r="G289" s="8"/>
      <c r="H289" s="1"/>
      <c r="I289" s="1"/>
      <c r="J289" s="1"/>
      <c r="K289" s="1"/>
      <c r="L289" s="1"/>
      <c r="M289" s="1"/>
    </row>
    <row r="290" spans="2:13" ht="16.8" x14ac:dyDescent="0.35">
      <c r="B290" s="1"/>
      <c r="C290" s="3" t="s">
        <v>194</v>
      </c>
      <c r="D290" s="1" t="s">
        <v>251</v>
      </c>
      <c r="E290" s="1">
        <v>2</v>
      </c>
      <c r="F290" s="1" t="s">
        <v>65</v>
      </c>
      <c r="G290" s="8"/>
      <c r="H290" s="1"/>
      <c r="I290" s="1"/>
      <c r="J290" s="1"/>
      <c r="K290" s="1"/>
      <c r="L290" s="1"/>
      <c r="M290" s="1"/>
    </row>
    <row r="291" spans="2:13" ht="16.8" x14ac:dyDescent="0.35">
      <c r="B291" s="1"/>
      <c r="C291" s="3" t="s">
        <v>195</v>
      </c>
      <c r="D291" s="1" t="s">
        <v>251</v>
      </c>
      <c r="E291" s="1">
        <v>2</v>
      </c>
      <c r="F291" s="1" t="s">
        <v>65</v>
      </c>
      <c r="G291" s="8"/>
      <c r="H291" s="1"/>
      <c r="I291" s="1"/>
      <c r="J291" s="1"/>
      <c r="K291" s="1"/>
      <c r="L291" s="1"/>
      <c r="M291" s="1"/>
    </row>
    <row r="292" spans="2:13" ht="16.8" x14ac:dyDescent="0.35">
      <c r="B292" s="1"/>
      <c r="C292" s="3" t="s">
        <v>196</v>
      </c>
      <c r="D292" s="1" t="s">
        <v>251</v>
      </c>
      <c r="E292" s="1">
        <v>2</v>
      </c>
      <c r="F292" s="1" t="s">
        <v>65</v>
      </c>
      <c r="G292" s="8"/>
      <c r="H292" s="1"/>
      <c r="I292" s="1"/>
      <c r="J292" s="1"/>
      <c r="K292" s="1"/>
      <c r="L292" s="1"/>
      <c r="M292" s="1"/>
    </row>
    <row r="293" spans="2:13" ht="16.8" x14ac:dyDescent="0.35">
      <c r="B293" s="1"/>
      <c r="C293" s="3" t="s">
        <v>197</v>
      </c>
      <c r="D293" s="1" t="s">
        <v>251</v>
      </c>
      <c r="E293" s="1">
        <v>2</v>
      </c>
      <c r="F293" s="1" t="s">
        <v>65</v>
      </c>
      <c r="G293" s="8"/>
      <c r="H293" s="1"/>
      <c r="I293" s="1"/>
      <c r="J293" s="1"/>
      <c r="K293" s="1"/>
      <c r="L293" s="1"/>
      <c r="M293" s="1"/>
    </row>
    <row r="294" spans="2:13" ht="16.8" x14ac:dyDescent="0.35">
      <c r="B294" s="1"/>
      <c r="C294" s="3" t="s">
        <v>198</v>
      </c>
      <c r="D294" s="1" t="s">
        <v>251</v>
      </c>
      <c r="E294" s="1">
        <v>2</v>
      </c>
      <c r="F294" s="1" t="s">
        <v>65</v>
      </c>
      <c r="G294" s="8"/>
      <c r="H294" s="1"/>
      <c r="I294" s="1"/>
      <c r="J294" s="1"/>
      <c r="K294" s="1"/>
      <c r="L294" s="1"/>
      <c r="M294" s="1"/>
    </row>
    <row r="295" spans="2:13" ht="16.8" x14ac:dyDescent="0.35">
      <c r="B295" s="1"/>
      <c r="C295" s="3" t="s">
        <v>199</v>
      </c>
      <c r="D295" s="1" t="s">
        <v>251</v>
      </c>
      <c r="E295" s="1">
        <v>2</v>
      </c>
      <c r="F295" s="1" t="s">
        <v>65</v>
      </c>
      <c r="G295" s="8"/>
      <c r="H295" s="1"/>
      <c r="I295" s="1"/>
      <c r="J295" s="1"/>
      <c r="K295" s="1"/>
      <c r="L295" s="1"/>
      <c r="M295" s="1"/>
    </row>
    <row r="296" spans="2:13" ht="16.8" x14ac:dyDescent="0.35">
      <c r="B296" s="1"/>
      <c r="C296" s="3" t="s">
        <v>200</v>
      </c>
      <c r="D296" s="1" t="s">
        <v>251</v>
      </c>
      <c r="E296" s="1">
        <v>2</v>
      </c>
      <c r="F296" s="1" t="s">
        <v>65</v>
      </c>
      <c r="G296" s="8"/>
      <c r="H296" s="1"/>
      <c r="I296" s="1"/>
      <c r="J296" s="1"/>
      <c r="K296" s="1"/>
      <c r="L296" s="1"/>
      <c r="M296" s="1"/>
    </row>
    <row r="297" spans="2:13" ht="16.8" x14ac:dyDescent="0.35">
      <c r="B297" s="1"/>
      <c r="C297" s="3" t="s">
        <v>201</v>
      </c>
      <c r="D297" s="1" t="s">
        <v>251</v>
      </c>
      <c r="E297" s="1">
        <v>2</v>
      </c>
      <c r="F297" s="1" t="s">
        <v>65</v>
      </c>
      <c r="G297" s="8"/>
      <c r="H297" s="1"/>
      <c r="I297" s="1"/>
      <c r="J297" s="1"/>
      <c r="K297" s="1"/>
      <c r="L297" s="1"/>
      <c r="M297" s="1"/>
    </row>
    <row r="298" spans="2:13" ht="16.8" x14ac:dyDescent="0.35">
      <c r="B298" s="1"/>
      <c r="C298" s="3" t="s">
        <v>202</v>
      </c>
      <c r="D298" s="1" t="s">
        <v>251</v>
      </c>
      <c r="E298" s="1">
        <v>2</v>
      </c>
      <c r="F298" s="1" t="s">
        <v>65</v>
      </c>
      <c r="G298" s="8"/>
      <c r="H298" s="1"/>
      <c r="I298" s="1"/>
      <c r="J298" s="1"/>
      <c r="K298" s="1"/>
      <c r="L298" s="1"/>
      <c r="M298" s="1"/>
    </row>
    <row r="299" spans="2:13" ht="16.8" x14ac:dyDescent="0.35">
      <c r="B299" s="1"/>
      <c r="C299" s="3" t="s">
        <v>203</v>
      </c>
      <c r="D299" s="1" t="s">
        <v>251</v>
      </c>
      <c r="E299" s="1">
        <v>2</v>
      </c>
      <c r="F299" s="1" t="s">
        <v>65</v>
      </c>
      <c r="G299" s="8"/>
      <c r="H299" s="1"/>
      <c r="I299" s="1"/>
      <c r="J299" s="1"/>
      <c r="K299" s="1"/>
      <c r="L299" s="1"/>
      <c r="M299" s="1"/>
    </row>
    <row r="300" spans="2:13" ht="16.8" x14ac:dyDescent="0.35">
      <c r="B300" s="1"/>
      <c r="C300" s="3" t="s">
        <v>204</v>
      </c>
      <c r="D300" s="1" t="s">
        <v>251</v>
      </c>
      <c r="E300" s="1">
        <v>2</v>
      </c>
      <c r="F300" s="1" t="s">
        <v>65</v>
      </c>
      <c r="G300" s="8"/>
      <c r="H300" s="1"/>
      <c r="I300" s="1"/>
      <c r="J300" s="1"/>
      <c r="K300" s="1"/>
      <c r="L300" s="1"/>
      <c r="M300" s="1"/>
    </row>
    <row r="301" spans="2:13" ht="16.8" x14ac:dyDescent="0.35">
      <c r="B301" s="1"/>
      <c r="C301" s="3" t="s">
        <v>205</v>
      </c>
      <c r="D301" s="1" t="s">
        <v>251</v>
      </c>
      <c r="E301" s="1">
        <v>2</v>
      </c>
      <c r="F301" s="1" t="s">
        <v>65</v>
      </c>
      <c r="G301" s="8"/>
      <c r="H301" s="1"/>
      <c r="I301" s="1"/>
      <c r="J301" s="1"/>
      <c r="K301" s="1"/>
      <c r="L301" s="1"/>
      <c r="M301" s="1"/>
    </row>
    <row r="302" spans="2:13" ht="16.8" x14ac:dyDescent="0.35">
      <c r="B302" s="1"/>
      <c r="C302" s="3" t="s">
        <v>206</v>
      </c>
      <c r="D302" s="1" t="s">
        <v>251</v>
      </c>
      <c r="E302" s="1">
        <v>2</v>
      </c>
      <c r="F302" s="1" t="s">
        <v>65</v>
      </c>
      <c r="G302" s="8"/>
      <c r="H302" s="1"/>
      <c r="I302" s="1"/>
      <c r="J302" s="1"/>
      <c r="K302" s="1"/>
      <c r="L302" s="1"/>
      <c r="M302" s="1"/>
    </row>
    <row r="303" spans="2:13" ht="16.8" x14ac:dyDescent="0.35">
      <c r="B303" s="1"/>
      <c r="C303" s="3" t="s">
        <v>207</v>
      </c>
      <c r="D303" s="1" t="s">
        <v>251</v>
      </c>
      <c r="E303" s="1">
        <v>2</v>
      </c>
      <c r="F303" s="1" t="s">
        <v>65</v>
      </c>
      <c r="G303" s="8"/>
      <c r="H303" s="1"/>
      <c r="I303" s="1"/>
      <c r="J303" s="1"/>
      <c r="K303" s="1"/>
      <c r="L303" s="1"/>
      <c r="M303" s="1"/>
    </row>
    <row r="304" spans="2:13" ht="16.8" x14ac:dyDescent="0.35">
      <c r="B304" s="1"/>
      <c r="C304" s="3" t="s">
        <v>208</v>
      </c>
      <c r="D304" s="1" t="s">
        <v>251</v>
      </c>
      <c r="E304" s="1">
        <v>2</v>
      </c>
      <c r="F304" s="1" t="s">
        <v>65</v>
      </c>
      <c r="G304" s="8"/>
      <c r="H304" s="1"/>
      <c r="I304" s="1"/>
      <c r="J304" s="1"/>
      <c r="K304" s="1"/>
      <c r="L304" s="1"/>
      <c r="M304" s="1"/>
    </row>
    <row r="305" spans="2:13" ht="16.8" x14ac:dyDescent="0.35">
      <c r="B305" s="1"/>
      <c r="C305" s="3" t="s">
        <v>209</v>
      </c>
      <c r="D305" s="1" t="s">
        <v>251</v>
      </c>
      <c r="E305" s="1">
        <v>2</v>
      </c>
      <c r="F305" s="1" t="s">
        <v>65</v>
      </c>
      <c r="G305" s="8"/>
      <c r="H305" s="1"/>
      <c r="I305" s="1"/>
      <c r="J305" s="1"/>
      <c r="K305" s="1"/>
      <c r="L305" s="1"/>
      <c r="M305" s="1"/>
    </row>
    <row r="306" spans="2:13" ht="16.8" x14ac:dyDescent="0.35">
      <c r="B306" s="1"/>
      <c r="C306" s="3" t="s">
        <v>210</v>
      </c>
      <c r="D306" s="1" t="s">
        <v>251</v>
      </c>
      <c r="E306" s="1">
        <v>2</v>
      </c>
      <c r="F306" s="1" t="s">
        <v>65</v>
      </c>
      <c r="G306" s="8"/>
      <c r="H306" s="1"/>
      <c r="I306" s="1"/>
      <c r="J306" s="1"/>
      <c r="K306" s="1"/>
      <c r="L306" s="1"/>
      <c r="M306" s="1"/>
    </row>
    <row r="307" spans="2:13" ht="16.8" x14ac:dyDescent="0.35">
      <c r="B307" s="1"/>
      <c r="C307" s="3" t="s">
        <v>211</v>
      </c>
      <c r="D307" s="1" t="s">
        <v>251</v>
      </c>
      <c r="E307" s="1">
        <v>2</v>
      </c>
      <c r="F307" s="1" t="s">
        <v>65</v>
      </c>
      <c r="G307" s="8"/>
      <c r="H307" s="1"/>
      <c r="I307" s="1"/>
      <c r="J307" s="1"/>
      <c r="K307" s="1"/>
      <c r="L307" s="1"/>
      <c r="M307" s="1"/>
    </row>
    <row r="308" spans="2:13" ht="16.8" x14ac:dyDescent="0.35">
      <c r="B308" s="1"/>
      <c r="C308" s="3" t="s">
        <v>212</v>
      </c>
      <c r="D308" s="1" t="s">
        <v>251</v>
      </c>
      <c r="E308" s="1">
        <v>2</v>
      </c>
      <c r="F308" s="1" t="s">
        <v>65</v>
      </c>
      <c r="G308" s="8"/>
      <c r="H308" s="1"/>
      <c r="I308" s="1"/>
      <c r="J308" s="1"/>
      <c r="K308" s="1"/>
      <c r="L308" s="1"/>
      <c r="M308" s="1"/>
    </row>
    <row r="309" spans="2:13" ht="16.8" x14ac:dyDescent="0.35">
      <c r="B309" s="1"/>
      <c r="C309" s="3" t="s">
        <v>213</v>
      </c>
      <c r="D309" s="1" t="s">
        <v>251</v>
      </c>
      <c r="E309" s="1">
        <v>2</v>
      </c>
      <c r="F309" s="1" t="s">
        <v>65</v>
      </c>
      <c r="G309" s="8"/>
      <c r="H309" s="1"/>
      <c r="I309" s="1"/>
      <c r="J309" s="1"/>
      <c r="K309" s="1"/>
      <c r="L309" s="1"/>
      <c r="M309" s="1"/>
    </row>
    <row r="310" spans="2:13" ht="16.8" x14ac:dyDescent="0.35">
      <c r="B310" s="1"/>
      <c r="C310" s="3" t="s">
        <v>214</v>
      </c>
      <c r="D310" s="1" t="s">
        <v>251</v>
      </c>
      <c r="E310" s="1">
        <v>2</v>
      </c>
      <c r="F310" s="1" t="s">
        <v>65</v>
      </c>
      <c r="G310" s="8"/>
      <c r="H310" s="1"/>
      <c r="I310" s="1"/>
      <c r="J310" s="1"/>
      <c r="K310" s="1"/>
      <c r="L310" s="1"/>
      <c r="M310" s="1"/>
    </row>
    <row r="311" spans="2:13" ht="16.8" x14ac:dyDescent="0.35">
      <c r="B311" s="1"/>
      <c r="C311" s="3" t="s">
        <v>215</v>
      </c>
      <c r="D311" s="1" t="s">
        <v>251</v>
      </c>
      <c r="E311" s="1">
        <v>2</v>
      </c>
      <c r="F311" s="1" t="s">
        <v>65</v>
      </c>
      <c r="G311" s="8"/>
      <c r="H311" s="1"/>
      <c r="I311" s="1"/>
      <c r="J311" s="1"/>
      <c r="K311" s="1"/>
      <c r="L311" s="1"/>
      <c r="M311" s="1"/>
    </row>
    <row r="312" spans="2:13" ht="16.8" x14ac:dyDescent="0.35">
      <c r="B312" s="1"/>
      <c r="C312" s="3" t="s">
        <v>216</v>
      </c>
      <c r="D312" s="1" t="s">
        <v>251</v>
      </c>
      <c r="E312" s="1">
        <v>2</v>
      </c>
      <c r="F312" s="1" t="s">
        <v>65</v>
      </c>
      <c r="G312" s="8"/>
      <c r="H312" s="1"/>
      <c r="I312" s="1"/>
      <c r="J312" s="1"/>
      <c r="K312" s="1"/>
      <c r="L312" s="1"/>
      <c r="M312" s="1"/>
    </row>
    <row r="313" spans="2:13" ht="16.8" x14ac:dyDescent="0.35">
      <c r="B313" s="1"/>
      <c r="C313" s="3" t="s">
        <v>217</v>
      </c>
      <c r="D313" s="1" t="s">
        <v>251</v>
      </c>
      <c r="E313" s="1">
        <v>2</v>
      </c>
      <c r="F313" s="1" t="s">
        <v>65</v>
      </c>
      <c r="G313" s="8"/>
      <c r="H313" s="1"/>
      <c r="I313" s="1"/>
      <c r="J313" s="1"/>
      <c r="K313" s="1"/>
      <c r="L313" s="1"/>
      <c r="M313" s="1"/>
    </row>
    <row r="314" spans="2:13" ht="16.8" x14ac:dyDescent="0.35">
      <c r="B314" s="1"/>
      <c r="C314" s="3" t="s">
        <v>218</v>
      </c>
      <c r="D314" s="1" t="s">
        <v>251</v>
      </c>
      <c r="E314" s="1">
        <v>2</v>
      </c>
      <c r="F314" s="1" t="s">
        <v>65</v>
      </c>
      <c r="G314" s="8"/>
      <c r="H314" s="1"/>
      <c r="I314" s="1"/>
      <c r="J314" s="1"/>
      <c r="K314" s="1"/>
      <c r="L314" s="1"/>
      <c r="M314" s="1"/>
    </row>
    <row r="315" spans="2:13" ht="16.8" x14ac:dyDescent="0.35">
      <c r="B315" s="1"/>
      <c r="C315" s="3" t="s">
        <v>219</v>
      </c>
      <c r="D315" s="1" t="s">
        <v>251</v>
      </c>
      <c r="E315" s="1">
        <v>2</v>
      </c>
      <c r="F315" s="1" t="s">
        <v>65</v>
      </c>
      <c r="G315" s="8"/>
      <c r="H315" s="1"/>
      <c r="I315" s="1"/>
      <c r="J315" s="1"/>
      <c r="K315" s="1"/>
      <c r="L315" s="1"/>
      <c r="M315" s="1"/>
    </row>
    <row r="316" spans="2:13" ht="16.8" x14ac:dyDescent="0.35">
      <c r="B316" s="1"/>
      <c r="C316" s="3" t="s">
        <v>220</v>
      </c>
      <c r="D316" s="1" t="s">
        <v>251</v>
      </c>
      <c r="E316" s="1">
        <v>2</v>
      </c>
      <c r="F316" s="1" t="s">
        <v>65</v>
      </c>
      <c r="G316" s="8"/>
      <c r="H316" s="1"/>
      <c r="I316" s="1"/>
      <c r="J316" s="1"/>
      <c r="K316" s="1"/>
      <c r="L316" s="1"/>
      <c r="M316" s="1"/>
    </row>
    <row r="317" spans="2:13" ht="16.8" x14ac:dyDescent="0.35">
      <c r="B317" s="1"/>
      <c r="C317" s="3" t="s">
        <v>221</v>
      </c>
      <c r="D317" s="1" t="s">
        <v>251</v>
      </c>
      <c r="E317" s="1">
        <v>2</v>
      </c>
      <c r="F317" s="1" t="s">
        <v>65</v>
      </c>
      <c r="G317" s="8"/>
      <c r="H317" s="1"/>
      <c r="I317" s="1"/>
      <c r="J317" s="1"/>
      <c r="K317" s="1"/>
      <c r="L317" s="1"/>
      <c r="M317" s="1"/>
    </row>
    <row r="318" spans="2:13" ht="16.8" x14ac:dyDescent="0.35">
      <c r="B318" s="1"/>
      <c r="C318" s="3" t="s">
        <v>222</v>
      </c>
      <c r="D318" s="1" t="s">
        <v>251</v>
      </c>
      <c r="E318" s="1">
        <v>2</v>
      </c>
      <c r="F318" s="1" t="s">
        <v>65</v>
      </c>
      <c r="G318" s="8"/>
      <c r="H318" s="1"/>
      <c r="I318" s="1"/>
      <c r="J318" s="1"/>
      <c r="K318" s="1"/>
      <c r="L318" s="1"/>
      <c r="M318" s="1"/>
    </row>
    <row r="319" spans="2:13" ht="16.8" x14ac:dyDescent="0.35">
      <c r="B319" s="1"/>
      <c r="C319" s="3" t="s">
        <v>223</v>
      </c>
      <c r="D319" s="1" t="s">
        <v>251</v>
      </c>
      <c r="E319" s="1">
        <v>2</v>
      </c>
      <c r="F319" s="1" t="s">
        <v>65</v>
      </c>
      <c r="G319" s="8"/>
      <c r="H319" s="1"/>
      <c r="I319" s="1"/>
      <c r="J319" s="1"/>
      <c r="K319" s="1"/>
      <c r="L319" s="1"/>
      <c r="M319" s="1"/>
    </row>
    <row r="320" spans="2:13" ht="16.8" x14ac:dyDescent="0.35">
      <c r="B320" s="1"/>
      <c r="C320" s="3" t="s">
        <v>224</v>
      </c>
      <c r="D320" s="1" t="s">
        <v>251</v>
      </c>
      <c r="E320" s="1">
        <v>2</v>
      </c>
      <c r="F320" s="1" t="s">
        <v>65</v>
      </c>
      <c r="G320" s="8"/>
      <c r="H320" s="1"/>
      <c r="I320" s="1"/>
      <c r="J320" s="1"/>
      <c r="K320" s="1"/>
      <c r="L320" s="1"/>
      <c r="M320" s="1"/>
    </row>
    <row r="321" spans="2:13" ht="16.8" x14ac:dyDescent="0.35">
      <c r="B321" s="1"/>
      <c r="C321" s="3" t="s">
        <v>225</v>
      </c>
      <c r="D321" s="1" t="s">
        <v>251</v>
      </c>
      <c r="E321" s="1">
        <v>2</v>
      </c>
      <c r="F321" s="1" t="s">
        <v>65</v>
      </c>
      <c r="G321" s="8"/>
      <c r="H321" s="1"/>
      <c r="I321" s="1"/>
      <c r="J321" s="1"/>
      <c r="K321" s="1"/>
      <c r="L321" s="1"/>
      <c r="M321" s="1"/>
    </row>
    <row r="322" spans="2:13" ht="16.8" x14ac:dyDescent="0.35">
      <c r="B322" s="1"/>
      <c r="C322" s="3" t="s">
        <v>226</v>
      </c>
      <c r="D322" s="1" t="s">
        <v>251</v>
      </c>
      <c r="E322" s="1">
        <v>2</v>
      </c>
      <c r="F322" s="1" t="s">
        <v>65</v>
      </c>
      <c r="G322" s="8"/>
      <c r="H322" s="1"/>
      <c r="I322" s="1"/>
      <c r="J322" s="1"/>
      <c r="K322" s="1"/>
      <c r="L322" s="1"/>
      <c r="M322" s="1"/>
    </row>
    <row r="323" spans="2:13" ht="16.8" x14ac:dyDescent="0.35">
      <c r="B323" s="1"/>
      <c r="C323" s="3" t="s">
        <v>227</v>
      </c>
      <c r="D323" s="1" t="s">
        <v>251</v>
      </c>
      <c r="E323" s="1">
        <v>2</v>
      </c>
      <c r="F323" s="1" t="s">
        <v>65</v>
      </c>
      <c r="G323" s="8"/>
      <c r="H323" s="1"/>
      <c r="I323" s="1"/>
      <c r="J323" s="1"/>
      <c r="K323" s="1"/>
      <c r="L323" s="1"/>
      <c r="M323" s="1"/>
    </row>
    <row r="324" spans="2:13" ht="16.8" x14ac:dyDescent="0.35">
      <c r="B324" s="1"/>
      <c r="C324" s="3" t="s">
        <v>228</v>
      </c>
      <c r="D324" s="1" t="s">
        <v>260</v>
      </c>
      <c r="E324" s="1">
        <v>2</v>
      </c>
      <c r="F324" s="1" t="s">
        <v>76</v>
      </c>
      <c r="G324" s="8"/>
      <c r="H324" s="1"/>
      <c r="I324" s="1"/>
      <c r="J324" s="1"/>
      <c r="K324" s="1"/>
      <c r="L324" s="1"/>
      <c r="M324" s="1"/>
    </row>
    <row r="325" spans="2:13" ht="16.8" x14ac:dyDescent="0.35">
      <c r="B325" s="1"/>
      <c r="C325" s="3" t="s">
        <v>229</v>
      </c>
      <c r="D325" s="1" t="s">
        <v>260</v>
      </c>
      <c r="E325" s="1">
        <v>2</v>
      </c>
      <c r="F325" s="1" t="s">
        <v>76</v>
      </c>
      <c r="G325" s="8"/>
      <c r="H325" s="1"/>
      <c r="I325" s="1"/>
      <c r="J325" s="1"/>
      <c r="K325" s="1"/>
      <c r="L325" s="1"/>
      <c r="M325" s="1"/>
    </row>
    <row r="326" spans="2:13" ht="16.8" x14ac:dyDescent="0.35">
      <c r="B326" s="1"/>
      <c r="C326" s="3" t="s">
        <v>230</v>
      </c>
      <c r="D326" s="1" t="s">
        <v>260</v>
      </c>
      <c r="E326" s="1">
        <v>2</v>
      </c>
      <c r="F326" s="1" t="s">
        <v>76</v>
      </c>
      <c r="G326" s="8"/>
      <c r="H326" s="1"/>
      <c r="I326" s="1"/>
      <c r="J326" s="1"/>
      <c r="K326" s="1"/>
      <c r="L326" s="1"/>
      <c r="M326" s="1"/>
    </row>
    <row r="327" spans="2:13" ht="16.8" x14ac:dyDescent="0.35">
      <c r="B327" s="1"/>
      <c r="C327" s="3" t="s">
        <v>231</v>
      </c>
      <c r="D327" s="1" t="s">
        <v>260</v>
      </c>
      <c r="E327" s="1">
        <v>2</v>
      </c>
      <c r="F327" s="1" t="s">
        <v>76</v>
      </c>
      <c r="G327" s="8"/>
      <c r="H327" s="1"/>
      <c r="I327" s="1"/>
      <c r="J327" s="1"/>
      <c r="K327" s="1"/>
      <c r="L327" s="1"/>
      <c r="M327" s="1"/>
    </row>
    <row r="328" spans="2:13" ht="16.8" x14ac:dyDescent="0.35">
      <c r="B328" s="1"/>
      <c r="C328" s="3" t="s">
        <v>232</v>
      </c>
      <c r="D328" s="1" t="s">
        <v>260</v>
      </c>
      <c r="E328" s="1">
        <v>2</v>
      </c>
      <c r="F328" s="1" t="s">
        <v>76</v>
      </c>
      <c r="G328" s="8"/>
      <c r="H328" s="1"/>
      <c r="I328" s="1"/>
      <c r="J328" s="1"/>
      <c r="K328" s="1"/>
      <c r="L328" s="1"/>
      <c r="M328" s="1"/>
    </row>
    <row r="329" spans="2:13" ht="16.8" x14ac:dyDescent="0.35">
      <c r="B329" s="1"/>
      <c r="C329" s="3" t="s">
        <v>233</v>
      </c>
      <c r="D329" s="1" t="s">
        <v>260</v>
      </c>
      <c r="E329" s="1">
        <v>2</v>
      </c>
      <c r="F329" s="1" t="s">
        <v>76</v>
      </c>
      <c r="G329" s="8"/>
      <c r="H329" s="1"/>
      <c r="I329" s="1"/>
      <c r="J329" s="1"/>
      <c r="K329" s="1"/>
      <c r="L329" s="1"/>
      <c r="M329" s="1"/>
    </row>
    <row r="330" spans="2:13" ht="16.8" x14ac:dyDescent="0.35">
      <c r="B330" s="1"/>
      <c r="C330" s="3" t="s">
        <v>234</v>
      </c>
      <c r="D330" s="1" t="s">
        <v>260</v>
      </c>
      <c r="E330" s="1">
        <v>2</v>
      </c>
      <c r="F330" s="1" t="s">
        <v>76</v>
      </c>
      <c r="G330" s="8"/>
      <c r="H330" s="1"/>
      <c r="I330" s="1"/>
      <c r="J330" s="1"/>
      <c r="K330" s="1"/>
      <c r="L330" s="1"/>
      <c r="M330" s="1"/>
    </row>
    <row r="331" spans="2:13" ht="16.8" x14ac:dyDescent="0.35">
      <c r="B331" s="1"/>
      <c r="C331" s="3" t="s">
        <v>235</v>
      </c>
      <c r="D331" s="1" t="s">
        <v>260</v>
      </c>
      <c r="E331" s="1">
        <v>2</v>
      </c>
      <c r="F331" s="1" t="s">
        <v>76</v>
      </c>
      <c r="G331" s="8"/>
      <c r="H331" s="1"/>
      <c r="I331" s="1"/>
      <c r="J331" s="1"/>
      <c r="K331" s="1"/>
      <c r="L331" s="1"/>
      <c r="M331" s="1"/>
    </row>
    <row r="332" spans="2:13" ht="16.8" x14ac:dyDescent="0.35">
      <c r="B332" s="1"/>
      <c r="C332" s="3" t="s">
        <v>236</v>
      </c>
      <c r="D332" s="1" t="s">
        <v>260</v>
      </c>
      <c r="E332" s="1">
        <v>2</v>
      </c>
      <c r="F332" s="1" t="s">
        <v>76</v>
      </c>
      <c r="G332" s="8"/>
      <c r="H332" s="1"/>
      <c r="I332" s="1"/>
      <c r="J332" s="1"/>
      <c r="K332" s="1"/>
      <c r="L332" s="1"/>
      <c r="M332" s="1"/>
    </row>
    <row r="333" spans="2:13" ht="16.8" x14ac:dyDescent="0.35">
      <c r="B333" s="1"/>
      <c r="C333" s="3" t="s">
        <v>237</v>
      </c>
      <c r="D333" s="1" t="s">
        <v>260</v>
      </c>
      <c r="E333" s="1">
        <v>2</v>
      </c>
      <c r="F333" s="1" t="s">
        <v>76</v>
      </c>
      <c r="G333" s="8"/>
      <c r="H333" s="1"/>
      <c r="I333" s="1"/>
      <c r="J333" s="1"/>
      <c r="K333" s="1"/>
      <c r="L333" s="1"/>
      <c r="M333" s="1"/>
    </row>
    <row r="334" spans="2:13" ht="16.8" x14ac:dyDescent="0.35">
      <c r="B334" s="1"/>
      <c r="C334" s="3" t="s">
        <v>238</v>
      </c>
      <c r="D334" s="1" t="s">
        <v>260</v>
      </c>
      <c r="E334" s="1">
        <v>2</v>
      </c>
      <c r="F334" s="1" t="s">
        <v>76</v>
      </c>
      <c r="G334" s="8"/>
      <c r="H334" s="1"/>
      <c r="I334" s="1"/>
      <c r="J334" s="1"/>
      <c r="K334" s="1"/>
      <c r="L334" s="1"/>
      <c r="M334" s="1"/>
    </row>
    <row r="335" spans="2:13" ht="16.8" x14ac:dyDescent="0.35">
      <c r="B335" s="1"/>
      <c r="C335" s="3" t="s">
        <v>239</v>
      </c>
      <c r="D335" s="1" t="s">
        <v>260</v>
      </c>
      <c r="E335" s="1">
        <v>2</v>
      </c>
      <c r="F335" s="1" t="s">
        <v>76</v>
      </c>
      <c r="G335" s="8"/>
      <c r="H335" s="1"/>
      <c r="I335" s="1"/>
      <c r="J335" s="1"/>
      <c r="K335" s="1"/>
      <c r="L335" s="1"/>
      <c r="M335" s="1"/>
    </row>
    <row r="336" spans="2:13" ht="16.8" x14ac:dyDescent="0.35">
      <c r="B336" s="1"/>
      <c r="C336" s="3" t="s">
        <v>240</v>
      </c>
      <c r="D336" s="1" t="s">
        <v>260</v>
      </c>
      <c r="E336" s="1">
        <v>2</v>
      </c>
      <c r="F336" s="1" t="s">
        <v>76</v>
      </c>
      <c r="G336" s="8"/>
      <c r="H336" s="1"/>
      <c r="I336" s="1"/>
      <c r="J336" s="1"/>
      <c r="K336" s="1"/>
      <c r="L336" s="1"/>
      <c r="M336" s="1"/>
    </row>
    <row r="337" spans="2:13" ht="16.8" x14ac:dyDescent="0.35">
      <c r="B337" s="1"/>
      <c r="C337" s="3" t="s">
        <v>241</v>
      </c>
      <c r="D337" s="1" t="s">
        <v>260</v>
      </c>
      <c r="E337" s="1">
        <v>2</v>
      </c>
      <c r="F337" s="1" t="s">
        <v>76</v>
      </c>
      <c r="G337" s="8"/>
      <c r="H337" s="1"/>
      <c r="I337" s="1"/>
      <c r="J337" s="1"/>
      <c r="K337" s="1"/>
      <c r="L337" s="1"/>
      <c r="M337" s="1"/>
    </row>
    <row r="338" spans="2:13" ht="16.8" x14ac:dyDescent="0.35">
      <c r="B338" s="1"/>
      <c r="C338" s="3" t="s">
        <v>242</v>
      </c>
      <c r="D338" s="1" t="s">
        <v>260</v>
      </c>
      <c r="E338" s="1">
        <v>2</v>
      </c>
      <c r="F338" s="1" t="s">
        <v>76</v>
      </c>
      <c r="G338" s="8"/>
      <c r="H338" s="1"/>
      <c r="I338" s="1"/>
      <c r="J338" s="1"/>
      <c r="K338" s="1"/>
      <c r="L338" s="1"/>
      <c r="M338" s="1"/>
    </row>
    <row r="339" spans="2:13" ht="16.8" x14ac:dyDescent="0.35">
      <c r="B339" s="1"/>
      <c r="C339" s="3" t="s">
        <v>342</v>
      </c>
      <c r="D339" s="1" t="s">
        <v>260</v>
      </c>
      <c r="E339" s="1">
        <v>2</v>
      </c>
      <c r="F339" s="1" t="s">
        <v>76</v>
      </c>
      <c r="G339" s="8"/>
      <c r="H339" s="1"/>
      <c r="I339" s="1"/>
      <c r="J339" s="1"/>
      <c r="K339" s="1"/>
      <c r="L339" s="1"/>
      <c r="M339" s="1"/>
    </row>
    <row r="340" spans="2:13" ht="16.8" x14ac:dyDescent="0.35">
      <c r="B340" s="1"/>
      <c r="C340" s="3" t="s">
        <v>243</v>
      </c>
      <c r="D340" s="1" t="s">
        <v>260</v>
      </c>
      <c r="E340" s="1">
        <v>2</v>
      </c>
      <c r="F340" s="1" t="s">
        <v>76</v>
      </c>
      <c r="G340" s="8"/>
      <c r="H340" s="1"/>
      <c r="I340" s="1"/>
      <c r="J340" s="1"/>
      <c r="K340" s="1"/>
      <c r="L340" s="1"/>
      <c r="M340" s="1"/>
    </row>
    <row r="341" spans="2:13" ht="16.8" x14ac:dyDescent="0.35">
      <c r="B341" s="1"/>
      <c r="C341" s="3" t="s">
        <v>244</v>
      </c>
      <c r="D341" s="1" t="s">
        <v>260</v>
      </c>
      <c r="E341" s="1">
        <v>2</v>
      </c>
      <c r="F341" s="1" t="s">
        <v>76</v>
      </c>
      <c r="G341" s="8"/>
      <c r="H341" s="1"/>
      <c r="I341" s="1"/>
      <c r="J341" s="1"/>
      <c r="K341" s="1"/>
      <c r="L341" s="1"/>
      <c r="M341" s="1"/>
    </row>
    <row r="342" spans="2:13" ht="16.8" x14ac:dyDescent="0.35">
      <c r="B342" s="1"/>
      <c r="C342" s="3" t="s">
        <v>245</v>
      </c>
      <c r="D342" s="1" t="s">
        <v>260</v>
      </c>
      <c r="E342" s="1">
        <v>1</v>
      </c>
      <c r="F342" s="1" t="s">
        <v>76</v>
      </c>
      <c r="G342" s="8"/>
      <c r="H342" s="1"/>
      <c r="I342" s="1"/>
      <c r="J342" s="1"/>
      <c r="K342" s="1"/>
      <c r="L342" s="1"/>
      <c r="M342" s="1"/>
    </row>
    <row r="343" spans="2:13" ht="16.8" x14ac:dyDescent="0.35">
      <c r="B343" s="1"/>
      <c r="C343" s="1"/>
      <c r="D343" s="1"/>
      <c r="E343" s="1"/>
      <c r="F343" s="1"/>
      <c r="G343" s="8"/>
      <c r="H343" s="1"/>
      <c r="I343" s="1"/>
      <c r="J343" s="1"/>
      <c r="K343" s="1"/>
      <c r="L343" s="1"/>
      <c r="M343" s="1"/>
    </row>
    <row r="344" spans="2:13" ht="16.8" x14ac:dyDescent="0.35">
      <c r="B344" s="1"/>
      <c r="C344" s="1"/>
      <c r="D344" s="1"/>
      <c r="E344" s="1"/>
      <c r="F344" s="1"/>
      <c r="G344" s="8"/>
      <c r="H344" s="1"/>
      <c r="I344" s="1"/>
      <c r="J344" s="1"/>
      <c r="K344" s="1"/>
      <c r="L344" s="1"/>
      <c r="M344" s="1"/>
    </row>
    <row r="345" spans="2:13" ht="16.8" x14ac:dyDescent="0.35">
      <c r="B345" s="1"/>
      <c r="C345" s="6" t="s">
        <v>511</v>
      </c>
      <c r="D345" s="1"/>
      <c r="E345" s="1"/>
      <c r="F345" s="1"/>
      <c r="G345" s="8"/>
      <c r="H345" s="1"/>
      <c r="I345" s="1"/>
      <c r="J345" s="1"/>
      <c r="K345" s="1"/>
      <c r="L345" s="1"/>
      <c r="M345" s="1"/>
    </row>
    <row r="346" spans="2:13" ht="16.8" x14ac:dyDescent="0.35">
      <c r="B346" s="1"/>
      <c r="C346" s="3" t="s">
        <v>0</v>
      </c>
      <c r="D346" s="1" t="s">
        <v>249</v>
      </c>
      <c r="E346" s="1">
        <v>1</v>
      </c>
      <c r="F346" s="1" t="s">
        <v>39</v>
      </c>
      <c r="G346" s="8"/>
      <c r="H346" s="1"/>
      <c r="I346" s="1"/>
      <c r="J346" s="1"/>
      <c r="K346" s="1"/>
      <c r="L346" s="1"/>
      <c r="M346" s="1"/>
    </row>
    <row r="347" spans="2:13" ht="16.8" x14ac:dyDescent="0.35">
      <c r="B347" s="1"/>
      <c r="C347" s="3" t="s">
        <v>1</v>
      </c>
      <c r="D347" s="1" t="s">
        <v>249</v>
      </c>
      <c r="E347" s="1">
        <v>1</v>
      </c>
      <c r="F347" s="1" t="s">
        <v>39</v>
      </c>
      <c r="G347" s="8"/>
      <c r="H347" s="1"/>
      <c r="I347" s="1"/>
      <c r="J347" s="1"/>
      <c r="K347" s="1"/>
      <c r="L347" s="1"/>
      <c r="M347" s="1"/>
    </row>
    <row r="348" spans="2:13" ht="16.8" x14ac:dyDescent="0.35">
      <c r="B348" s="1"/>
      <c r="C348" s="3" t="s">
        <v>2</v>
      </c>
      <c r="D348" s="1" t="s">
        <v>249</v>
      </c>
      <c r="E348" s="1">
        <v>1</v>
      </c>
      <c r="F348" s="1" t="s">
        <v>39</v>
      </c>
      <c r="G348" s="8"/>
      <c r="H348" s="1"/>
      <c r="I348" s="1"/>
      <c r="J348" s="1"/>
      <c r="K348" s="1"/>
      <c r="L348" s="1"/>
      <c r="M348" s="1"/>
    </row>
    <row r="349" spans="2:13" ht="16.8" x14ac:dyDescent="0.35">
      <c r="B349" s="1"/>
      <c r="C349" s="3" t="s">
        <v>3</v>
      </c>
      <c r="D349" s="1" t="s">
        <v>249</v>
      </c>
      <c r="E349" s="1">
        <v>1</v>
      </c>
      <c r="F349" s="1" t="s">
        <v>39</v>
      </c>
      <c r="G349" s="8"/>
      <c r="H349" s="1"/>
      <c r="I349" s="1"/>
      <c r="J349" s="1"/>
      <c r="K349" s="1"/>
      <c r="L349" s="1"/>
      <c r="M349" s="1"/>
    </row>
    <row r="350" spans="2:13" ht="16.8" x14ac:dyDescent="0.35">
      <c r="B350" s="1"/>
      <c r="C350" s="3" t="s">
        <v>4</v>
      </c>
      <c r="D350" s="1" t="s">
        <v>249</v>
      </c>
      <c r="E350" s="1">
        <v>1</v>
      </c>
      <c r="F350" s="1" t="s">
        <v>39</v>
      </c>
      <c r="G350" s="8"/>
      <c r="H350" s="1"/>
      <c r="I350" s="1"/>
      <c r="J350" s="1"/>
      <c r="K350" s="1"/>
      <c r="L350" s="1"/>
      <c r="M350" s="1"/>
    </row>
    <row r="351" spans="2:13" ht="16.8" x14ac:dyDescent="0.35">
      <c r="B351" s="1"/>
      <c r="C351" s="3" t="s">
        <v>5</v>
      </c>
      <c r="D351" s="1" t="s">
        <v>249</v>
      </c>
      <c r="E351" s="1">
        <v>1</v>
      </c>
      <c r="F351" s="1" t="s">
        <v>39</v>
      </c>
      <c r="G351" s="8"/>
      <c r="H351" s="1"/>
      <c r="I351" s="1"/>
      <c r="J351" s="1"/>
      <c r="K351" s="1"/>
      <c r="L351" s="1"/>
      <c r="M351" s="1"/>
    </row>
    <row r="352" spans="2:13" ht="16.8" x14ac:dyDescent="0.35">
      <c r="B352" s="1"/>
      <c r="C352" s="3" t="s">
        <v>6</v>
      </c>
      <c r="D352" s="1" t="s">
        <v>249</v>
      </c>
      <c r="E352" s="1">
        <v>1</v>
      </c>
      <c r="F352" s="1" t="s">
        <v>39</v>
      </c>
      <c r="G352" s="8"/>
      <c r="H352" s="1"/>
      <c r="I352" s="1"/>
      <c r="J352" s="1"/>
      <c r="K352" s="1"/>
      <c r="L352" s="1"/>
      <c r="M352" s="1"/>
    </row>
    <row r="353" spans="2:13" ht="16.8" x14ac:dyDescent="0.35">
      <c r="B353" s="1"/>
      <c r="C353" s="3" t="s">
        <v>7</v>
      </c>
      <c r="D353" s="1" t="s">
        <v>249</v>
      </c>
      <c r="E353" s="1">
        <v>1</v>
      </c>
      <c r="F353" s="1" t="s">
        <v>39</v>
      </c>
      <c r="G353" s="8"/>
      <c r="H353" s="1"/>
      <c r="I353" s="1"/>
      <c r="J353" s="1"/>
      <c r="K353" s="1"/>
      <c r="L353" s="1"/>
      <c r="M353" s="1"/>
    </row>
    <row r="354" spans="2:13" ht="16.8" x14ac:dyDescent="0.35">
      <c r="B354" s="1"/>
      <c r="C354" s="3" t="s">
        <v>8</v>
      </c>
      <c r="D354" s="1" t="s">
        <v>249</v>
      </c>
      <c r="E354" s="1">
        <v>1</v>
      </c>
      <c r="F354" s="1" t="s">
        <v>39</v>
      </c>
      <c r="G354" s="8"/>
      <c r="H354" s="1"/>
      <c r="I354" s="1"/>
      <c r="J354" s="1"/>
      <c r="K354" s="1"/>
      <c r="L354" s="1"/>
      <c r="M354" s="1"/>
    </row>
    <row r="355" spans="2:13" ht="16.8" x14ac:dyDescent="0.35">
      <c r="C355" s="3" t="s">
        <v>9</v>
      </c>
      <c r="D355" s="1" t="s">
        <v>249</v>
      </c>
      <c r="E355" s="1">
        <v>1</v>
      </c>
      <c r="F355" s="1" t="s">
        <v>39</v>
      </c>
    </row>
    <row r="356" spans="2:13" ht="16.8" x14ac:dyDescent="0.35">
      <c r="C356" s="3" t="s">
        <v>10</v>
      </c>
      <c r="D356" s="1" t="s">
        <v>249</v>
      </c>
      <c r="E356" s="1">
        <v>1</v>
      </c>
      <c r="F356" s="1" t="s">
        <v>39</v>
      </c>
    </row>
    <row r="357" spans="2:13" ht="16.8" x14ac:dyDescent="0.35">
      <c r="C357" s="3" t="s">
        <v>11</v>
      </c>
      <c r="D357" s="1" t="s">
        <v>249</v>
      </c>
      <c r="E357" s="1">
        <v>1</v>
      </c>
      <c r="F357" s="1" t="s">
        <v>39</v>
      </c>
    </row>
    <row r="358" spans="2:13" ht="16.8" x14ac:dyDescent="0.35">
      <c r="C358" s="3" t="s">
        <v>12</v>
      </c>
      <c r="D358" s="1" t="s">
        <v>249</v>
      </c>
      <c r="E358" s="1">
        <v>1</v>
      </c>
      <c r="F358" s="1" t="s">
        <v>39</v>
      </c>
    </row>
    <row r="359" spans="2:13" ht="16.8" x14ac:dyDescent="0.35">
      <c r="C359" s="3" t="s">
        <v>13</v>
      </c>
      <c r="D359" s="1" t="s">
        <v>249</v>
      </c>
      <c r="E359" s="1">
        <v>1</v>
      </c>
      <c r="F359" s="1" t="s">
        <v>39</v>
      </c>
    </row>
    <row r="360" spans="2:13" ht="16.8" x14ac:dyDescent="0.35">
      <c r="C360" s="3" t="s">
        <v>14</v>
      </c>
      <c r="D360" s="1" t="s">
        <v>249</v>
      </c>
      <c r="E360" s="1">
        <v>1</v>
      </c>
      <c r="F360" s="1" t="s">
        <v>39</v>
      </c>
    </row>
    <row r="361" spans="2:13" ht="16.8" x14ac:dyDescent="0.35">
      <c r="C361" s="3" t="s">
        <v>15</v>
      </c>
      <c r="D361" s="1" t="s">
        <v>249</v>
      </c>
      <c r="E361" s="1">
        <v>1</v>
      </c>
      <c r="F361" s="1" t="s">
        <v>39</v>
      </c>
    </row>
    <row r="362" spans="2:13" ht="16.8" x14ac:dyDescent="0.35">
      <c r="C362" s="3" t="s">
        <v>16</v>
      </c>
      <c r="D362" s="1" t="s">
        <v>249</v>
      </c>
      <c r="E362" s="1">
        <v>1</v>
      </c>
      <c r="F362" s="1" t="s">
        <v>39</v>
      </c>
    </row>
    <row r="363" spans="2:13" ht="16.8" x14ac:dyDescent="0.35">
      <c r="C363" s="3" t="s">
        <v>17</v>
      </c>
      <c r="D363" s="1" t="s">
        <v>249</v>
      </c>
      <c r="E363" s="1">
        <v>1</v>
      </c>
      <c r="F363" s="1" t="s">
        <v>39</v>
      </c>
    </row>
    <row r="364" spans="2:13" ht="16.8" x14ac:dyDescent="0.35">
      <c r="C364" s="3" t="s">
        <v>18</v>
      </c>
      <c r="D364" s="1" t="s">
        <v>249</v>
      </c>
      <c r="E364" s="1">
        <v>1</v>
      </c>
      <c r="F364" s="1" t="s">
        <v>39</v>
      </c>
    </row>
    <row r="365" spans="2:13" ht="16.8" x14ac:dyDescent="0.35">
      <c r="C365" s="5" t="s">
        <v>19</v>
      </c>
      <c r="D365" s="1" t="s">
        <v>249</v>
      </c>
      <c r="E365" s="1">
        <v>1</v>
      </c>
      <c r="F365" s="1" t="s">
        <v>39</v>
      </c>
    </row>
    <row r="366" spans="2:13" ht="16.8" x14ac:dyDescent="0.35">
      <c r="C366" s="3" t="s">
        <v>20</v>
      </c>
      <c r="D366" s="1" t="s">
        <v>249</v>
      </c>
      <c r="E366" s="1">
        <v>2</v>
      </c>
      <c r="F366" s="1" t="s">
        <v>39</v>
      </c>
    </row>
    <row r="367" spans="2:13" ht="16.8" x14ac:dyDescent="0.35">
      <c r="C367" s="3" t="s">
        <v>21</v>
      </c>
      <c r="D367" s="1" t="s">
        <v>249</v>
      </c>
      <c r="E367" s="1">
        <v>2</v>
      </c>
      <c r="F367" s="1" t="s">
        <v>39</v>
      </c>
    </row>
    <row r="368" spans="2:13" ht="16.8" x14ac:dyDescent="0.35">
      <c r="C368" s="3" t="s">
        <v>22</v>
      </c>
      <c r="D368" s="1" t="s">
        <v>249</v>
      </c>
      <c r="E368" s="1">
        <v>2</v>
      </c>
      <c r="F368" s="1" t="s">
        <v>39</v>
      </c>
    </row>
    <row r="369" spans="3:6" ht="16.8" x14ac:dyDescent="0.35">
      <c r="C369" s="3" t="s">
        <v>23</v>
      </c>
      <c r="D369" s="1" t="s">
        <v>249</v>
      </c>
      <c r="E369" s="1">
        <v>2</v>
      </c>
      <c r="F369" s="1" t="s">
        <v>39</v>
      </c>
    </row>
    <row r="370" spans="3:6" ht="16.8" x14ac:dyDescent="0.35">
      <c r="C370" s="3" t="s">
        <v>24</v>
      </c>
      <c r="D370" s="1" t="s">
        <v>249</v>
      </c>
      <c r="E370" s="1">
        <v>2</v>
      </c>
      <c r="F370" s="1" t="s">
        <v>39</v>
      </c>
    </row>
    <row r="371" spans="3:6" ht="16.8" x14ac:dyDescent="0.35">
      <c r="C371" s="3" t="s">
        <v>25</v>
      </c>
      <c r="D371" s="1" t="s">
        <v>249</v>
      </c>
      <c r="E371" s="1">
        <v>2</v>
      </c>
      <c r="F371" s="1" t="s">
        <v>39</v>
      </c>
    </row>
    <row r="372" spans="3:6" ht="16.8" x14ac:dyDescent="0.35">
      <c r="C372" s="3" t="s">
        <v>26</v>
      </c>
      <c r="D372" s="1" t="s">
        <v>249</v>
      </c>
      <c r="E372" s="1">
        <v>2</v>
      </c>
      <c r="F372" s="1" t="s">
        <v>39</v>
      </c>
    </row>
    <row r="373" spans="3:6" ht="16.8" x14ac:dyDescent="0.35">
      <c r="C373" s="3" t="s">
        <v>27</v>
      </c>
      <c r="D373" s="1" t="s">
        <v>249</v>
      </c>
      <c r="E373" s="1">
        <v>2</v>
      </c>
      <c r="F373" s="1" t="s">
        <v>39</v>
      </c>
    </row>
    <row r="374" spans="3:6" ht="16.8" x14ac:dyDescent="0.35">
      <c r="C374" s="3" t="s">
        <v>28</v>
      </c>
      <c r="D374" s="1" t="s">
        <v>249</v>
      </c>
      <c r="E374" s="1">
        <v>2</v>
      </c>
      <c r="F374" s="1" t="s">
        <v>39</v>
      </c>
    </row>
    <row r="375" spans="3:6" ht="16.8" x14ac:dyDescent="0.35">
      <c r="C375" s="3" t="s">
        <v>29</v>
      </c>
      <c r="D375" s="1" t="s">
        <v>249</v>
      </c>
      <c r="E375" s="1">
        <v>2</v>
      </c>
      <c r="F375" s="1" t="s">
        <v>39</v>
      </c>
    </row>
    <row r="376" spans="3:6" ht="16.8" x14ac:dyDescent="0.35">
      <c r="C376" s="3" t="s">
        <v>30</v>
      </c>
      <c r="D376" s="1" t="s">
        <v>249</v>
      </c>
      <c r="E376" s="1">
        <v>2</v>
      </c>
      <c r="F376" s="1" t="s">
        <v>39</v>
      </c>
    </row>
    <row r="377" spans="3:6" ht="16.8" x14ac:dyDescent="0.35">
      <c r="C377" s="3" t="s">
        <v>31</v>
      </c>
      <c r="D377" s="1" t="s">
        <v>249</v>
      </c>
      <c r="E377" s="1">
        <v>2</v>
      </c>
      <c r="F377" s="1" t="s">
        <v>39</v>
      </c>
    </row>
    <row r="378" spans="3:6" ht="16.8" x14ac:dyDescent="0.35">
      <c r="C378" s="3" t="s">
        <v>32</v>
      </c>
      <c r="D378" s="1" t="s">
        <v>249</v>
      </c>
      <c r="E378" s="1">
        <v>2</v>
      </c>
      <c r="F378" s="1" t="s">
        <v>39</v>
      </c>
    </row>
    <row r="379" spans="3:6" ht="16.8" x14ac:dyDescent="0.35">
      <c r="C379" s="3" t="s">
        <v>33</v>
      </c>
      <c r="D379" s="1" t="s">
        <v>249</v>
      </c>
      <c r="E379" s="1">
        <v>2</v>
      </c>
      <c r="F379" s="1" t="s">
        <v>39</v>
      </c>
    </row>
    <row r="380" spans="3:6" ht="16.8" x14ac:dyDescent="0.35">
      <c r="C380" s="3" t="s">
        <v>34</v>
      </c>
      <c r="D380" s="1" t="s">
        <v>249</v>
      </c>
      <c r="E380" s="1">
        <v>2</v>
      </c>
      <c r="F380" s="1" t="s">
        <v>39</v>
      </c>
    </row>
    <row r="381" spans="3:6" ht="16.8" x14ac:dyDescent="0.35">
      <c r="C381" s="3" t="s">
        <v>35</v>
      </c>
      <c r="D381" s="1" t="s">
        <v>249</v>
      </c>
      <c r="E381" s="1">
        <v>2</v>
      </c>
      <c r="F381" s="1" t="s">
        <v>39</v>
      </c>
    </row>
    <row r="382" spans="3:6" ht="16.8" x14ac:dyDescent="0.35">
      <c r="C382" s="3" t="s">
        <v>36</v>
      </c>
      <c r="D382" s="1" t="s">
        <v>249</v>
      </c>
      <c r="E382" s="1">
        <v>2</v>
      </c>
      <c r="F382" s="1" t="s">
        <v>39</v>
      </c>
    </row>
    <row r="383" spans="3:6" ht="16.8" x14ac:dyDescent="0.35">
      <c r="C383" s="3" t="s">
        <v>37</v>
      </c>
      <c r="D383" s="1" t="s">
        <v>249</v>
      </c>
      <c r="E383" s="1">
        <v>2</v>
      </c>
      <c r="F383" s="1" t="s">
        <v>39</v>
      </c>
    </row>
    <row r="384" spans="3:6" ht="16.8" x14ac:dyDescent="0.35">
      <c r="C384" s="5" t="s">
        <v>38</v>
      </c>
      <c r="D384" s="1" t="s">
        <v>249</v>
      </c>
      <c r="E384" s="1">
        <v>1</v>
      </c>
      <c r="F384" s="1" t="s">
        <v>39</v>
      </c>
    </row>
    <row r="385" spans="3:6" ht="16.8" x14ac:dyDescent="0.35">
      <c r="C385" s="3" t="s">
        <v>39</v>
      </c>
      <c r="D385" s="1" t="s">
        <v>249</v>
      </c>
      <c r="E385" s="1">
        <v>2</v>
      </c>
      <c r="F385" s="1" t="s">
        <v>39</v>
      </c>
    </row>
    <row r="386" spans="3:6" ht="16.8" x14ac:dyDescent="0.35">
      <c r="C386" s="3" t="s">
        <v>40</v>
      </c>
      <c r="D386" s="1" t="s">
        <v>249</v>
      </c>
      <c r="E386" s="1">
        <v>2</v>
      </c>
      <c r="F386" s="1" t="s">
        <v>39</v>
      </c>
    </row>
    <row r="387" spans="3:6" ht="16.8" x14ac:dyDescent="0.35">
      <c r="C387" s="3" t="s">
        <v>41</v>
      </c>
      <c r="D387" s="1" t="s">
        <v>249</v>
      </c>
      <c r="E387" s="1">
        <v>2</v>
      </c>
      <c r="F387" s="1" t="s">
        <v>39</v>
      </c>
    </row>
    <row r="388" spans="3:6" ht="16.8" x14ac:dyDescent="0.35">
      <c r="C388" s="3" t="s">
        <v>42</v>
      </c>
      <c r="D388" s="1" t="s">
        <v>249</v>
      </c>
      <c r="E388" s="1">
        <v>2</v>
      </c>
      <c r="F388" s="1" t="s">
        <v>39</v>
      </c>
    </row>
    <row r="389" spans="3:6" ht="16.8" x14ac:dyDescent="0.35">
      <c r="C389" s="3" t="s">
        <v>43</v>
      </c>
      <c r="D389" s="1" t="s">
        <v>249</v>
      </c>
      <c r="E389" s="1">
        <v>2</v>
      </c>
      <c r="F389" s="1" t="s">
        <v>39</v>
      </c>
    </row>
    <row r="390" spans="3:6" ht="16.8" x14ac:dyDescent="0.35">
      <c r="C390" s="3" t="s">
        <v>44</v>
      </c>
      <c r="D390" s="1" t="s">
        <v>249</v>
      </c>
      <c r="E390" s="1">
        <v>2</v>
      </c>
      <c r="F390" s="1" t="s">
        <v>39</v>
      </c>
    </row>
    <row r="391" spans="3:6" ht="16.8" x14ac:dyDescent="0.35">
      <c r="C391" s="3" t="s">
        <v>45</v>
      </c>
      <c r="D391" s="1" t="s">
        <v>249</v>
      </c>
      <c r="E391" s="1">
        <v>2</v>
      </c>
      <c r="F391" s="1" t="s">
        <v>39</v>
      </c>
    </row>
    <row r="392" spans="3:6" ht="16.8" x14ac:dyDescent="0.35">
      <c r="C392" s="3" t="s">
        <v>46</v>
      </c>
      <c r="D392" s="1" t="s">
        <v>249</v>
      </c>
      <c r="E392" s="1">
        <v>2</v>
      </c>
      <c r="F392" s="1" t="s">
        <v>39</v>
      </c>
    </row>
    <row r="393" spans="3:6" ht="16.8" x14ac:dyDescent="0.35">
      <c r="C393" s="3" t="s">
        <v>47</v>
      </c>
      <c r="D393" s="1" t="s">
        <v>249</v>
      </c>
      <c r="E393" s="1">
        <v>2</v>
      </c>
      <c r="F393" s="1" t="s">
        <v>39</v>
      </c>
    </row>
    <row r="394" spans="3:6" ht="16.8" x14ac:dyDescent="0.35">
      <c r="C394" s="3" t="s">
        <v>48</v>
      </c>
      <c r="D394" s="1" t="s">
        <v>249</v>
      </c>
      <c r="E394" s="1">
        <v>2</v>
      </c>
      <c r="F394" s="1" t="s">
        <v>39</v>
      </c>
    </row>
    <row r="395" spans="3:6" ht="16.8" x14ac:dyDescent="0.35">
      <c r="C395" s="3" t="s">
        <v>49</v>
      </c>
      <c r="D395" s="1" t="s">
        <v>249</v>
      </c>
      <c r="E395" s="1">
        <v>2</v>
      </c>
      <c r="F395" s="1" t="s">
        <v>39</v>
      </c>
    </row>
    <row r="396" spans="3:6" ht="16.8" x14ac:dyDescent="0.35">
      <c r="C396" s="3" t="s">
        <v>50</v>
      </c>
      <c r="D396" s="1" t="s">
        <v>249</v>
      </c>
      <c r="E396" s="1">
        <v>2</v>
      </c>
      <c r="F396" s="1" t="s">
        <v>39</v>
      </c>
    </row>
    <row r="397" spans="3:6" ht="16.8" x14ac:dyDescent="0.35">
      <c r="C397" s="3" t="s">
        <v>51</v>
      </c>
      <c r="D397" s="1" t="s">
        <v>249</v>
      </c>
      <c r="E397" s="1">
        <v>2</v>
      </c>
      <c r="F397" s="1" t="s">
        <v>39</v>
      </c>
    </row>
    <row r="398" spans="3:6" ht="16.8" x14ac:dyDescent="0.35">
      <c r="C398" s="3" t="s">
        <v>52</v>
      </c>
      <c r="D398" s="1" t="s">
        <v>249</v>
      </c>
      <c r="E398" s="1">
        <v>2</v>
      </c>
      <c r="F398" s="1" t="s">
        <v>39</v>
      </c>
    </row>
    <row r="399" spans="3:6" ht="16.8" x14ac:dyDescent="0.35">
      <c r="C399" s="3" t="s">
        <v>53</v>
      </c>
      <c r="D399" s="1" t="s">
        <v>249</v>
      </c>
      <c r="E399" s="1">
        <v>2</v>
      </c>
      <c r="F399" s="1" t="s">
        <v>39</v>
      </c>
    </row>
    <row r="400" spans="3:6" ht="16.8" x14ac:dyDescent="0.35">
      <c r="C400" s="3" t="s">
        <v>54</v>
      </c>
      <c r="D400" s="1" t="s">
        <v>249</v>
      </c>
      <c r="E400" s="1">
        <v>2</v>
      </c>
      <c r="F400" s="1" t="s">
        <v>39</v>
      </c>
    </row>
    <row r="401" spans="3:6" ht="16.8" x14ac:dyDescent="0.35">
      <c r="C401" s="3" t="s">
        <v>55</v>
      </c>
      <c r="D401" s="1" t="s">
        <v>249</v>
      </c>
      <c r="E401" s="1">
        <v>2</v>
      </c>
      <c r="F401" s="1" t="s">
        <v>39</v>
      </c>
    </row>
    <row r="402" spans="3:6" ht="16.8" x14ac:dyDescent="0.35">
      <c r="C402" s="3" t="s">
        <v>56</v>
      </c>
      <c r="D402" s="1" t="s">
        <v>249</v>
      </c>
      <c r="E402" s="1">
        <v>2</v>
      </c>
      <c r="F402" s="1" t="s">
        <v>39</v>
      </c>
    </row>
    <row r="403" spans="3:6" ht="16.8" x14ac:dyDescent="0.35">
      <c r="C403" s="5" t="s">
        <v>57</v>
      </c>
      <c r="D403" s="1" t="s">
        <v>249</v>
      </c>
      <c r="E403" s="6">
        <v>1</v>
      </c>
      <c r="F403" s="1" t="s">
        <v>39</v>
      </c>
    </row>
    <row r="404" spans="3:6" ht="16.8" x14ac:dyDescent="0.35">
      <c r="C404" s="3" t="s">
        <v>58</v>
      </c>
      <c r="D404" s="1" t="s">
        <v>249</v>
      </c>
      <c r="E404" s="1">
        <v>2</v>
      </c>
      <c r="F404" s="1" t="s">
        <v>39</v>
      </c>
    </row>
    <row r="405" spans="3:6" ht="16.8" x14ac:dyDescent="0.35">
      <c r="C405" s="3" t="s">
        <v>59</v>
      </c>
      <c r="D405" s="1" t="s">
        <v>249</v>
      </c>
      <c r="E405" s="1">
        <v>2</v>
      </c>
      <c r="F405" s="1" t="s">
        <v>39</v>
      </c>
    </row>
    <row r="406" spans="3:6" ht="16.8" x14ac:dyDescent="0.35">
      <c r="C406" s="3" t="s">
        <v>60</v>
      </c>
      <c r="D406" s="1" t="s">
        <v>249</v>
      </c>
      <c r="E406" s="1">
        <v>2</v>
      </c>
      <c r="F406" s="1" t="s">
        <v>39</v>
      </c>
    </row>
    <row r="407" spans="3:6" ht="16.8" x14ac:dyDescent="0.35">
      <c r="C407" s="3" t="s">
        <v>61</v>
      </c>
      <c r="D407" s="1" t="s">
        <v>249</v>
      </c>
      <c r="E407" s="1">
        <v>2</v>
      </c>
      <c r="F407" s="1" t="s">
        <v>39</v>
      </c>
    </row>
    <row r="408" spans="3:6" ht="16.8" x14ac:dyDescent="0.35">
      <c r="C408" s="3" t="s">
        <v>62</v>
      </c>
      <c r="D408" s="1" t="s">
        <v>249</v>
      </c>
      <c r="E408" s="1">
        <v>2</v>
      </c>
      <c r="F408" s="1" t="s">
        <v>39</v>
      </c>
    </row>
    <row r="409" spans="3:6" ht="16.8" x14ac:dyDescent="0.35">
      <c r="C409" s="3" t="s">
        <v>63</v>
      </c>
      <c r="D409" s="1" t="s">
        <v>249</v>
      </c>
      <c r="E409" s="1">
        <v>2</v>
      </c>
      <c r="F409" s="1" t="s">
        <v>39</v>
      </c>
    </row>
    <row r="410" spans="3:6" ht="16.8" x14ac:dyDescent="0.35">
      <c r="C410" s="3" t="s">
        <v>64</v>
      </c>
      <c r="D410" s="1" t="s">
        <v>249</v>
      </c>
      <c r="E410" s="1">
        <v>2</v>
      </c>
      <c r="F410" s="1" t="s">
        <v>39</v>
      </c>
    </row>
    <row r="411" spans="3:6" ht="16.8" x14ac:dyDescent="0.35">
      <c r="C411" s="3" t="s">
        <v>65</v>
      </c>
      <c r="D411" s="1" t="s">
        <v>249</v>
      </c>
      <c r="E411" s="1">
        <v>2</v>
      </c>
      <c r="F411" s="1" t="s">
        <v>39</v>
      </c>
    </row>
    <row r="412" spans="3:6" ht="16.8" x14ac:dyDescent="0.35">
      <c r="C412" s="3" t="s">
        <v>66</v>
      </c>
      <c r="D412" s="1" t="s">
        <v>249</v>
      </c>
      <c r="E412" s="1">
        <v>2</v>
      </c>
      <c r="F412" s="1" t="s">
        <v>39</v>
      </c>
    </row>
    <row r="413" spans="3:6" ht="16.8" x14ac:dyDescent="0.35">
      <c r="C413" s="3" t="s">
        <v>67</v>
      </c>
      <c r="D413" s="1" t="s">
        <v>249</v>
      </c>
      <c r="E413" s="1">
        <v>2</v>
      </c>
      <c r="F413" s="1" t="s">
        <v>39</v>
      </c>
    </row>
    <row r="414" spans="3:6" ht="16.8" x14ac:dyDescent="0.35">
      <c r="C414" s="3" t="s">
        <v>68</v>
      </c>
      <c r="D414" s="1" t="s">
        <v>249</v>
      </c>
      <c r="E414" s="1">
        <v>2</v>
      </c>
      <c r="F414" s="1" t="s">
        <v>39</v>
      </c>
    </row>
    <row r="415" spans="3:6" ht="16.8" x14ac:dyDescent="0.35">
      <c r="C415" s="3" t="s">
        <v>69</v>
      </c>
      <c r="D415" s="1" t="s">
        <v>249</v>
      </c>
      <c r="E415" s="1">
        <v>2</v>
      </c>
      <c r="F415" s="1" t="s">
        <v>39</v>
      </c>
    </row>
    <row r="416" spans="3:6" ht="16.8" x14ac:dyDescent="0.35">
      <c r="C416" s="3" t="s">
        <v>70</v>
      </c>
      <c r="D416" s="1" t="s">
        <v>249</v>
      </c>
      <c r="E416" s="1">
        <v>2</v>
      </c>
      <c r="F416" s="1" t="s">
        <v>39</v>
      </c>
    </row>
    <row r="417" spans="3:6" ht="16.8" x14ac:dyDescent="0.35">
      <c r="C417" s="3" t="s">
        <v>71</v>
      </c>
      <c r="D417" s="1" t="s">
        <v>249</v>
      </c>
      <c r="E417" s="1">
        <v>2</v>
      </c>
      <c r="F417" s="1" t="s">
        <v>39</v>
      </c>
    </row>
    <row r="418" spans="3:6" ht="16.8" x14ac:dyDescent="0.35">
      <c r="C418" s="3" t="s">
        <v>72</v>
      </c>
      <c r="D418" s="1" t="s">
        <v>249</v>
      </c>
      <c r="E418" s="1">
        <v>2</v>
      </c>
      <c r="F418" s="1" t="s">
        <v>39</v>
      </c>
    </row>
    <row r="419" spans="3:6" ht="16.8" x14ac:dyDescent="0.35">
      <c r="C419" s="3" t="s">
        <v>73</v>
      </c>
      <c r="D419" s="1" t="s">
        <v>249</v>
      </c>
      <c r="E419" s="1">
        <v>2</v>
      </c>
      <c r="F419" s="1" t="s">
        <v>39</v>
      </c>
    </row>
    <row r="420" spans="3:6" ht="16.8" x14ac:dyDescent="0.35">
      <c r="C420" s="3" t="s">
        <v>74</v>
      </c>
      <c r="D420" s="1" t="s">
        <v>249</v>
      </c>
      <c r="E420" s="1">
        <v>2</v>
      </c>
      <c r="F420" s="1" t="s">
        <v>39</v>
      </c>
    </row>
    <row r="421" spans="3:6" ht="16.8" x14ac:dyDescent="0.35">
      <c r="C421" s="3" t="s">
        <v>75</v>
      </c>
      <c r="D421" s="1" t="s">
        <v>249</v>
      </c>
      <c r="E421" s="1">
        <v>2</v>
      </c>
      <c r="F421" s="1" t="s">
        <v>39</v>
      </c>
    </row>
    <row r="422" spans="3:6" ht="16.8" x14ac:dyDescent="0.35">
      <c r="C422" s="5" t="s">
        <v>76</v>
      </c>
      <c r="D422" s="1" t="s">
        <v>249</v>
      </c>
      <c r="E422" s="1">
        <v>1</v>
      </c>
      <c r="F422" s="1" t="s">
        <v>39</v>
      </c>
    </row>
    <row r="423" spans="3:6" ht="16.8" x14ac:dyDescent="0.35">
      <c r="C423" s="3" t="s">
        <v>77</v>
      </c>
      <c r="D423" s="1" t="s">
        <v>249</v>
      </c>
      <c r="E423" s="1">
        <v>2</v>
      </c>
      <c r="F423" s="1" t="s">
        <v>39</v>
      </c>
    </row>
    <row r="424" spans="3:6" ht="16.8" x14ac:dyDescent="0.35">
      <c r="C424" s="3" t="s">
        <v>78</v>
      </c>
      <c r="D424" s="1" t="s">
        <v>249</v>
      </c>
      <c r="E424" s="1">
        <v>2</v>
      </c>
      <c r="F424" s="1" t="s">
        <v>39</v>
      </c>
    </row>
    <row r="425" spans="3:6" ht="16.8" x14ac:dyDescent="0.35">
      <c r="C425" s="3" t="s">
        <v>79</v>
      </c>
      <c r="D425" s="1" t="s">
        <v>249</v>
      </c>
      <c r="E425" s="1">
        <v>2</v>
      </c>
      <c r="F425" s="1" t="s">
        <v>39</v>
      </c>
    </row>
    <row r="426" spans="3:6" ht="16.8" x14ac:dyDescent="0.35">
      <c r="C426" s="3" t="s">
        <v>80</v>
      </c>
      <c r="D426" s="1" t="s">
        <v>249</v>
      </c>
      <c r="E426" s="1">
        <v>2</v>
      </c>
      <c r="F426" s="1" t="s">
        <v>39</v>
      </c>
    </row>
    <row r="427" spans="3:6" ht="16.8" x14ac:dyDescent="0.35">
      <c r="C427" s="3" t="s">
        <v>81</v>
      </c>
      <c r="D427" s="1" t="s">
        <v>249</v>
      </c>
      <c r="E427" s="1">
        <v>2</v>
      </c>
      <c r="F427" s="1" t="s">
        <v>39</v>
      </c>
    </row>
    <row r="428" spans="3:6" ht="16.8" x14ac:dyDescent="0.35">
      <c r="C428" s="3" t="s">
        <v>82</v>
      </c>
      <c r="D428" s="1" t="s">
        <v>249</v>
      </c>
      <c r="E428" s="1">
        <v>2</v>
      </c>
      <c r="F428" s="1" t="s">
        <v>39</v>
      </c>
    </row>
    <row r="429" spans="3:6" ht="16.8" x14ac:dyDescent="0.35">
      <c r="C429" s="3" t="s">
        <v>83</v>
      </c>
      <c r="D429" s="1" t="s">
        <v>249</v>
      </c>
      <c r="E429" s="1">
        <v>2</v>
      </c>
      <c r="F429" s="1" t="s">
        <v>39</v>
      </c>
    </row>
    <row r="430" spans="3:6" ht="16.8" x14ac:dyDescent="0.35">
      <c r="C430" s="3" t="s">
        <v>84</v>
      </c>
      <c r="D430" s="1" t="s">
        <v>249</v>
      </c>
      <c r="E430" s="1">
        <v>2</v>
      </c>
      <c r="F430" s="1" t="s">
        <v>39</v>
      </c>
    </row>
    <row r="431" spans="3:6" ht="16.8" x14ac:dyDescent="0.35">
      <c r="C431" s="3" t="s">
        <v>85</v>
      </c>
      <c r="D431" s="1" t="s">
        <v>249</v>
      </c>
      <c r="E431" s="1">
        <v>2</v>
      </c>
      <c r="F431" s="1" t="s">
        <v>39</v>
      </c>
    </row>
    <row r="432" spans="3:6" ht="16.8" x14ac:dyDescent="0.35">
      <c r="C432" s="3" t="s">
        <v>86</v>
      </c>
      <c r="D432" s="1" t="s">
        <v>249</v>
      </c>
      <c r="E432" s="1">
        <v>2</v>
      </c>
      <c r="F432" s="1" t="s">
        <v>39</v>
      </c>
    </row>
    <row r="433" spans="3:6" ht="16.8" x14ac:dyDescent="0.35">
      <c r="C433" s="3" t="s">
        <v>87</v>
      </c>
      <c r="D433" s="1" t="s">
        <v>249</v>
      </c>
      <c r="E433" s="1">
        <v>2</v>
      </c>
      <c r="F433" s="1" t="s">
        <v>39</v>
      </c>
    </row>
    <row r="434" spans="3:6" ht="16.8" x14ac:dyDescent="0.35">
      <c r="C434" s="3" t="s">
        <v>88</v>
      </c>
      <c r="D434" s="1" t="s">
        <v>249</v>
      </c>
      <c r="E434" s="1">
        <v>2</v>
      </c>
      <c r="F434" s="1" t="s">
        <v>39</v>
      </c>
    </row>
    <row r="435" spans="3:6" ht="16.8" x14ac:dyDescent="0.35">
      <c r="C435" s="3" t="s">
        <v>89</v>
      </c>
      <c r="D435" s="1" t="s">
        <v>249</v>
      </c>
      <c r="E435" s="1">
        <v>2</v>
      </c>
      <c r="F435" s="1" t="s">
        <v>39</v>
      </c>
    </row>
    <row r="436" spans="3:6" ht="16.8" x14ac:dyDescent="0.35">
      <c r="C436" s="3" t="s">
        <v>90</v>
      </c>
      <c r="D436" s="1" t="s">
        <v>249</v>
      </c>
      <c r="E436" s="1">
        <v>2</v>
      </c>
      <c r="F436" s="1" t="s">
        <v>39</v>
      </c>
    </row>
    <row r="437" spans="3:6" ht="16.8" x14ac:dyDescent="0.35">
      <c r="C437" s="3" t="s">
        <v>91</v>
      </c>
      <c r="D437" s="1" t="s">
        <v>249</v>
      </c>
      <c r="E437" s="1">
        <v>2</v>
      </c>
      <c r="F437" s="1" t="s">
        <v>39</v>
      </c>
    </row>
    <row r="438" spans="3:6" ht="16.8" x14ac:dyDescent="0.35">
      <c r="C438" s="3" t="s">
        <v>92</v>
      </c>
      <c r="D438" s="1" t="s">
        <v>249</v>
      </c>
      <c r="E438" s="1">
        <v>2</v>
      </c>
      <c r="F438" s="1" t="s">
        <v>39</v>
      </c>
    </row>
    <row r="439" spans="3:6" ht="16.8" x14ac:dyDescent="0.35">
      <c r="C439" s="3" t="s">
        <v>93</v>
      </c>
      <c r="D439" s="1" t="s">
        <v>249</v>
      </c>
      <c r="E439" s="1">
        <v>2</v>
      </c>
      <c r="F439" s="1" t="s">
        <v>39</v>
      </c>
    </row>
    <row r="440" spans="3:6" ht="16.8" x14ac:dyDescent="0.35">
      <c r="C440" s="3" t="s">
        <v>94</v>
      </c>
      <c r="D440" s="1" t="s">
        <v>249</v>
      </c>
      <c r="E440" s="1">
        <v>2</v>
      </c>
      <c r="F440" s="1" t="s">
        <v>39</v>
      </c>
    </row>
    <row r="441" spans="3:6" ht="16.8" x14ac:dyDescent="0.35">
      <c r="C441" s="5" t="s">
        <v>95</v>
      </c>
      <c r="D441" s="1" t="s">
        <v>251</v>
      </c>
      <c r="E441" s="1">
        <v>1</v>
      </c>
      <c r="F441" s="1" t="s">
        <v>65</v>
      </c>
    </row>
    <row r="442" spans="3:6" ht="16.8" x14ac:dyDescent="0.35">
      <c r="C442" s="3" t="s">
        <v>96</v>
      </c>
      <c r="D442" s="1" t="s">
        <v>251</v>
      </c>
      <c r="E442" s="1">
        <v>2</v>
      </c>
      <c r="F442" s="1" t="s">
        <v>65</v>
      </c>
    </row>
    <row r="443" spans="3:6" ht="16.8" x14ac:dyDescent="0.35">
      <c r="C443" s="3" t="s">
        <v>97</v>
      </c>
      <c r="D443" s="1" t="s">
        <v>251</v>
      </c>
      <c r="E443" s="1">
        <v>2</v>
      </c>
      <c r="F443" s="1" t="s">
        <v>65</v>
      </c>
    </row>
    <row r="444" spans="3:6" ht="16.8" x14ac:dyDescent="0.35">
      <c r="C444" s="3" t="s">
        <v>98</v>
      </c>
      <c r="D444" s="1" t="s">
        <v>251</v>
      </c>
      <c r="E444" s="1">
        <v>2</v>
      </c>
      <c r="F444" s="1" t="s">
        <v>65</v>
      </c>
    </row>
    <row r="445" spans="3:6" ht="16.8" x14ac:dyDescent="0.35">
      <c r="C445" s="3" t="s">
        <v>99</v>
      </c>
      <c r="D445" s="1" t="s">
        <v>251</v>
      </c>
      <c r="E445" s="1">
        <v>2</v>
      </c>
      <c r="F445" s="1" t="s">
        <v>65</v>
      </c>
    </row>
    <row r="446" spans="3:6" ht="16.8" x14ac:dyDescent="0.35">
      <c r="C446" s="3" t="s">
        <v>100</v>
      </c>
      <c r="D446" s="1" t="s">
        <v>251</v>
      </c>
      <c r="E446" s="1">
        <v>2</v>
      </c>
      <c r="F446" s="1" t="s">
        <v>65</v>
      </c>
    </row>
    <row r="447" spans="3:6" ht="16.8" x14ac:dyDescent="0.35">
      <c r="C447" s="3" t="s">
        <v>101</v>
      </c>
      <c r="D447" s="1" t="s">
        <v>251</v>
      </c>
      <c r="E447" s="1">
        <v>2</v>
      </c>
      <c r="F447" s="1" t="s">
        <v>65</v>
      </c>
    </row>
    <row r="448" spans="3:6" ht="16.8" x14ac:dyDescent="0.35">
      <c r="C448" s="3" t="s">
        <v>102</v>
      </c>
      <c r="D448" s="1" t="s">
        <v>251</v>
      </c>
      <c r="E448" s="1">
        <v>2</v>
      </c>
      <c r="F448" s="1" t="s">
        <v>65</v>
      </c>
    </row>
    <row r="449" spans="3:6" ht="16.8" x14ac:dyDescent="0.35">
      <c r="C449" s="3" t="s">
        <v>103</v>
      </c>
      <c r="D449" s="1" t="s">
        <v>251</v>
      </c>
      <c r="E449" s="1">
        <v>2</v>
      </c>
      <c r="F449" s="1" t="s">
        <v>65</v>
      </c>
    </row>
    <row r="450" spans="3:6" ht="16.8" x14ac:dyDescent="0.35">
      <c r="C450" s="3" t="s">
        <v>104</v>
      </c>
      <c r="D450" s="1" t="s">
        <v>251</v>
      </c>
      <c r="E450" s="1">
        <v>2</v>
      </c>
      <c r="F450" s="1" t="s">
        <v>65</v>
      </c>
    </row>
    <row r="451" spans="3:6" ht="16.8" x14ac:dyDescent="0.35">
      <c r="C451" s="3" t="s">
        <v>105</v>
      </c>
      <c r="D451" s="1" t="s">
        <v>251</v>
      </c>
      <c r="E451" s="1">
        <v>2</v>
      </c>
      <c r="F451" s="1" t="s">
        <v>65</v>
      </c>
    </row>
    <row r="452" spans="3:6" ht="16.8" x14ac:dyDescent="0.35">
      <c r="C452" s="3" t="s">
        <v>106</v>
      </c>
      <c r="D452" s="1" t="s">
        <v>251</v>
      </c>
      <c r="E452" s="1">
        <v>2</v>
      </c>
      <c r="F452" s="1" t="s">
        <v>65</v>
      </c>
    </row>
    <row r="453" spans="3:6" ht="16.8" x14ac:dyDescent="0.35">
      <c r="C453" s="3" t="s">
        <v>107</v>
      </c>
      <c r="D453" s="1" t="s">
        <v>251</v>
      </c>
      <c r="E453" s="1">
        <v>2</v>
      </c>
      <c r="F453" s="1" t="s">
        <v>65</v>
      </c>
    </row>
    <row r="454" spans="3:6" ht="16.8" x14ac:dyDescent="0.35">
      <c r="C454" s="3" t="s">
        <v>108</v>
      </c>
      <c r="D454" s="1" t="s">
        <v>251</v>
      </c>
      <c r="E454" s="1">
        <v>2</v>
      </c>
      <c r="F454" s="1" t="s">
        <v>65</v>
      </c>
    </row>
    <row r="455" spans="3:6" ht="16.8" x14ac:dyDescent="0.35">
      <c r="C455" s="3" t="s">
        <v>109</v>
      </c>
      <c r="D455" s="1" t="s">
        <v>251</v>
      </c>
      <c r="E455" s="1">
        <v>2</v>
      </c>
      <c r="F455" s="1" t="s">
        <v>65</v>
      </c>
    </row>
    <row r="456" spans="3:6" ht="16.8" x14ac:dyDescent="0.35">
      <c r="C456" s="3" t="s">
        <v>110</v>
      </c>
      <c r="D456" s="1" t="s">
        <v>251</v>
      </c>
      <c r="E456" s="1">
        <v>2</v>
      </c>
      <c r="F456" s="1" t="s">
        <v>65</v>
      </c>
    </row>
    <row r="457" spans="3:6" ht="16.8" x14ac:dyDescent="0.35">
      <c r="C457" s="3" t="s">
        <v>111</v>
      </c>
      <c r="D457" s="1" t="s">
        <v>251</v>
      </c>
      <c r="E457" s="1">
        <v>2</v>
      </c>
      <c r="F457" s="1" t="s">
        <v>65</v>
      </c>
    </row>
    <row r="458" spans="3:6" ht="16.8" x14ac:dyDescent="0.35">
      <c r="C458" s="3" t="s">
        <v>112</v>
      </c>
      <c r="D458" s="1" t="s">
        <v>251</v>
      </c>
      <c r="E458" s="1">
        <v>2</v>
      </c>
      <c r="F458" s="1" t="s">
        <v>65</v>
      </c>
    </row>
    <row r="459" spans="3:6" ht="16.8" x14ac:dyDescent="0.35">
      <c r="C459" s="3" t="s">
        <v>113</v>
      </c>
      <c r="D459" s="1" t="s">
        <v>251</v>
      </c>
      <c r="E459" s="1">
        <v>2</v>
      </c>
      <c r="F459" s="1" t="s">
        <v>65</v>
      </c>
    </row>
    <row r="460" spans="3:6" ht="16.8" x14ac:dyDescent="0.35">
      <c r="C460" s="5" t="s">
        <v>114</v>
      </c>
      <c r="D460" s="1" t="s">
        <v>251</v>
      </c>
      <c r="E460" s="1">
        <v>1</v>
      </c>
      <c r="F460" s="1" t="s">
        <v>65</v>
      </c>
    </row>
    <row r="461" spans="3:6" ht="16.8" x14ac:dyDescent="0.35">
      <c r="C461" s="3" t="s">
        <v>115</v>
      </c>
      <c r="D461" s="1" t="s">
        <v>251</v>
      </c>
      <c r="E461" s="1">
        <v>2</v>
      </c>
      <c r="F461" s="1" t="s">
        <v>65</v>
      </c>
    </row>
    <row r="462" spans="3:6" ht="16.8" x14ac:dyDescent="0.35">
      <c r="C462" s="3" t="s">
        <v>116</v>
      </c>
      <c r="D462" s="1" t="s">
        <v>251</v>
      </c>
      <c r="E462" s="1">
        <v>2</v>
      </c>
      <c r="F462" s="1" t="s">
        <v>65</v>
      </c>
    </row>
    <row r="463" spans="3:6" ht="16.8" x14ac:dyDescent="0.35">
      <c r="C463" s="3" t="s">
        <v>117</v>
      </c>
      <c r="D463" s="1" t="s">
        <v>251</v>
      </c>
      <c r="E463" s="1">
        <v>2</v>
      </c>
      <c r="F463" s="1" t="s">
        <v>65</v>
      </c>
    </row>
    <row r="464" spans="3:6" ht="16.8" x14ac:dyDescent="0.35">
      <c r="C464" s="3" t="s">
        <v>118</v>
      </c>
      <c r="D464" s="1" t="s">
        <v>251</v>
      </c>
      <c r="E464" s="1">
        <v>2</v>
      </c>
      <c r="F464" s="1" t="s">
        <v>65</v>
      </c>
    </row>
    <row r="465" spans="3:6" ht="16.8" x14ac:dyDescent="0.35">
      <c r="C465" s="3" t="s">
        <v>119</v>
      </c>
      <c r="D465" s="1" t="s">
        <v>251</v>
      </c>
      <c r="E465" s="1">
        <v>2</v>
      </c>
      <c r="F465" s="1" t="s">
        <v>65</v>
      </c>
    </row>
    <row r="466" spans="3:6" ht="16.8" x14ac:dyDescent="0.35">
      <c r="C466" s="3" t="s">
        <v>120</v>
      </c>
      <c r="D466" s="1" t="s">
        <v>251</v>
      </c>
      <c r="E466" s="1">
        <v>2</v>
      </c>
      <c r="F466" s="1" t="s">
        <v>65</v>
      </c>
    </row>
    <row r="467" spans="3:6" ht="16.8" x14ac:dyDescent="0.35">
      <c r="C467" s="3" t="s">
        <v>121</v>
      </c>
      <c r="D467" s="1" t="s">
        <v>251</v>
      </c>
      <c r="E467" s="1">
        <v>2</v>
      </c>
      <c r="F467" s="1" t="s">
        <v>65</v>
      </c>
    </row>
    <row r="468" spans="3:6" ht="16.8" x14ac:dyDescent="0.35">
      <c r="C468" s="3" t="s">
        <v>122</v>
      </c>
      <c r="D468" s="1" t="s">
        <v>251</v>
      </c>
      <c r="E468" s="1">
        <v>2</v>
      </c>
      <c r="F468" s="1" t="s">
        <v>65</v>
      </c>
    </row>
    <row r="469" spans="3:6" ht="16.8" x14ac:dyDescent="0.35">
      <c r="C469" s="3" t="s">
        <v>123</v>
      </c>
      <c r="D469" s="1" t="s">
        <v>251</v>
      </c>
      <c r="E469" s="1">
        <v>2</v>
      </c>
      <c r="F469" s="1" t="s">
        <v>65</v>
      </c>
    </row>
    <row r="470" spans="3:6" ht="16.8" x14ac:dyDescent="0.35">
      <c r="C470" s="3" t="s">
        <v>124</v>
      </c>
      <c r="D470" s="1" t="s">
        <v>251</v>
      </c>
      <c r="E470" s="1">
        <v>2</v>
      </c>
      <c r="F470" s="1" t="s">
        <v>65</v>
      </c>
    </row>
    <row r="471" spans="3:6" ht="16.8" x14ac:dyDescent="0.35">
      <c r="C471" s="3" t="s">
        <v>125</v>
      </c>
      <c r="D471" s="1" t="s">
        <v>251</v>
      </c>
      <c r="E471" s="1">
        <v>2</v>
      </c>
      <c r="F471" s="1" t="s">
        <v>65</v>
      </c>
    </row>
    <row r="472" spans="3:6" ht="16.8" x14ac:dyDescent="0.35">
      <c r="C472" s="3" t="s">
        <v>126</v>
      </c>
      <c r="D472" s="1" t="s">
        <v>251</v>
      </c>
      <c r="E472" s="1">
        <v>2</v>
      </c>
      <c r="F472" s="1" t="s">
        <v>65</v>
      </c>
    </row>
    <row r="473" spans="3:6" ht="16.8" x14ac:dyDescent="0.35">
      <c r="C473" s="3" t="s">
        <v>127</v>
      </c>
      <c r="D473" s="1" t="s">
        <v>251</v>
      </c>
      <c r="E473" s="1">
        <v>2</v>
      </c>
      <c r="F473" s="1" t="s">
        <v>65</v>
      </c>
    </row>
    <row r="474" spans="3:6" ht="16.8" x14ac:dyDescent="0.35">
      <c r="C474" s="3" t="s">
        <v>128</v>
      </c>
      <c r="D474" s="1" t="s">
        <v>251</v>
      </c>
      <c r="E474" s="1">
        <v>2</v>
      </c>
      <c r="F474" s="1" t="s">
        <v>65</v>
      </c>
    </row>
    <row r="475" spans="3:6" ht="16.8" x14ac:dyDescent="0.35">
      <c r="C475" s="3" t="s">
        <v>129</v>
      </c>
      <c r="D475" s="1" t="s">
        <v>251</v>
      </c>
      <c r="E475" s="1">
        <v>2</v>
      </c>
      <c r="F475" s="1" t="s">
        <v>65</v>
      </c>
    </row>
    <row r="476" spans="3:6" ht="16.8" x14ac:dyDescent="0.35">
      <c r="C476" s="3" t="s">
        <v>130</v>
      </c>
      <c r="D476" s="1" t="s">
        <v>251</v>
      </c>
      <c r="E476" s="1">
        <v>2</v>
      </c>
      <c r="F476" s="1" t="s">
        <v>65</v>
      </c>
    </row>
    <row r="477" spans="3:6" ht="16.8" x14ac:dyDescent="0.35">
      <c r="C477" s="3" t="s">
        <v>131</v>
      </c>
      <c r="D477" s="1" t="s">
        <v>251</v>
      </c>
      <c r="E477" s="1">
        <v>2</v>
      </c>
      <c r="F477" s="1" t="s">
        <v>65</v>
      </c>
    </row>
    <row r="478" spans="3:6" ht="16.8" x14ac:dyDescent="0.35">
      <c r="C478" s="3" t="s">
        <v>132</v>
      </c>
      <c r="D478" s="1" t="s">
        <v>251</v>
      </c>
      <c r="E478" s="1">
        <v>2</v>
      </c>
      <c r="F478" s="1" t="s">
        <v>65</v>
      </c>
    </row>
    <row r="479" spans="3:6" ht="16.8" x14ac:dyDescent="0.35">
      <c r="C479" s="5" t="s">
        <v>133</v>
      </c>
      <c r="D479" s="1" t="s">
        <v>251</v>
      </c>
      <c r="E479" s="1">
        <v>1</v>
      </c>
      <c r="F479" s="1" t="s">
        <v>65</v>
      </c>
    </row>
    <row r="480" spans="3:6" ht="16.8" x14ac:dyDescent="0.35">
      <c r="C480" s="3" t="s">
        <v>134</v>
      </c>
      <c r="D480" s="1" t="s">
        <v>251</v>
      </c>
      <c r="E480" s="1">
        <v>2</v>
      </c>
      <c r="F480" s="1" t="s">
        <v>65</v>
      </c>
    </row>
    <row r="481" spans="3:6" ht="16.8" x14ac:dyDescent="0.35">
      <c r="C481" s="3" t="s">
        <v>135</v>
      </c>
      <c r="D481" s="1" t="s">
        <v>251</v>
      </c>
      <c r="E481" s="1">
        <v>2</v>
      </c>
      <c r="F481" s="1" t="s">
        <v>65</v>
      </c>
    </row>
    <row r="482" spans="3:6" ht="16.8" x14ac:dyDescent="0.35">
      <c r="C482" s="3" t="s">
        <v>136</v>
      </c>
      <c r="D482" s="1" t="s">
        <v>251</v>
      </c>
      <c r="E482" s="1">
        <v>2</v>
      </c>
      <c r="F482" s="1" t="s">
        <v>65</v>
      </c>
    </row>
    <row r="483" spans="3:6" ht="16.8" x14ac:dyDescent="0.35">
      <c r="C483" s="3" t="s">
        <v>137</v>
      </c>
      <c r="D483" s="1" t="s">
        <v>251</v>
      </c>
      <c r="E483" s="1">
        <v>2</v>
      </c>
      <c r="F483" s="1" t="s">
        <v>65</v>
      </c>
    </row>
    <row r="484" spans="3:6" ht="16.8" x14ac:dyDescent="0.35">
      <c r="C484" s="3" t="s">
        <v>138</v>
      </c>
      <c r="D484" s="1" t="s">
        <v>251</v>
      </c>
      <c r="E484" s="1">
        <v>2</v>
      </c>
      <c r="F484" s="1" t="s">
        <v>65</v>
      </c>
    </row>
    <row r="485" spans="3:6" ht="16.8" x14ac:dyDescent="0.35">
      <c r="C485" s="3" t="s">
        <v>139</v>
      </c>
      <c r="D485" s="1" t="s">
        <v>251</v>
      </c>
      <c r="E485" s="1">
        <v>2</v>
      </c>
      <c r="F485" s="1" t="s">
        <v>65</v>
      </c>
    </row>
    <row r="486" spans="3:6" ht="16.8" x14ac:dyDescent="0.35">
      <c r="C486" s="3" t="s">
        <v>140</v>
      </c>
      <c r="D486" s="1" t="s">
        <v>251</v>
      </c>
      <c r="E486" s="1">
        <v>2</v>
      </c>
      <c r="F486" s="1" t="s">
        <v>65</v>
      </c>
    </row>
    <row r="487" spans="3:6" ht="16.8" x14ac:dyDescent="0.35">
      <c r="C487" s="3" t="s">
        <v>141</v>
      </c>
      <c r="D487" s="1" t="s">
        <v>251</v>
      </c>
      <c r="E487" s="1">
        <v>2</v>
      </c>
      <c r="F487" s="1" t="s">
        <v>65</v>
      </c>
    </row>
    <row r="488" spans="3:6" ht="16.8" x14ac:dyDescent="0.35">
      <c r="C488" s="3" t="s">
        <v>142</v>
      </c>
      <c r="D488" s="1" t="s">
        <v>251</v>
      </c>
      <c r="E488" s="1">
        <v>2</v>
      </c>
      <c r="F488" s="1" t="s">
        <v>65</v>
      </c>
    </row>
    <row r="489" spans="3:6" ht="16.8" x14ac:dyDescent="0.35">
      <c r="C489" s="3" t="s">
        <v>143</v>
      </c>
      <c r="D489" s="1" t="s">
        <v>251</v>
      </c>
      <c r="E489" s="1">
        <v>2</v>
      </c>
      <c r="F489" s="1" t="s">
        <v>65</v>
      </c>
    </row>
    <row r="490" spans="3:6" ht="16.8" x14ac:dyDescent="0.35">
      <c r="C490" s="3" t="s">
        <v>144</v>
      </c>
      <c r="D490" s="1" t="s">
        <v>251</v>
      </c>
      <c r="E490" s="1">
        <v>2</v>
      </c>
      <c r="F490" s="1" t="s">
        <v>65</v>
      </c>
    </row>
    <row r="491" spans="3:6" ht="16.8" x14ac:dyDescent="0.35">
      <c r="C491" s="3" t="s">
        <v>145</v>
      </c>
      <c r="D491" s="1" t="s">
        <v>251</v>
      </c>
      <c r="E491" s="1">
        <v>2</v>
      </c>
      <c r="F491" s="1" t="s">
        <v>65</v>
      </c>
    </row>
    <row r="492" spans="3:6" ht="16.8" x14ac:dyDescent="0.35">
      <c r="C492" s="3" t="s">
        <v>146</v>
      </c>
      <c r="D492" s="1" t="s">
        <v>251</v>
      </c>
      <c r="E492" s="1">
        <v>2</v>
      </c>
      <c r="F492" s="1" t="s">
        <v>65</v>
      </c>
    </row>
    <row r="493" spans="3:6" ht="16.8" x14ac:dyDescent="0.35">
      <c r="C493" s="3" t="s">
        <v>147</v>
      </c>
      <c r="D493" s="1" t="s">
        <v>251</v>
      </c>
      <c r="E493" s="1">
        <v>2</v>
      </c>
      <c r="F493" s="1" t="s">
        <v>65</v>
      </c>
    </row>
    <row r="494" spans="3:6" ht="16.8" x14ac:dyDescent="0.35">
      <c r="C494" s="3" t="s">
        <v>148</v>
      </c>
      <c r="D494" s="1" t="s">
        <v>251</v>
      </c>
      <c r="E494" s="1">
        <v>2</v>
      </c>
      <c r="F494" s="1" t="s">
        <v>65</v>
      </c>
    </row>
    <row r="495" spans="3:6" ht="16.8" x14ac:dyDescent="0.35">
      <c r="C495" s="3" t="s">
        <v>149</v>
      </c>
      <c r="D495" s="1" t="s">
        <v>251</v>
      </c>
      <c r="E495" s="1">
        <v>2</v>
      </c>
      <c r="F495" s="1" t="s">
        <v>65</v>
      </c>
    </row>
    <row r="496" spans="3:6" ht="16.8" x14ac:dyDescent="0.35">
      <c r="C496" s="3" t="s">
        <v>150</v>
      </c>
      <c r="D496" s="1" t="s">
        <v>251</v>
      </c>
      <c r="E496" s="1">
        <v>2</v>
      </c>
      <c r="F496" s="1" t="s">
        <v>65</v>
      </c>
    </row>
    <row r="497" spans="3:6" ht="16.8" x14ac:dyDescent="0.35">
      <c r="C497" s="3" t="s">
        <v>151</v>
      </c>
      <c r="D497" s="1" t="s">
        <v>251</v>
      </c>
      <c r="E497" s="1">
        <v>2</v>
      </c>
      <c r="F497" s="1" t="s">
        <v>65</v>
      </c>
    </row>
    <row r="498" spans="3:6" ht="16.8" x14ac:dyDescent="0.35">
      <c r="C498" s="5" t="s">
        <v>152</v>
      </c>
      <c r="D498" s="1" t="s">
        <v>251</v>
      </c>
      <c r="E498" s="1">
        <v>1</v>
      </c>
      <c r="F498" s="1" t="s">
        <v>65</v>
      </c>
    </row>
    <row r="499" spans="3:6" ht="16.8" x14ac:dyDescent="0.35">
      <c r="C499" s="3" t="s">
        <v>153</v>
      </c>
      <c r="D499" s="1" t="s">
        <v>251</v>
      </c>
      <c r="E499" s="1">
        <v>2</v>
      </c>
      <c r="F499" s="1" t="s">
        <v>65</v>
      </c>
    </row>
    <row r="500" spans="3:6" ht="16.8" x14ac:dyDescent="0.35">
      <c r="C500" s="3" t="s">
        <v>154</v>
      </c>
      <c r="D500" s="1" t="s">
        <v>251</v>
      </c>
      <c r="E500" s="1">
        <v>2</v>
      </c>
      <c r="F500" s="1" t="s">
        <v>65</v>
      </c>
    </row>
    <row r="501" spans="3:6" ht="16.8" x14ac:dyDescent="0.35">
      <c r="C501" s="3" t="s">
        <v>155</v>
      </c>
      <c r="D501" s="1" t="s">
        <v>251</v>
      </c>
      <c r="E501" s="1">
        <v>2</v>
      </c>
      <c r="F501" s="1" t="s">
        <v>65</v>
      </c>
    </row>
    <row r="502" spans="3:6" ht="16.8" x14ac:dyDescent="0.35">
      <c r="C502" s="3" t="s">
        <v>156</v>
      </c>
      <c r="D502" s="1" t="s">
        <v>251</v>
      </c>
      <c r="E502" s="1">
        <v>2</v>
      </c>
      <c r="F502" s="1" t="s">
        <v>65</v>
      </c>
    </row>
    <row r="503" spans="3:6" ht="16.8" x14ac:dyDescent="0.35">
      <c r="C503" s="3" t="s">
        <v>157</v>
      </c>
      <c r="D503" s="1" t="s">
        <v>251</v>
      </c>
      <c r="E503" s="1">
        <v>2</v>
      </c>
      <c r="F503" s="1" t="s">
        <v>65</v>
      </c>
    </row>
    <row r="504" spans="3:6" ht="16.8" x14ac:dyDescent="0.35">
      <c r="C504" s="3" t="s">
        <v>158</v>
      </c>
      <c r="D504" s="1" t="s">
        <v>251</v>
      </c>
      <c r="E504" s="1">
        <v>2</v>
      </c>
      <c r="F504" s="1" t="s">
        <v>65</v>
      </c>
    </row>
    <row r="505" spans="3:6" ht="16.8" x14ac:dyDescent="0.35">
      <c r="C505" s="3" t="s">
        <v>159</v>
      </c>
      <c r="D505" s="1" t="s">
        <v>251</v>
      </c>
      <c r="E505" s="1">
        <v>2</v>
      </c>
      <c r="F505" s="1" t="s">
        <v>65</v>
      </c>
    </row>
    <row r="506" spans="3:6" ht="16.8" x14ac:dyDescent="0.35">
      <c r="C506" s="3" t="s">
        <v>160</v>
      </c>
      <c r="D506" s="1" t="s">
        <v>251</v>
      </c>
      <c r="E506" s="1">
        <v>2</v>
      </c>
      <c r="F506" s="1" t="s">
        <v>65</v>
      </c>
    </row>
    <row r="507" spans="3:6" ht="16.8" x14ac:dyDescent="0.35">
      <c r="C507" s="3" t="s">
        <v>161</v>
      </c>
      <c r="D507" s="1" t="s">
        <v>251</v>
      </c>
      <c r="E507" s="1">
        <v>2</v>
      </c>
      <c r="F507" s="1" t="s">
        <v>65</v>
      </c>
    </row>
    <row r="508" spans="3:6" ht="16.8" x14ac:dyDescent="0.35">
      <c r="C508" s="3" t="s">
        <v>162</v>
      </c>
      <c r="D508" s="1" t="s">
        <v>251</v>
      </c>
      <c r="E508" s="1">
        <v>2</v>
      </c>
      <c r="F508" s="1" t="s">
        <v>65</v>
      </c>
    </row>
    <row r="509" spans="3:6" ht="16.8" x14ac:dyDescent="0.35">
      <c r="C509" s="3" t="s">
        <v>163</v>
      </c>
      <c r="D509" s="1" t="s">
        <v>251</v>
      </c>
      <c r="E509" s="1">
        <v>2</v>
      </c>
      <c r="F509" s="1" t="s">
        <v>65</v>
      </c>
    </row>
    <row r="510" spans="3:6" ht="16.8" x14ac:dyDescent="0.35">
      <c r="C510" s="3" t="s">
        <v>164</v>
      </c>
      <c r="D510" s="1" t="s">
        <v>251</v>
      </c>
      <c r="E510" s="1">
        <v>2</v>
      </c>
      <c r="F510" s="1" t="s">
        <v>65</v>
      </c>
    </row>
    <row r="511" spans="3:6" ht="16.8" x14ac:dyDescent="0.35">
      <c r="C511" s="3" t="s">
        <v>165</v>
      </c>
      <c r="D511" s="1" t="s">
        <v>251</v>
      </c>
      <c r="E511" s="1">
        <v>2</v>
      </c>
      <c r="F511" s="1" t="s">
        <v>65</v>
      </c>
    </row>
    <row r="512" spans="3:6" ht="16.8" x14ac:dyDescent="0.35">
      <c r="C512" s="3" t="s">
        <v>166</v>
      </c>
      <c r="D512" s="1" t="s">
        <v>251</v>
      </c>
      <c r="E512" s="1">
        <v>2</v>
      </c>
      <c r="F512" s="1" t="s">
        <v>65</v>
      </c>
    </row>
    <row r="513" spans="3:6" ht="16.8" x14ac:dyDescent="0.35">
      <c r="C513" s="3" t="s">
        <v>167</v>
      </c>
      <c r="D513" s="1" t="s">
        <v>251</v>
      </c>
      <c r="E513" s="1">
        <v>2</v>
      </c>
      <c r="F513" s="1" t="s">
        <v>65</v>
      </c>
    </row>
    <row r="514" spans="3:6" ht="16.8" x14ac:dyDescent="0.35">
      <c r="C514" s="3" t="s">
        <v>168</v>
      </c>
      <c r="D514" s="1" t="s">
        <v>251</v>
      </c>
      <c r="E514" s="1">
        <v>2</v>
      </c>
      <c r="F514" s="1" t="s">
        <v>65</v>
      </c>
    </row>
    <row r="515" spans="3:6" ht="16.8" x14ac:dyDescent="0.35">
      <c r="C515" s="3" t="s">
        <v>169</v>
      </c>
      <c r="D515" s="1" t="s">
        <v>251</v>
      </c>
      <c r="E515" s="1">
        <v>2</v>
      </c>
      <c r="F515" s="1" t="s">
        <v>65</v>
      </c>
    </row>
    <row r="516" spans="3:6" ht="16.8" x14ac:dyDescent="0.35">
      <c r="C516" s="3" t="s">
        <v>170</v>
      </c>
      <c r="D516" s="1" t="s">
        <v>251</v>
      </c>
      <c r="E516" s="1">
        <v>2</v>
      </c>
      <c r="F516" s="1" t="s">
        <v>65</v>
      </c>
    </row>
    <row r="517" spans="3:6" ht="16.8" x14ac:dyDescent="0.35">
      <c r="C517" s="136" t="s">
        <v>171</v>
      </c>
      <c r="D517" s="1" t="s">
        <v>249</v>
      </c>
      <c r="E517" s="1">
        <v>1</v>
      </c>
      <c r="F517" s="1" t="s">
        <v>39</v>
      </c>
    </row>
    <row r="518" spans="3:6" ht="16.8" x14ac:dyDescent="0.35">
      <c r="C518" s="12" t="s">
        <v>172</v>
      </c>
      <c r="D518" s="12" t="s">
        <v>249</v>
      </c>
      <c r="E518" s="12">
        <v>2</v>
      </c>
      <c r="F518" s="12" t="s">
        <v>39</v>
      </c>
    </row>
    <row r="519" spans="3:6" ht="16.8" x14ac:dyDescent="0.35">
      <c r="C519" s="12" t="s">
        <v>173</v>
      </c>
      <c r="D519" s="12" t="s">
        <v>249</v>
      </c>
      <c r="E519" s="12">
        <v>2</v>
      </c>
      <c r="F519" s="12" t="s">
        <v>39</v>
      </c>
    </row>
    <row r="520" spans="3:6" ht="16.8" x14ac:dyDescent="0.35">
      <c r="C520" s="12" t="s">
        <v>174</v>
      </c>
      <c r="D520" s="12" t="s">
        <v>249</v>
      </c>
      <c r="E520" s="12">
        <v>2</v>
      </c>
      <c r="F520" s="12" t="s">
        <v>39</v>
      </c>
    </row>
    <row r="521" spans="3:6" ht="16.8" x14ac:dyDescent="0.35">
      <c r="C521" s="12" t="s">
        <v>175</v>
      </c>
      <c r="D521" s="12" t="s">
        <v>249</v>
      </c>
      <c r="E521" s="12">
        <v>2</v>
      </c>
      <c r="F521" s="12" t="s">
        <v>39</v>
      </c>
    </row>
    <row r="522" spans="3:6" ht="16.8" x14ac:dyDescent="0.35">
      <c r="C522" s="12" t="s">
        <v>176</v>
      </c>
      <c r="D522" s="12" t="s">
        <v>249</v>
      </c>
      <c r="E522" s="12">
        <v>2</v>
      </c>
      <c r="F522" s="12" t="s">
        <v>39</v>
      </c>
    </row>
    <row r="523" spans="3:6" ht="16.8" x14ac:dyDescent="0.35">
      <c r="C523" s="12" t="s">
        <v>177</v>
      </c>
      <c r="D523" s="12" t="s">
        <v>249</v>
      </c>
      <c r="E523" s="12">
        <v>2</v>
      </c>
      <c r="F523" s="12" t="s">
        <v>39</v>
      </c>
    </row>
    <row r="524" spans="3:6" ht="16.8" x14ac:dyDescent="0.35">
      <c r="C524" s="12" t="s">
        <v>178</v>
      </c>
      <c r="D524" s="12" t="s">
        <v>249</v>
      </c>
      <c r="E524" s="12">
        <v>2</v>
      </c>
      <c r="F524" s="12" t="s">
        <v>39</v>
      </c>
    </row>
    <row r="525" spans="3:6" ht="16.8" x14ac:dyDescent="0.35">
      <c r="C525" s="12" t="s">
        <v>179</v>
      </c>
      <c r="D525" s="12" t="s">
        <v>249</v>
      </c>
      <c r="E525" s="12">
        <v>2</v>
      </c>
      <c r="F525" s="12" t="s">
        <v>39</v>
      </c>
    </row>
    <row r="526" spans="3:6" ht="16.8" x14ac:dyDescent="0.35">
      <c r="C526" s="12" t="s">
        <v>180</v>
      </c>
      <c r="D526" s="12" t="s">
        <v>249</v>
      </c>
      <c r="E526" s="12">
        <v>2</v>
      </c>
      <c r="F526" s="12" t="s">
        <v>39</v>
      </c>
    </row>
    <row r="527" spans="3:6" ht="16.8" x14ac:dyDescent="0.35">
      <c r="C527" s="12" t="s">
        <v>181</v>
      </c>
      <c r="D527" s="12" t="s">
        <v>249</v>
      </c>
      <c r="E527" s="12">
        <v>2</v>
      </c>
      <c r="F527" s="12" t="s">
        <v>39</v>
      </c>
    </row>
    <row r="528" spans="3:6" ht="16.8" x14ac:dyDescent="0.35">
      <c r="C528" s="12" t="s">
        <v>182</v>
      </c>
      <c r="D528" s="12" t="s">
        <v>249</v>
      </c>
      <c r="E528" s="12">
        <v>2</v>
      </c>
      <c r="F528" s="12" t="s">
        <v>39</v>
      </c>
    </row>
    <row r="529" spans="3:6" ht="16.8" x14ac:dyDescent="0.35">
      <c r="C529" s="12" t="s">
        <v>183</v>
      </c>
      <c r="D529" s="12" t="s">
        <v>249</v>
      </c>
      <c r="E529" s="12">
        <v>2</v>
      </c>
      <c r="F529" s="12" t="s">
        <v>39</v>
      </c>
    </row>
    <row r="530" spans="3:6" ht="16.8" x14ac:dyDescent="0.35">
      <c r="C530" s="12" t="s">
        <v>184</v>
      </c>
      <c r="D530" s="12" t="s">
        <v>249</v>
      </c>
      <c r="E530" s="12">
        <v>2</v>
      </c>
      <c r="F530" s="12" t="s">
        <v>39</v>
      </c>
    </row>
    <row r="531" spans="3:6" ht="16.8" x14ac:dyDescent="0.35">
      <c r="C531" s="12" t="s">
        <v>185</v>
      </c>
      <c r="D531" s="12" t="s">
        <v>249</v>
      </c>
      <c r="E531" s="12">
        <v>2</v>
      </c>
      <c r="F531" s="12" t="s">
        <v>39</v>
      </c>
    </row>
    <row r="532" spans="3:6" ht="16.8" x14ac:dyDescent="0.35">
      <c r="C532" s="12" t="s">
        <v>186</v>
      </c>
      <c r="D532" s="12" t="s">
        <v>249</v>
      </c>
      <c r="E532" s="12">
        <v>2</v>
      </c>
      <c r="F532" s="12" t="s">
        <v>39</v>
      </c>
    </row>
    <row r="533" spans="3:6" ht="16.8" x14ac:dyDescent="0.35">
      <c r="C533" s="12" t="s">
        <v>187</v>
      </c>
      <c r="D533" s="12" t="s">
        <v>249</v>
      </c>
      <c r="E533" s="12">
        <v>2</v>
      </c>
      <c r="F533" s="12" t="s">
        <v>39</v>
      </c>
    </row>
    <row r="534" spans="3:6" ht="16.8" x14ac:dyDescent="0.35">
      <c r="C534" s="12" t="s">
        <v>188</v>
      </c>
      <c r="D534" s="12" t="s">
        <v>249</v>
      </c>
      <c r="E534" s="12">
        <v>2</v>
      </c>
      <c r="F534" s="12" t="s">
        <v>39</v>
      </c>
    </row>
    <row r="535" spans="3:6" ht="16.8" x14ac:dyDescent="0.35">
      <c r="C535" s="12" t="s">
        <v>189</v>
      </c>
      <c r="D535" s="12" t="s">
        <v>249</v>
      </c>
      <c r="E535" s="12">
        <v>2</v>
      </c>
      <c r="F535" s="12" t="s">
        <v>39</v>
      </c>
    </row>
    <row r="536" spans="3:6" ht="16.8" x14ac:dyDescent="0.35">
      <c r="C536" s="191" t="s">
        <v>190</v>
      </c>
      <c r="D536" s="1" t="s">
        <v>251</v>
      </c>
      <c r="E536" s="1">
        <v>1</v>
      </c>
      <c r="F536" s="1" t="s">
        <v>65</v>
      </c>
    </row>
    <row r="537" spans="3:6" ht="16.8" x14ac:dyDescent="0.35">
      <c r="C537" s="3" t="s">
        <v>191</v>
      </c>
      <c r="D537" s="1" t="s">
        <v>251</v>
      </c>
      <c r="E537" s="1">
        <v>2</v>
      </c>
      <c r="F537" s="1" t="s">
        <v>65</v>
      </c>
    </row>
    <row r="538" spans="3:6" ht="16.8" x14ac:dyDescent="0.35">
      <c r="C538" s="3" t="s">
        <v>192</v>
      </c>
      <c r="D538" s="1" t="s">
        <v>251</v>
      </c>
      <c r="E538" s="1">
        <v>2</v>
      </c>
      <c r="F538" s="1" t="s">
        <v>65</v>
      </c>
    </row>
    <row r="539" spans="3:6" ht="16.8" x14ac:dyDescent="0.35">
      <c r="C539" s="3" t="s">
        <v>193</v>
      </c>
      <c r="D539" s="1" t="s">
        <v>251</v>
      </c>
      <c r="E539" s="1">
        <v>2</v>
      </c>
      <c r="F539" s="1" t="s">
        <v>65</v>
      </c>
    </row>
    <row r="540" spans="3:6" ht="16.8" x14ac:dyDescent="0.35">
      <c r="C540" s="3" t="s">
        <v>194</v>
      </c>
      <c r="D540" s="1" t="s">
        <v>251</v>
      </c>
      <c r="E540" s="1">
        <v>2</v>
      </c>
      <c r="F540" s="1" t="s">
        <v>65</v>
      </c>
    </row>
    <row r="541" spans="3:6" ht="16.8" x14ac:dyDescent="0.35">
      <c r="C541" s="3" t="s">
        <v>195</v>
      </c>
      <c r="D541" s="1" t="s">
        <v>251</v>
      </c>
      <c r="E541" s="1">
        <v>2</v>
      </c>
      <c r="F541" s="1" t="s">
        <v>65</v>
      </c>
    </row>
    <row r="542" spans="3:6" ht="16.8" x14ac:dyDescent="0.35">
      <c r="C542" s="3" t="s">
        <v>196</v>
      </c>
      <c r="D542" s="1" t="s">
        <v>251</v>
      </c>
      <c r="E542" s="1">
        <v>2</v>
      </c>
      <c r="F542" s="1" t="s">
        <v>65</v>
      </c>
    </row>
    <row r="543" spans="3:6" ht="16.8" x14ac:dyDescent="0.35">
      <c r="C543" s="3" t="s">
        <v>197</v>
      </c>
      <c r="D543" s="1" t="s">
        <v>251</v>
      </c>
      <c r="E543" s="1">
        <v>2</v>
      </c>
      <c r="F543" s="1" t="s">
        <v>65</v>
      </c>
    </row>
    <row r="544" spans="3:6" ht="16.8" x14ac:dyDescent="0.35">
      <c r="C544" s="3" t="s">
        <v>198</v>
      </c>
      <c r="D544" s="1" t="s">
        <v>251</v>
      </c>
      <c r="E544" s="1">
        <v>2</v>
      </c>
      <c r="F544" s="1" t="s">
        <v>65</v>
      </c>
    </row>
    <row r="545" spans="3:6" ht="16.8" x14ac:dyDescent="0.35">
      <c r="C545" s="3" t="s">
        <v>199</v>
      </c>
      <c r="D545" s="1" t="s">
        <v>251</v>
      </c>
      <c r="E545" s="1">
        <v>2</v>
      </c>
      <c r="F545" s="1" t="s">
        <v>65</v>
      </c>
    </row>
    <row r="546" spans="3:6" ht="16.8" x14ac:dyDescent="0.35">
      <c r="C546" s="3" t="s">
        <v>200</v>
      </c>
      <c r="D546" s="1" t="s">
        <v>251</v>
      </c>
      <c r="E546" s="1">
        <v>2</v>
      </c>
      <c r="F546" s="1" t="s">
        <v>65</v>
      </c>
    </row>
    <row r="547" spans="3:6" ht="16.8" x14ac:dyDescent="0.35">
      <c r="C547" s="3" t="s">
        <v>201</v>
      </c>
      <c r="D547" s="1" t="s">
        <v>251</v>
      </c>
      <c r="E547" s="1">
        <v>2</v>
      </c>
      <c r="F547" s="1" t="s">
        <v>65</v>
      </c>
    </row>
    <row r="548" spans="3:6" ht="16.8" x14ac:dyDescent="0.35">
      <c r="C548" s="3" t="s">
        <v>202</v>
      </c>
      <c r="D548" s="1" t="s">
        <v>251</v>
      </c>
      <c r="E548" s="1">
        <v>2</v>
      </c>
      <c r="F548" s="1" t="s">
        <v>65</v>
      </c>
    </row>
    <row r="549" spans="3:6" ht="16.8" x14ac:dyDescent="0.35">
      <c r="C549" s="3" t="s">
        <v>203</v>
      </c>
      <c r="D549" s="1" t="s">
        <v>251</v>
      </c>
      <c r="E549" s="1">
        <v>2</v>
      </c>
      <c r="F549" s="1" t="s">
        <v>65</v>
      </c>
    </row>
    <row r="550" spans="3:6" ht="16.8" x14ac:dyDescent="0.35">
      <c r="C550" s="3" t="s">
        <v>204</v>
      </c>
      <c r="D550" s="1" t="s">
        <v>251</v>
      </c>
      <c r="E550" s="1">
        <v>2</v>
      </c>
      <c r="F550" s="1" t="s">
        <v>65</v>
      </c>
    </row>
    <row r="551" spans="3:6" ht="16.8" x14ac:dyDescent="0.35">
      <c r="C551" s="3" t="s">
        <v>205</v>
      </c>
      <c r="D551" s="1" t="s">
        <v>251</v>
      </c>
      <c r="E551" s="1">
        <v>2</v>
      </c>
      <c r="F551" s="1" t="s">
        <v>65</v>
      </c>
    </row>
    <row r="552" spans="3:6" ht="16.8" x14ac:dyDescent="0.35">
      <c r="C552" s="3" t="s">
        <v>206</v>
      </c>
      <c r="D552" s="1" t="s">
        <v>251</v>
      </c>
      <c r="E552" s="1">
        <v>2</v>
      </c>
      <c r="F552" s="1" t="s">
        <v>65</v>
      </c>
    </row>
    <row r="553" spans="3:6" ht="16.8" x14ac:dyDescent="0.35">
      <c r="C553" s="3" t="s">
        <v>207</v>
      </c>
      <c r="D553" s="1" t="s">
        <v>251</v>
      </c>
      <c r="E553" s="1">
        <v>2</v>
      </c>
      <c r="F553" s="1" t="s">
        <v>65</v>
      </c>
    </row>
    <row r="554" spans="3:6" ht="16.8" x14ac:dyDescent="0.35">
      <c r="C554" s="3" t="s">
        <v>208</v>
      </c>
      <c r="D554" s="1" t="s">
        <v>251</v>
      </c>
      <c r="E554" s="1">
        <v>2</v>
      </c>
      <c r="F554" s="1" t="s">
        <v>65</v>
      </c>
    </row>
    <row r="555" spans="3:6" ht="16.8" x14ac:dyDescent="0.35">
      <c r="C555" s="3" t="s">
        <v>209</v>
      </c>
      <c r="D555" s="1" t="s">
        <v>251</v>
      </c>
      <c r="E555" s="1">
        <v>2</v>
      </c>
      <c r="F555" s="1" t="s">
        <v>65</v>
      </c>
    </row>
    <row r="556" spans="3:6" ht="16.8" x14ac:dyDescent="0.35">
      <c r="C556" s="3" t="s">
        <v>210</v>
      </c>
      <c r="D556" s="1" t="s">
        <v>251</v>
      </c>
      <c r="E556" s="1">
        <v>2</v>
      </c>
      <c r="F556" s="1" t="s">
        <v>65</v>
      </c>
    </row>
    <row r="557" spans="3:6" ht="16.8" x14ac:dyDescent="0.35">
      <c r="C557" s="3" t="s">
        <v>211</v>
      </c>
      <c r="D557" s="1" t="s">
        <v>251</v>
      </c>
      <c r="E557" s="1">
        <v>2</v>
      </c>
      <c r="F557" s="1" t="s">
        <v>65</v>
      </c>
    </row>
    <row r="558" spans="3:6" ht="16.8" x14ac:dyDescent="0.35">
      <c r="C558" s="3" t="s">
        <v>212</v>
      </c>
      <c r="D558" s="1" t="s">
        <v>251</v>
      </c>
      <c r="E558" s="1">
        <v>2</v>
      </c>
      <c r="F558" s="1" t="s">
        <v>65</v>
      </c>
    </row>
    <row r="559" spans="3:6" ht="16.8" x14ac:dyDescent="0.35">
      <c r="C559" s="3" t="s">
        <v>213</v>
      </c>
      <c r="D559" s="1" t="s">
        <v>251</v>
      </c>
      <c r="E559" s="1">
        <v>2</v>
      </c>
      <c r="F559" s="1" t="s">
        <v>65</v>
      </c>
    </row>
    <row r="560" spans="3:6" ht="16.8" x14ac:dyDescent="0.35">
      <c r="C560" s="3" t="s">
        <v>214</v>
      </c>
      <c r="D560" s="1" t="s">
        <v>251</v>
      </c>
      <c r="E560" s="1">
        <v>2</v>
      </c>
      <c r="F560" s="1" t="s">
        <v>65</v>
      </c>
    </row>
    <row r="561" spans="3:6" ht="16.8" x14ac:dyDescent="0.35">
      <c r="C561" s="3" t="s">
        <v>215</v>
      </c>
      <c r="D561" s="1" t="s">
        <v>251</v>
      </c>
      <c r="E561" s="1">
        <v>2</v>
      </c>
      <c r="F561" s="1" t="s">
        <v>65</v>
      </c>
    </row>
    <row r="562" spans="3:6" ht="16.8" x14ac:dyDescent="0.35">
      <c r="C562" s="3" t="s">
        <v>216</v>
      </c>
      <c r="D562" s="1" t="s">
        <v>251</v>
      </c>
      <c r="E562" s="1">
        <v>2</v>
      </c>
      <c r="F562" s="1" t="s">
        <v>65</v>
      </c>
    </row>
    <row r="563" spans="3:6" ht="16.8" x14ac:dyDescent="0.35">
      <c r="C563" s="3" t="s">
        <v>217</v>
      </c>
      <c r="D563" s="1" t="s">
        <v>251</v>
      </c>
      <c r="E563" s="1">
        <v>2</v>
      </c>
      <c r="F563" s="1" t="s">
        <v>65</v>
      </c>
    </row>
    <row r="564" spans="3:6" ht="16.8" x14ac:dyDescent="0.35">
      <c r="C564" s="3" t="s">
        <v>218</v>
      </c>
      <c r="D564" s="1" t="s">
        <v>251</v>
      </c>
      <c r="E564" s="1">
        <v>2</v>
      </c>
      <c r="F564" s="1" t="s">
        <v>65</v>
      </c>
    </row>
    <row r="565" spans="3:6" ht="16.8" x14ac:dyDescent="0.35">
      <c r="C565" s="3" t="s">
        <v>219</v>
      </c>
      <c r="D565" s="1" t="s">
        <v>251</v>
      </c>
      <c r="E565" s="1">
        <v>2</v>
      </c>
      <c r="F565" s="1" t="s">
        <v>65</v>
      </c>
    </row>
    <row r="566" spans="3:6" ht="16.8" x14ac:dyDescent="0.35">
      <c r="C566" s="3" t="s">
        <v>220</v>
      </c>
      <c r="D566" s="1" t="s">
        <v>251</v>
      </c>
      <c r="E566" s="1">
        <v>2</v>
      </c>
      <c r="F566" s="1" t="s">
        <v>65</v>
      </c>
    </row>
    <row r="567" spans="3:6" ht="16.8" x14ac:dyDescent="0.35">
      <c r="C567" s="3" t="s">
        <v>221</v>
      </c>
      <c r="D567" s="1" t="s">
        <v>251</v>
      </c>
      <c r="E567" s="1">
        <v>2</v>
      </c>
      <c r="F567" s="1" t="s">
        <v>65</v>
      </c>
    </row>
    <row r="568" spans="3:6" ht="16.8" x14ac:dyDescent="0.35">
      <c r="C568" s="3" t="s">
        <v>222</v>
      </c>
      <c r="D568" s="1" t="s">
        <v>251</v>
      </c>
      <c r="E568" s="1">
        <v>2</v>
      </c>
      <c r="F568" s="1" t="s">
        <v>65</v>
      </c>
    </row>
    <row r="569" spans="3:6" ht="16.8" x14ac:dyDescent="0.35">
      <c r="C569" s="3" t="s">
        <v>223</v>
      </c>
      <c r="D569" s="1" t="s">
        <v>251</v>
      </c>
      <c r="E569" s="1">
        <v>2</v>
      </c>
      <c r="F569" s="1" t="s">
        <v>65</v>
      </c>
    </row>
    <row r="570" spans="3:6" ht="16.8" x14ac:dyDescent="0.35">
      <c r="C570" s="3" t="s">
        <v>224</v>
      </c>
      <c r="D570" s="1" t="s">
        <v>251</v>
      </c>
      <c r="E570" s="1">
        <v>2</v>
      </c>
      <c r="F570" s="1" t="s">
        <v>65</v>
      </c>
    </row>
    <row r="571" spans="3:6" ht="16.8" x14ac:dyDescent="0.35">
      <c r="C571" s="3" t="s">
        <v>225</v>
      </c>
      <c r="D571" s="1" t="s">
        <v>251</v>
      </c>
      <c r="E571" s="1">
        <v>2</v>
      </c>
      <c r="F571" s="1" t="s">
        <v>65</v>
      </c>
    </row>
    <row r="572" spans="3:6" ht="16.8" x14ac:dyDescent="0.35">
      <c r="C572" s="3" t="s">
        <v>226</v>
      </c>
      <c r="D572" s="1" t="s">
        <v>251</v>
      </c>
      <c r="E572" s="1">
        <v>2</v>
      </c>
      <c r="F572" s="1" t="s">
        <v>65</v>
      </c>
    </row>
    <row r="573" spans="3:6" ht="16.8" x14ac:dyDescent="0.35">
      <c r="C573" s="3" t="s">
        <v>227</v>
      </c>
      <c r="D573" s="1" t="s">
        <v>251</v>
      </c>
      <c r="E573" s="1">
        <v>2</v>
      </c>
      <c r="F573" s="1" t="s">
        <v>65</v>
      </c>
    </row>
    <row r="574" spans="3:6" ht="16.8" x14ac:dyDescent="0.35">
      <c r="C574" s="3" t="s">
        <v>228</v>
      </c>
      <c r="D574" s="1" t="s">
        <v>260</v>
      </c>
      <c r="E574" s="1">
        <v>2</v>
      </c>
      <c r="F574" s="1" t="s">
        <v>76</v>
      </c>
    </row>
    <row r="575" spans="3:6" ht="16.8" x14ac:dyDescent="0.35">
      <c r="C575" s="3" t="s">
        <v>229</v>
      </c>
      <c r="D575" s="1" t="s">
        <v>260</v>
      </c>
      <c r="E575" s="1">
        <v>2</v>
      </c>
      <c r="F575" s="1" t="s">
        <v>76</v>
      </c>
    </row>
    <row r="576" spans="3:6" ht="16.8" x14ac:dyDescent="0.35">
      <c r="C576" s="3" t="s">
        <v>230</v>
      </c>
      <c r="D576" s="1" t="s">
        <v>260</v>
      </c>
      <c r="E576" s="1">
        <v>2</v>
      </c>
      <c r="F576" s="1" t="s">
        <v>76</v>
      </c>
    </row>
    <row r="577" spans="3:6" ht="16.8" x14ac:dyDescent="0.35">
      <c r="C577" s="3" t="s">
        <v>231</v>
      </c>
      <c r="D577" s="1" t="s">
        <v>260</v>
      </c>
      <c r="E577" s="1">
        <v>2</v>
      </c>
      <c r="F577" s="1" t="s">
        <v>76</v>
      </c>
    </row>
    <row r="578" spans="3:6" ht="16.8" x14ac:dyDescent="0.35">
      <c r="C578" s="3" t="s">
        <v>232</v>
      </c>
      <c r="D578" s="1" t="s">
        <v>260</v>
      </c>
      <c r="E578" s="1">
        <v>2</v>
      </c>
      <c r="F578" s="1" t="s">
        <v>76</v>
      </c>
    </row>
    <row r="579" spans="3:6" ht="16.8" x14ac:dyDescent="0.35">
      <c r="C579" s="3" t="s">
        <v>233</v>
      </c>
      <c r="D579" s="1" t="s">
        <v>260</v>
      </c>
      <c r="E579" s="1">
        <v>2</v>
      </c>
      <c r="F579" s="1" t="s">
        <v>76</v>
      </c>
    </row>
    <row r="580" spans="3:6" ht="16.8" x14ac:dyDescent="0.35">
      <c r="C580" s="3" t="s">
        <v>234</v>
      </c>
      <c r="D580" s="1" t="s">
        <v>260</v>
      </c>
      <c r="E580" s="1">
        <v>2</v>
      </c>
      <c r="F580" s="1" t="s">
        <v>76</v>
      </c>
    </row>
    <row r="581" spans="3:6" ht="16.8" x14ac:dyDescent="0.35">
      <c r="C581" s="3" t="s">
        <v>235</v>
      </c>
      <c r="D581" s="1" t="s">
        <v>260</v>
      </c>
      <c r="E581" s="1">
        <v>2</v>
      </c>
      <c r="F581" s="1" t="s">
        <v>76</v>
      </c>
    </row>
    <row r="582" spans="3:6" ht="16.8" x14ac:dyDescent="0.35">
      <c r="C582" s="3" t="s">
        <v>236</v>
      </c>
      <c r="D582" s="1" t="s">
        <v>260</v>
      </c>
      <c r="E582" s="1">
        <v>2</v>
      </c>
      <c r="F582" s="1" t="s">
        <v>76</v>
      </c>
    </row>
    <row r="583" spans="3:6" ht="16.8" x14ac:dyDescent="0.35">
      <c r="C583" s="3" t="s">
        <v>237</v>
      </c>
      <c r="D583" s="1" t="s">
        <v>260</v>
      </c>
      <c r="E583" s="1">
        <v>2</v>
      </c>
      <c r="F583" s="1" t="s">
        <v>76</v>
      </c>
    </row>
    <row r="584" spans="3:6" ht="16.8" x14ac:dyDescent="0.35">
      <c r="C584" s="3" t="s">
        <v>238</v>
      </c>
      <c r="D584" s="1" t="s">
        <v>260</v>
      </c>
      <c r="E584" s="1">
        <v>2</v>
      </c>
      <c r="F584" s="1" t="s">
        <v>76</v>
      </c>
    </row>
    <row r="585" spans="3:6" ht="16.8" x14ac:dyDescent="0.35">
      <c r="C585" s="3" t="s">
        <v>239</v>
      </c>
      <c r="D585" s="1" t="s">
        <v>260</v>
      </c>
      <c r="E585" s="1">
        <v>2</v>
      </c>
      <c r="F585" s="1" t="s">
        <v>76</v>
      </c>
    </row>
    <row r="586" spans="3:6" ht="16.8" x14ac:dyDescent="0.35">
      <c r="C586" s="3" t="s">
        <v>240</v>
      </c>
      <c r="D586" s="1" t="s">
        <v>260</v>
      </c>
      <c r="E586" s="1">
        <v>2</v>
      </c>
      <c r="F586" s="1" t="s">
        <v>76</v>
      </c>
    </row>
    <row r="587" spans="3:6" ht="16.8" x14ac:dyDescent="0.35">
      <c r="C587" s="3" t="s">
        <v>241</v>
      </c>
      <c r="D587" s="1" t="s">
        <v>260</v>
      </c>
      <c r="E587" s="1">
        <v>2</v>
      </c>
      <c r="F587" s="1" t="s">
        <v>76</v>
      </c>
    </row>
    <row r="588" spans="3:6" ht="16.8" x14ac:dyDescent="0.35">
      <c r="C588" s="3" t="s">
        <v>242</v>
      </c>
      <c r="D588" s="1" t="s">
        <v>260</v>
      </c>
      <c r="E588" s="1">
        <v>2</v>
      </c>
      <c r="F588" s="1" t="s">
        <v>76</v>
      </c>
    </row>
    <row r="589" spans="3:6" ht="16.8" x14ac:dyDescent="0.35">
      <c r="C589" s="3" t="s">
        <v>342</v>
      </c>
      <c r="D589" s="1" t="s">
        <v>260</v>
      </c>
      <c r="E589" s="1">
        <v>2</v>
      </c>
      <c r="F589" s="1" t="s">
        <v>76</v>
      </c>
    </row>
    <row r="590" spans="3:6" ht="16.8" x14ac:dyDescent="0.35">
      <c r="C590" s="3" t="s">
        <v>243</v>
      </c>
      <c r="D590" s="1" t="s">
        <v>260</v>
      </c>
      <c r="E590" s="1">
        <v>2</v>
      </c>
      <c r="F590" s="1" t="s">
        <v>76</v>
      </c>
    </row>
    <row r="591" spans="3:6" ht="16.8" x14ac:dyDescent="0.35">
      <c r="C591" s="3" t="s">
        <v>244</v>
      </c>
      <c r="D591" s="1" t="s">
        <v>260</v>
      </c>
      <c r="E591" s="1">
        <v>2</v>
      </c>
      <c r="F591" s="1" t="s">
        <v>76</v>
      </c>
    </row>
    <row r="592" spans="3:6" ht="16.8" x14ac:dyDescent="0.35">
      <c r="C592" s="3" t="s">
        <v>245</v>
      </c>
      <c r="D592" s="1" t="s">
        <v>260</v>
      </c>
      <c r="E592" s="1">
        <v>1</v>
      </c>
      <c r="F592" s="1" t="s">
        <v>76</v>
      </c>
    </row>
  </sheetData>
  <mergeCells count="81">
    <mergeCell ref="E76:E77"/>
    <mergeCell ref="F76:F77"/>
    <mergeCell ref="E78:E79"/>
    <mergeCell ref="F78:F79"/>
    <mergeCell ref="E70:E71"/>
    <mergeCell ref="F70:F71"/>
    <mergeCell ref="E72:E73"/>
    <mergeCell ref="F72:F73"/>
    <mergeCell ref="E74:E75"/>
    <mergeCell ref="F74:F75"/>
    <mergeCell ref="E64:E65"/>
    <mergeCell ref="F64:F65"/>
    <mergeCell ref="E66:E67"/>
    <mergeCell ref="F66:F67"/>
    <mergeCell ref="E68:E69"/>
    <mergeCell ref="F68:F69"/>
    <mergeCell ref="E58:E59"/>
    <mergeCell ref="F58:F59"/>
    <mergeCell ref="E60:E61"/>
    <mergeCell ref="F60:F61"/>
    <mergeCell ref="E62:E63"/>
    <mergeCell ref="F62:F63"/>
    <mergeCell ref="E52:E53"/>
    <mergeCell ref="F52:F53"/>
    <mergeCell ref="E54:E55"/>
    <mergeCell ref="F54:F55"/>
    <mergeCell ref="E56:E57"/>
    <mergeCell ref="F56:F57"/>
    <mergeCell ref="E46:E47"/>
    <mergeCell ref="F46:F47"/>
    <mergeCell ref="E48:E49"/>
    <mergeCell ref="F48:F49"/>
    <mergeCell ref="E50:E51"/>
    <mergeCell ref="F50:F51"/>
    <mergeCell ref="E40:E41"/>
    <mergeCell ref="F40:F41"/>
    <mergeCell ref="E42:E43"/>
    <mergeCell ref="F42:F43"/>
    <mergeCell ref="E44:E45"/>
    <mergeCell ref="F44:F45"/>
    <mergeCell ref="E37:E38"/>
    <mergeCell ref="F37:F38"/>
    <mergeCell ref="E31:E32"/>
    <mergeCell ref="F31:F32"/>
    <mergeCell ref="E33:E34"/>
    <mergeCell ref="F33:F34"/>
    <mergeCell ref="E35:E36"/>
    <mergeCell ref="F35:F36"/>
    <mergeCell ref="E25:E26"/>
    <mergeCell ref="F25:F26"/>
    <mergeCell ref="E27:E28"/>
    <mergeCell ref="F27:F28"/>
    <mergeCell ref="E29:E30"/>
    <mergeCell ref="F29:F30"/>
    <mergeCell ref="G35:G36"/>
    <mergeCell ref="G37:G38"/>
    <mergeCell ref="G25:G26"/>
    <mergeCell ref="G27:G28"/>
    <mergeCell ref="G29:G30"/>
    <mergeCell ref="G31:G32"/>
    <mergeCell ref="G33:G34"/>
    <mergeCell ref="G50:G51"/>
    <mergeCell ref="G52:G53"/>
    <mergeCell ref="G54:G55"/>
    <mergeCell ref="G56:G57"/>
    <mergeCell ref="G58:G59"/>
    <mergeCell ref="G40:G41"/>
    <mergeCell ref="G42:G43"/>
    <mergeCell ref="G44:G45"/>
    <mergeCell ref="G46:G47"/>
    <mergeCell ref="G48:G49"/>
    <mergeCell ref="G70:G71"/>
    <mergeCell ref="G72:G73"/>
    <mergeCell ref="G74:G75"/>
    <mergeCell ref="G76:G77"/>
    <mergeCell ref="G78:G79"/>
    <mergeCell ref="G60:G61"/>
    <mergeCell ref="G62:G63"/>
    <mergeCell ref="G64:G65"/>
    <mergeCell ref="G66:G67"/>
    <mergeCell ref="G68:G6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B050"/>
  </sheetPr>
  <dimension ref="A1:DP286"/>
  <sheetViews>
    <sheetView tabSelected="1" view="pageBreakPreview" topLeftCell="BI1" zoomScale="85" zoomScaleNormal="85" zoomScaleSheetLayoutView="85" workbookViewId="0">
      <selection activeCell="CR15" sqref="CR15"/>
    </sheetView>
  </sheetViews>
  <sheetFormatPr defaultColWidth="9.109375" defaultRowHeight="20.399999999999999" x14ac:dyDescent="0.45"/>
  <cols>
    <col min="1" max="22" width="8.109375" style="1" hidden="1" customWidth="1"/>
    <col min="23" max="27" width="5.109375" style="1" hidden="1" customWidth="1"/>
    <col min="28" max="31" width="2.5546875" style="1" hidden="1" customWidth="1"/>
    <col min="32" max="37" width="8.109375" style="1" hidden="1" customWidth="1"/>
    <col min="38" max="38" width="2.5546875" style="1" hidden="1" customWidth="1"/>
    <col min="39" max="39" width="2.44140625" style="1" hidden="1" customWidth="1"/>
    <col min="40" max="40" width="2.5546875" style="1" hidden="1" customWidth="1"/>
    <col min="41" max="41" width="2.44140625" style="1" hidden="1" customWidth="1"/>
    <col min="42" max="51" width="2.5546875" style="1" hidden="1" customWidth="1"/>
    <col min="52" max="56" width="8.109375" style="1" hidden="1" customWidth="1"/>
    <col min="57" max="57" width="11.109375" style="1" hidden="1" customWidth="1"/>
    <col min="58" max="60" width="9.109375" style="1" hidden="1" customWidth="1"/>
    <col min="61" max="61" width="25.6640625" style="17" bestFit="1" customWidth="1"/>
    <col min="62" max="63" width="4" style="1" hidden="1" customWidth="1"/>
    <col min="64" max="64" width="4.5546875" style="1" hidden="1" customWidth="1"/>
    <col min="65" max="65" width="3" style="1" hidden="1" customWidth="1"/>
    <col min="66" max="71" width="2.6640625" style="1" hidden="1" customWidth="1"/>
    <col min="72" max="81" width="4.33203125" style="1" hidden="1" customWidth="1"/>
    <col min="82" max="85" width="17.44140625" style="1" customWidth="1"/>
    <col min="86" max="86" width="7.6640625" style="1" hidden="1" customWidth="1"/>
    <col min="87" max="92" width="4.44140625" style="1" hidden="1" customWidth="1"/>
    <col min="93" max="93" width="21.5546875" style="1" hidden="1" customWidth="1"/>
    <col min="94" max="94" width="15.5546875" style="1" bestFit="1" customWidth="1"/>
    <col min="95" max="95" width="9.109375" style="1" hidden="1" customWidth="1"/>
    <col min="96" max="96" width="16.33203125" style="1" bestFit="1" customWidth="1"/>
    <col min="97" max="97" width="23.88671875" style="1" bestFit="1" customWidth="1"/>
    <col min="98" max="98" width="26" style="1" bestFit="1" customWidth="1"/>
    <col min="99" max="99" width="9.109375" style="1"/>
    <col min="100" max="100" width="7.109375" style="1" customWidth="1"/>
    <col min="101" max="102" width="9.109375" style="1"/>
    <col min="103" max="103" width="10.88671875" style="1" bestFit="1" customWidth="1"/>
    <col min="104" max="16384" width="9.109375" style="1"/>
  </cols>
  <sheetData>
    <row r="1" spans="1:120" ht="32.4" x14ac:dyDescent="0.7">
      <c r="A1" s="117"/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8"/>
      <c r="V1" s="118"/>
      <c r="W1" s="118"/>
      <c r="X1" s="118"/>
      <c r="Y1" s="118"/>
      <c r="Z1" s="118"/>
      <c r="AA1" s="118"/>
      <c r="AB1" s="118"/>
      <c r="AC1" s="118"/>
      <c r="AD1" s="118"/>
      <c r="AE1" s="118"/>
      <c r="AF1" s="118"/>
      <c r="AG1" s="118"/>
      <c r="AH1" s="118"/>
      <c r="AI1" s="118"/>
      <c r="AJ1" s="118"/>
      <c r="AK1" s="118"/>
      <c r="AL1" s="118"/>
      <c r="AM1" s="118"/>
      <c r="AN1" s="118"/>
      <c r="AO1" s="118"/>
      <c r="AP1" s="118"/>
      <c r="AQ1" s="118"/>
      <c r="AR1" s="118"/>
      <c r="AS1" s="118"/>
      <c r="AT1" s="118"/>
      <c r="AU1" s="118"/>
      <c r="AV1" s="118"/>
      <c r="AW1" s="118"/>
      <c r="AX1" s="118"/>
      <c r="AY1" s="118"/>
      <c r="AZ1" s="118"/>
      <c r="BA1" s="118"/>
      <c r="BB1" s="118"/>
      <c r="BC1" s="118"/>
      <c r="BD1" s="118"/>
      <c r="BE1" s="118"/>
      <c r="BF1" s="118"/>
      <c r="BG1" s="118"/>
      <c r="BH1" s="118"/>
      <c r="BI1" s="23" t="s">
        <v>345</v>
      </c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9"/>
    </row>
    <row r="2" spans="1:120" ht="25.8" x14ac:dyDescent="0.55000000000000004">
      <c r="A2" s="119"/>
      <c r="BI2" s="21"/>
      <c r="BJ2" s="20"/>
      <c r="BK2" s="20"/>
      <c r="BL2" s="20"/>
      <c r="BM2" s="20"/>
      <c r="BN2" s="20"/>
      <c r="BO2" s="20"/>
      <c r="BP2" s="20"/>
      <c r="BQ2" s="20"/>
      <c r="BR2" s="20"/>
      <c r="BS2" s="20"/>
      <c r="BT2" s="20"/>
      <c r="BU2" s="20"/>
      <c r="BV2" s="20"/>
      <c r="BW2" s="20"/>
      <c r="BX2" s="20"/>
      <c r="BY2" s="20"/>
      <c r="BZ2" s="20"/>
      <c r="CA2" s="20"/>
      <c r="CB2" s="20"/>
      <c r="CC2" s="20"/>
      <c r="CD2" s="20"/>
      <c r="CE2" s="20"/>
      <c r="CF2" s="20"/>
      <c r="CG2" s="20"/>
      <c r="CH2" s="20"/>
      <c r="CI2" s="20"/>
      <c r="CJ2" s="20"/>
      <c r="CK2" s="20"/>
      <c r="CL2" s="20"/>
      <c r="CM2" s="20"/>
      <c r="CN2" s="20"/>
      <c r="CO2" s="20"/>
      <c r="CP2" s="20"/>
      <c r="CQ2" s="20"/>
      <c r="CR2" s="20"/>
      <c r="CS2" s="20"/>
      <c r="CT2" s="20"/>
      <c r="CU2" s="24" t="s">
        <v>346</v>
      </c>
      <c r="CV2" s="22"/>
    </row>
    <row r="3" spans="1:120" ht="16.8" x14ac:dyDescent="0.35">
      <c r="A3" s="119"/>
      <c r="BI3" s="44"/>
      <c r="BJ3" s="25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7"/>
      <c r="BX3" s="28"/>
      <c r="BY3" s="28"/>
      <c r="BZ3" s="28"/>
      <c r="CA3" s="28"/>
      <c r="CB3" s="28"/>
      <c r="CC3" s="28"/>
      <c r="CD3" s="25"/>
      <c r="CE3" s="25"/>
      <c r="CF3" s="25"/>
      <c r="CG3" s="25"/>
      <c r="CH3" s="25"/>
      <c r="CI3" s="25"/>
      <c r="CJ3" s="25"/>
      <c r="CK3" s="25"/>
      <c r="CL3" s="25"/>
      <c r="CM3" s="25"/>
      <c r="CN3" s="25"/>
      <c r="CO3" s="25"/>
      <c r="CP3" s="25"/>
      <c r="CQ3" s="25"/>
      <c r="CR3" s="25"/>
      <c r="CS3" s="25"/>
      <c r="CT3" s="25"/>
      <c r="CU3" s="25"/>
      <c r="CV3" s="45"/>
    </row>
    <row r="4" spans="1:120" s="17" customFormat="1" x14ac:dyDescent="0.45">
      <c r="A4" s="120"/>
      <c r="BI4" s="46" t="s">
        <v>348</v>
      </c>
      <c r="BJ4" s="40"/>
      <c r="BK4" s="40"/>
      <c r="BL4" s="40"/>
      <c r="BM4" s="40"/>
      <c r="BN4" s="40"/>
      <c r="BO4" s="40"/>
      <c r="BP4" s="40"/>
      <c r="BQ4" s="40"/>
      <c r="BR4" s="40"/>
      <c r="BS4" s="40"/>
      <c r="BT4" s="40"/>
      <c r="BU4" s="40"/>
      <c r="BV4" s="40"/>
      <c r="BW4" s="40"/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7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</row>
    <row r="5" spans="1:120" ht="16.8" x14ac:dyDescent="0.35">
      <c r="A5" s="119"/>
      <c r="BI5" s="48"/>
      <c r="BJ5" s="31"/>
      <c r="BK5" s="32"/>
      <c r="BL5" s="32"/>
      <c r="BM5" s="32"/>
      <c r="BN5" s="32"/>
      <c r="BO5" s="32"/>
      <c r="BP5" s="32"/>
      <c r="BQ5" s="32"/>
      <c r="BR5" s="32"/>
      <c r="BS5" s="32"/>
      <c r="BT5" s="32"/>
      <c r="BU5" s="32"/>
      <c r="BV5" s="32"/>
      <c r="BW5" s="33"/>
      <c r="CD5" s="31"/>
      <c r="CE5" s="31"/>
      <c r="CF5" s="31"/>
      <c r="CG5" s="31"/>
      <c r="CH5" s="31"/>
      <c r="CI5" s="31"/>
      <c r="CJ5" s="31"/>
      <c r="CK5" s="31"/>
      <c r="CL5" s="31"/>
      <c r="CM5" s="31"/>
      <c r="CN5" s="31"/>
      <c r="CO5" s="31"/>
      <c r="CP5" s="31"/>
      <c r="CQ5" s="31"/>
      <c r="CR5" s="31"/>
      <c r="CS5" s="31"/>
      <c r="CT5" s="31"/>
      <c r="CU5" s="31"/>
      <c r="CV5" s="49"/>
    </row>
    <row r="6" spans="1:120" s="29" customFormat="1" ht="16.8" x14ac:dyDescent="0.35">
      <c r="A6" s="121"/>
      <c r="BI6" s="50"/>
      <c r="BJ6" s="34"/>
      <c r="BK6" s="35"/>
      <c r="BL6" s="35"/>
      <c r="BM6" s="35"/>
      <c r="BN6" s="35"/>
      <c r="BO6" s="35"/>
      <c r="BP6" s="35"/>
      <c r="BQ6" s="35"/>
      <c r="BR6" s="35"/>
      <c r="BS6" s="35"/>
      <c r="BT6" s="35"/>
      <c r="BU6" s="35"/>
      <c r="BV6" s="35"/>
      <c r="BW6" s="36"/>
      <c r="CD6" s="30" t="s">
        <v>513</v>
      </c>
      <c r="CE6" s="30" t="s">
        <v>512</v>
      </c>
      <c r="CF6" s="30" t="s">
        <v>514</v>
      </c>
      <c r="CG6" s="30" t="s">
        <v>515</v>
      </c>
      <c r="CH6" s="34"/>
      <c r="CI6" s="34"/>
      <c r="CJ6" s="34"/>
      <c r="CK6" s="34"/>
      <c r="CL6" s="34"/>
      <c r="CM6" s="34"/>
      <c r="CN6" s="34"/>
      <c r="CO6" s="34"/>
      <c r="CP6" s="31"/>
      <c r="CQ6" s="34"/>
      <c r="CR6" s="211" t="str">
        <f>IF((CU15&amp;CU16&amp;CU17&amp;CU18&amp;CU19&amp;CU20&amp;CU21)="சரிசரிசரிசரிசரிசரிசரி","சரி","பிழை")</f>
        <v>சரி</v>
      </c>
      <c r="CS6" s="34"/>
      <c r="CT6" s="34"/>
      <c r="CU6" s="34"/>
      <c r="CV6" s="5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</row>
    <row r="7" spans="1:120" s="29" customFormat="1" ht="16.8" x14ac:dyDescent="0.35">
      <c r="A7" s="121"/>
      <c r="BI7" s="50"/>
      <c r="BJ7" s="34"/>
      <c r="BK7" s="37"/>
      <c r="BL7" s="37"/>
      <c r="BM7" s="37"/>
      <c r="BN7" s="37"/>
      <c r="BO7" s="37"/>
      <c r="BP7" s="37"/>
      <c r="BQ7" s="37"/>
      <c r="BR7" s="37"/>
      <c r="BS7" s="37"/>
      <c r="BT7" s="37"/>
      <c r="BU7" s="37"/>
      <c r="BV7" s="37"/>
      <c r="BW7" s="36"/>
      <c r="CD7" s="34"/>
      <c r="CE7" s="34"/>
      <c r="CF7" s="34"/>
      <c r="CG7" s="34"/>
      <c r="CH7" s="34"/>
      <c r="CI7" s="34"/>
      <c r="CJ7" s="34"/>
      <c r="CK7" s="34"/>
      <c r="CL7" s="34"/>
      <c r="CM7" s="34"/>
      <c r="CN7" s="34"/>
      <c r="CO7" s="34"/>
      <c r="CP7" s="31"/>
      <c r="CQ7" s="34"/>
      <c r="CR7" s="211"/>
      <c r="CS7" s="34"/>
      <c r="CT7" s="34"/>
      <c r="CU7" s="34"/>
      <c r="CV7" s="5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</row>
    <row r="8" spans="1:120" s="29" customFormat="1" ht="16.8" x14ac:dyDescent="0.35">
      <c r="A8" s="121"/>
      <c r="BI8" s="50"/>
      <c r="BJ8" s="34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6"/>
      <c r="CD8" s="30" t="s">
        <v>516</v>
      </c>
      <c r="CE8" s="30" t="s">
        <v>517</v>
      </c>
      <c r="CF8" s="30" t="s">
        <v>518</v>
      </c>
      <c r="CG8" s="34"/>
      <c r="CH8" s="34"/>
      <c r="CI8" s="34"/>
      <c r="CJ8" s="34"/>
      <c r="CK8" s="34"/>
      <c r="CL8" s="34"/>
      <c r="CM8" s="34"/>
      <c r="CN8" s="34"/>
      <c r="CO8" s="34"/>
      <c r="CP8" s="31"/>
      <c r="CQ8" s="34"/>
      <c r="CR8" s="211"/>
      <c r="CS8" s="34"/>
      <c r="CT8" s="34"/>
      <c r="CU8" s="34"/>
      <c r="CV8" s="5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</row>
    <row r="9" spans="1:120" ht="16.8" x14ac:dyDescent="0.35">
      <c r="A9" s="119"/>
      <c r="BI9" s="48"/>
      <c r="BJ9" s="31"/>
      <c r="BK9" s="38"/>
      <c r="BL9" s="38"/>
      <c r="BM9" s="38"/>
      <c r="BN9" s="38"/>
      <c r="BO9" s="38"/>
      <c r="BP9" s="38"/>
      <c r="BQ9" s="38"/>
      <c r="BR9" s="38"/>
      <c r="BS9" s="38"/>
      <c r="BT9" s="38"/>
      <c r="BU9" s="38"/>
      <c r="BV9" s="38"/>
      <c r="BW9" s="39"/>
      <c r="CD9" s="31"/>
      <c r="CE9" s="31"/>
      <c r="CF9" s="31"/>
      <c r="CG9" s="31"/>
      <c r="CH9" s="31"/>
      <c r="CI9" s="31"/>
      <c r="CJ9" s="31"/>
      <c r="CK9" s="31"/>
      <c r="CL9" s="31"/>
      <c r="CM9" s="31"/>
      <c r="CN9" s="31"/>
      <c r="CO9" s="31"/>
      <c r="CP9" s="31"/>
      <c r="CQ9" s="31"/>
      <c r="CR9" s="31"/>
      <c r="CS9" s="31"/>
      <c r="CT9" s="31"/>
      <c r="CU9" s="31"/>
      <c r="CV9" s="49"/>
    </row>
    <row r="10" spans="1:120" ht="16.8" x14ac:dyDescent="0.35">
      <c r="A10" s="119"/>
      <c r="BI10" s="48"/>
      <c r="BJ10" s="31"/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9"/>
      <c r="CD10" s="31"/>
      <c r="CE10" s="31"/>
      <c r="CF10" s="31"/>
      <c r="CG10" s="31"/>
      <c r="CH10" s="31"/>
      <c r="CI10" s="31"/>
      <c r="CJ10" s="31"/>
      <c r="CK10" s="31"/>
      <c r="CL10" s="31"/>
      <c r="CM10" s="31"/>
      <c r="CN10" s="31"/>
      <c r="CO10" s="31"/>
      <c r="CP10" s="31"/>
      <c r="CQ10" s="31"/>
      <c r="CR10" s="31"/>
      <c r="CS10" s="31"/>
      <c r="CT10" s="31"/>
      <c r="CU10" s="31"/>
      <c r="CV10" s="49"/>
    </row>
    <row r="11" spans="1:120" ht="16.8" x14ac:dyDescent="0.35">
      <c r="A11" s="119"/>
      <c r="BI11" s="48"/>
      <c r="BJ11" s="31"/>
      <c r="BK11" s="31"/>
      <c r="BL11" s="31"/>
      <c r="BM11" s="31"/>
      <c r="BN11" s="31"/>
      <c r="BO11" s="31"/>
      <c r="BP11" s="31"/>
      <c r="BQ11" s="31"/>
      <c r="BR11" s="31"/>
      <c r="BS11" s="31"/>
      <c r="BT11" s="31"/>
      <c r="BU11" s="31"/>
      <c r="BV11" s="31"/>
      <c r="BW11" s="31"/>
      <c r="BX11" s="31"/>
      <c r="BY11" s="31"/>
      <c r="BZ11" s="31"/>
      <c r="CA11" s="31"/>
      <c r="CB11" s="31"/>
      <c r="CC11" s="31"/>
      <c r="CD11" s="31"/>
      <c r="CE11" s="31"/>
      <c r="CF11" s="31"/>
      <c r="CG11" s="31"/>
      <c r="CH11" s="31"/>
      <c r="CI11" s="31"/>
      <c r="CJ11" s="31"/>
      <c r="CK11" s="31"/>
      <c r="CL11" s="31"/>
      <c r="CM11" s="31"/>
      <c r="CN11" s="31"/>
      <c r="CO11" s="31"/>
      <c r="CP11" s="31"/>
      <c r="CQ11" s="31"/>
      <c r="CR11" s="31"/>
      <c r="CS11" s="31"/>
      <c r="CT11" s="31"/>
      <c r="CU11" s="31"/>
      <c r="CV11" s="49"/>
    </row>
    <row r="12" spans="1:120" ht="16.8" x14ac:dyDescent="0.35">
      <c r="A12" s="119"/>
      <c r="BI12" s="48"/>
      <c r="BJ12" s="31"/>
      <c r="BK12" s="31"/>
      <c r="BL12" s="31"/>
      <c r="BM12" s="31"/>
      <c r="BN12" s="31"/>
      <c r="BO12" s="31"/>
      <c r="BP12" s="31"/>
      <c r="BQ12" s="31"/>
      <c r="BR12" s="31"/>
      <c r="BS12" s="31"/>
      <c r="BT12" s="31"/>
      <c r="BU12" s="31"/>
      <c r="BV12" s="31"/>
      <c r="BW12" s="31"/>
      <c r="BX12" s="31"/>
      <c r="BY12" s="31"/>
      <c r="BZ12" s="31"/>
      <c r="CA12" s="31"/>
      <c r="CB12" s="31"/>
      <c r="CC12" s="31"/>
      <c r="CD12" s="31"/>
      <c r="CE12" s="31"/>
      <c r="CF12" s="31"/>
      <c r="CG12" s="31"/>
      <c r="CH12" s="31"/>
      <c r="CI12" s="31"/>
      <c r="CJ12" s="31"/>
      <c r="CK12" s="31"/>
      <c r="CL12" s="31"/>
      <c r="CM12" s="31"/>
      <c r="CN12" s="31"/>
      <c r="CO12" s="31"/>
      <c r="CP12" s="31"/>
      <c r="CQ12" s="31"/>
      <c r="CR12" s="31"/>
      <c r="CS12" s="31"/>
      <c r="CT12" s="31"/>
      <c r="CU12" s="31"/>
      <c r="CV12" s="49"/>
    </row>
    <row r="13" spans="1:120" s="41" customFormat="1" x14ac:dyDescent="0.45">
      <c r="A13" s="122"/>
      <c r="BI13" s="52" t="s">
        <v>347</v>
      </c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M13" s="42"/>
      <c r="CN13" s="42"/>
      <c r="CO13" s="42"/>
      <c r="CP13" s="42"/>
      <c r="CQ13" s="42"/>
      <c r="CR13" s="42"/>
      <c r="CS13" s="42"/>
      <c r="CT13" s="42"/>
      <c r="CU13" s="42"/>
      <c r="CV13" s="53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</row>
    <row r="14" spans="1:120" s="41" customFormat="1" ht="16.8" x14ac:dyDescent="0.35">
      <c r="A14" s="122"/>
      <c r="BI14" s="60" t="s">
        <v>349</v>
      </c>
      <c r="BJ14" s="61"/>
      <c r="BK14" s="61"/>
      <c r="BL14" s="61"/>
      <c r="BM14" s="61"/>
      <c r="BN14" s="61"/>
      <c r="BO14" s="61"/>
      <c r="BP14" s="61"/>
      <c r="BQ14" s="61"/>
      <c r="BR14" s="61"/>
      <c r="BS14" s="61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 t="s">
        <v>350</v>
      </c>
      <c r="CE14" s="61" t="s">
        <v>351</v>
      </c>
      <c r="CF14" s="61" t="s">
        <v>352</v>
      </c>
      <c r="CG14" s="61" t="s">
        <v>353</v>
      </c>
      <c r="CH14" s="61"/>
      <c r="CI14" s="61"/>
      <c r="CJ14" s="61"/>
      <c r="CK14" s="61"/>
      <c r="CL14" s="61"/>
      <c r="CM14" s="61"/>
      <c r="CN14" s="61"/>
      <c r="CO14" s="61"/>
      <c r="CP14" s="61" t="s">
        <v>354</v>
      </c>
      <c r="CQ14" s="61"/>
      <c r="CR14" s="61" t="s">
        <v>355</v>
      </c>
      <c r="CS14" s="61" t="s">
        <v>355</v>
      </c>
      <c r="CT14" s="61" t="s">
        <v>356</v>
      </c>
      <c r="CU14" s="61"/>
      <c r="CV14" s="62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</row>
    <row r="15" spans="1:120" ht="16.8" x14ac:dyDescent="0.35">
      <c r="A15" s="119"/>
      <c r="B15" s="12">
        <f>IFERROR(VLOOKUP((LEFT(L15,4)),BASE!$E$12:$F$23,1,0),IFERROR(VLOOKUP((LEFT(L15,3)),BASE!$E$12:$F$23,1,0),IFERROR(VLOOKUP((LEFT(L15,2)),BASE!$E$12:$F$23,1,0),IFERROR(VLOOKUP((LEFT(L15,1)),BASE!$E$12:$F$23,1,0),100))))</f>
        <v>100</v>
      </c>
      <c r="C15" s="12">
        <f>IFERROR(VLOOKUP((LEFT(M15,4)),BASE!$E$12:$F$23,1,0),IFERROR(VLOOKUP((LEFT(M15,3)),BASE!$E$12:$F$23,1,0),IFERROR(VLOOKUP((LEFT(M15,2)),BASE!$E$12:$F$23,1,0),IFERROR(VLOOKUP((LEFT(M15,1)),BASE!$E$12:$F$23,1,0),100))))</f>
        <v>100</v>
      </c>
      <c r="D15" s="12">
        <f>IFERROR(VLOOKUP((LEFT(N15,4)),BASE!$E$12:$F$23,1,0),IFERROR(VLOOKUP((LEFT(N15,3)),BASE!$E$12:$F$23,1,0),IFERROR(VLOOKUP((LEFT(N15,2)),BASE!$E$12:$F$23,1,0),IFERROR(VLOOKUP((LEFT(N15,1)),BASE!$E$12:$F$23,1,0),100))))</f>
        <v>100</v>
      </c>
      <c r="E15" s="12">
        <f>IFERROR(VLOOKUP((LEFT(O15,4)),BASE!$E$12:$F$23,1,0),IFERROR(VLOOKUP((LEFT(O15,3)),BASE!$E$12:$F$23,1,0),IFERROR(VLOOKUP((LEFT(O15,2)),BASE!$E$12:$F$23,1,0),IFERROR(VLOOKUP((LEFT(O15,1)),BASE!$E$12:$F$23,1,0),100))))</f>
        <v>100</v>
      </c>
      <c r="F15" s="12">
        <f>IFERROR(VLOOKUP((LEFT(P15,4)),BASE!$E$12:$F$23,1,0),IFERROR(VLOOKUP((LEFT(P15,3)),BASE!$E$12:$F$23,1,0),IFERROR(VLOOKUP((LEFT(P15,2)),BASE!$E$12:$F$23,1,0),IFERROR(VLOOKUP((LEFT(P15,1)),BASE!$E$12:$F$23,1,0),100))))</f>
        <v>100</v>
      </c>
      <c r="G15" s="12">
        <f>IFERROR(VLOOKUP((LEFT(Q15,4)),BASE!$E$12:$F$23,1,0),IFERROR(VLOOKUP((LEFT(Q15,3)),BASE!$E$12:$F$23,1,0),IFERROR(VLOOKUP((LEFT(Q15,2)),BASE!$E$12:$F$23,1,0),IFERROR(VLOOKUP((LEFT(Q15,1)),BASE!$E$12:$F$23,1,0),100))))</f>
        <v>100</v>
      </c>
      <c r="H15" s="12">
        <f>IFERROR(VLOOKUP((LEFT(R15,4)),BASE!$E$12:$F$23,1,0),IFERROR(VLOOKUP((LEFT(R15,3)),BASE!$E$12:$F$23,1,0),IFERROR(VLOOKUP((LEFT(R15,2)),BASE!$E$12:$F$23,1,0),IFERROR(VLOOKUP((LEFT(R15,1)),BASE!$E$12:$F$23,1,0),100))))</f>
        <v>100</v>
      </c>
      <c r="I15" s="12" t="str">
        <f>IFERROR(VLOOKUP((LEFT(S15,4)),BASE!$E$12:$F$23,1,0),IFERROR(VLOOKUP((LEFT(S15,3)),BASE!$E$12:$F$23,1,0),IFERROR(VLOOKUP((LEFT(S15,2)),BASE!$E$12:$F$23,1,0),IFERROR(VLOOKUP((LEFT(S15,1)),BASE!$E$12:$F$23,1,0),100))))</f>
        <v>k</v>
      </c>
      <c r="J15" s="12" t="str">
        <f>IFERROR(VLOOKUP((LEFT(T15,4)),BASE!$E$12:$F$24,1,0),IFERROR(VLOOKUP((LEFT(T15,3)),BASE!$E$12:$F$24,1,0),IFERROR(VLOOKUP((LEFT(T15,2)),BASE!$E$12:$F$24,1,0),IFERROR(VLOOKUP((LEFT(T15,1)),BASE!$E$12:$F$24,1,0),100))))</f>
        <v>ko</v>
      </c>
      <c r="K15" s="12" t="str">
        <f>IFERROR(VLOOKUP((LEFT(U15,4)),BASE!$E$12:$F$23,1,0),IFERROR(VLOOKUP((LEFT(U15,3)),BASE!$E$12:$F$23,1,0),IFERROR(VLOOKUP((LEFT(U15,2)),BASE!$E$12:$F$23,1,0),IFERROR(VLOOKUP((LEFT(U15,1)),BASE!$E$12:$F$23,1,0),100))))</f>
        <v>ko</v>
      </c>
      <c r="L15" s="14" t="str">
        <f t="shared" ref="L15:T20" si="0">MID(M15,LEN(C15)+1,(LEN(M15)))</f>
        <v/>
      </c>
      <c r="M15" s="14" t="str">
        <f t="shared" si="0"/>
        <v/>
      </c>
      <c r="N15" s="14" t="str">
        <f t="shared" si="0"/>
        <v/>
      </c>
      <c r="O15" s="14" t="str">
        <f t="shared" si="0"/>
        <v/>
      </c>
      <c r="P15" s="14" t="str">
        <f t="shared" si="0"/>
        <v/>
      </c>
      <c r="Q15" s="14" t="str">
        <f t="shared" si="0"/>
        <v/>
      </c>
      <c r="R15" s="14" t="str">
        <f t="shared" si="0"/>
        <v/>
      </c>
      <c r="S15" s="14" t="str">
        <f t="shared" si="0"/>
        <v>k</v>
      </c>
      <c r="T15" s="14" t="str">
        <f t="shared" si="0"/>
        <v>kok</v>
      </c>
      <c r="U15" s="14" t="str">
        <f>AO15&amp;AN15&amp;AM15&amp;AL15&amp;AK15&amp;AJ15&amp;AI15&amp;AH15&amp;AG15&amp;AF15</f>
        <v>kokok</v>
      </c>
      <c r="V15" s="13">
        <f>IFERROR(VLOOKUP(LEFT(AZ15,2),BASE!$C$96:$E$342,3,0),IFERROR(VLOOKUP(LEFT(AZ15,1),BASE!$C$96:$E$342,3,0),100))</f>
        <v>100</v>
      </c>
      <c r="W15" s="13">
        <f>IFERROR(VLOOKUP(LEFT(BA15,2),BASE!$C$96:$E$342,3,0),IFERROR(VLOOKUP(LEFT(BA15,1),BASE!$C$96:$E$342,3,0),100))</f>
        <v>100</v>
      </c>
      <c r="X15" s="13">
        <f>IFERROR(VLOOKUP(LEFT(BB15,2),BASE!$C$96:$E$342,3,0),IFERROR(VLOOKUP(LEFT(BB15,1),BASE!$C$96:$E$342,3,0),100))</f>
        <v>100</v>
      </c>
      <c r="Y15" s="13">
        <f>IFERROR(VLOOKUP(LEFT(BC15,2),BASE!$C$96:$E$342,3,0),IFERROR(VLOOKUP(LEFT(BC15,1),BASE!$C$96:$E$342,3,0),100))</f>
        <v>100</v>
      </c>
      <c r="Z15" s="13">
        <f>IFERROR(VLOOKUP(LEFT(BD15,2),BASE!$C$96:$E$342,3,0),IFERROR(VLOOKUP(LEFT(BD15,1),BASE!$C$96:$E$342,3,0),100))</f>
        <v>100</v>
      </c>
      <c r="AA15" s="13">
        <f>IFERROR(VLOOKUP(LEFT(BE15,2),BASE!$C$96:$E$342,3,0),IFERROR(VLOOKUP(LEFT(BE15,1),BASE!$C$96:$E$342,3,0),100))</f>
        <v>2</v>
      </c>
      <c r="AB15" s="13">
        <f>IFERROR(VLOOKUP(LEFT(BF15,2),BASE!$C$96:$E$342,3,0),IFERROR(VLOOKUP(LEFT(BF15,1),BASE!$C$96:$E$342,3,0),100))</f>
        <v>2</v>
      </c>
      <c r="AC15" s="13">
        <f>IFERROR(VLOOKUP(LEFT(BG15,2),BASE!$C$96:$E$342,3,0),IFERROR(VLOOKUP(LEFT(BG15,1),BASE!$C$96:$E$342,3,0),100))</f>
        <v>1</v>
      </c>
      <c r="AD15" s="13">
        <f>IFERROR(VLOOKUP(LEFT(BH15,2),BASE!$C$96:$E$342,3,0),IFERROR(VLOOKUP(LEFT(BH15,1),BASE!$C$96:$E$342,3,0),100))</f>
        <v>2</v>
      </c>
      <c r="AE15" s="13">
        <f>IFERROR(VLOOKUP(LEFT(BI15,2),BASE!$C$96:$E$342,3,0),IFERROR(VLOOKUP(LEFT(BI15,1),BASE!$C$96:$E$342,3,0),100))</f>
        <v>1</v>
      </c>
      <c r="AF15" s="187" t="str">
        <f>IF(AND(BS15=BR15,AG15="o"),"A", (IFERROR(VLOOKUP(LEFT(AZ15,2),BASE!$C$346:$D$592,2,0),IFERROR(VLOOKUP(LEFT(AZ15,1),BASE!$C$346:$D$5922,2,0),AZ15))))</f>
        <v/>
      </c>
      <c r="AG15" s="187" t="str">
        <f>IF(AND(BR15=BQ15,AH15="o"),"A", (IFERROR(VLOOKUP(LEFT(BA15,2),BASE!$C$346:$D$592,2,0),IFERROR(VLOOKUP(LEFT(BA15,1),BASE!$C$346:$D$592,2,0),BA15))))</f>
        <v/>
      </c>
      <c r="AH15" s="187" t="str">
        <f>IF(AND(BQ15=BP15,AI15="o"),"A", (IFERROR(VLOOKUP(LEFT(BB15,2),BASE!$C$346:$D$592,2,0),IFERROR(VLOOKUP(LEFT(BB15,1),BASE!$C$346:$D$592,2,0),BB15))))</f>
        <v/>
      </c>
      <c r="AI15" s="187" t="str">
        <f>IF(AND(BP15=BO15,AJ15="o"),"A", (IFERROR(VLOOKUP(LEFT(BC15,2),BASE!$C$346:$D$592,2,0),IFERROR(VLOOKUP(LEFT(BC15,1),BASE!$C$346:$D$592,2,0),BC15))))</f>
        <v/>
      </c>
      <c r="AJ15" s="187" t="str">
        <f>IF(AND(BO15=BN15,AK15="o"),"A", (IFERROR(VLOOKUP(LEFT(BD15,2),BASE!$C$346:$D$592,2,0),IFERROR(VLOOKUP(LEFT(BD15,1),BASE!$C$346:$D$592,2,0),BD15))))</f>
        <v/>
      </c>
      <c r="AK15" s="187" t="str">
        <f>IF(AND(BN15=BM15,AL15="o"),"A", (IFERROR(VLOOKUP(LEFT(BE15,2),BASE!$C$346:$D$592,2,0),IFERROR(VLOOKUP(LEFT(BE15,1),BASE!$C$346:$D$592,2,0),BE15))))</f>
        <v>k</v>
      </c>
      <c r="AL15" s="187" t="str">
        <f>IF(AND(BM15=BL15,AM15="o"),"A", (IFERROR(VLOOKUP(LEFT(BF15,2),BASE!$C$346:$D$592,2,0),IFERROR(VLOOKUP(LEFT(BF15,1),BASE!$C$346:$D$592,2,0),BF15))))</f>
        <v>o</v>
      </c>
      <c r="AM15" s="187" t="str">
        <f>IF(AND(BL15=BK15,AN15="o"),"A",(IFERROR(VLOOKUP(LEFT(BG15,2),BASE!$C$346:$D$592,2,0),IFERROR(VLOOKUP(LEFT(BG15,1),BASE!$C$346:$D$592,2,0),BG15))))</f>
        <v>k</v>
      </c>
      <c r="AN15" s="187" t="str">
        <f>(IFERROR(VLOOKUP(LEFT(BH15,2),BASE!$C$346:$D$592,2,0),IFERROR(VLOOKUP(LEFT(BH15,1),BASE!$C$346:$D$592,2,0),BH15)))</f>
        <v>o</v>
      </c>
      <c r="AO15" s="187" t="str">
        <f>(IFERROR(VLOOKUP(LEFT(BI15,2),BASE!$C$96:$D$342,2,0),IFERROR(VLOOKUP(LEFT(BI15,1),BASE!$C$96:$D$342,2,0),BI15)))</f>
        <v>k</v>
      </c>
      <c r="AP15" s="5">
        <f t="shared" ref="AP15:AX20" si="1">AQ15</f>
        <v>8</v>
      </c>
      <c r="AQ15" s="5">
        <f t="shared" si="1"/>
        <v>8</v>
      </c>
      <c r="AR15" s="5">
        <f t="shared" si="1"/>
        <v>8</v>
      </c>
      <c r="AS15" s="5">
        <f t="shared" si="1"/>
        <v>8</v>
      </c>
      <c r="AT15" s="5">
        <f t="shared" si="1"/>
        <v>8</v>
      </c>
      <c r="AU15" s="5">
        <f t="shared" si="1"/>
        <v>8</v>
      </c>
      <c r="AV15" s="5">
        <f t="shared" si="1"/>
        <v>8</v>
      </c>
      <c r="AW15" s="5">
        <f t="shared" si="1"/>
        <v>8</v>
      </c>
      <c r="AX15" s="5">
        <f t="shared" si="1"/>
        <v>8</v>
      </c>
      <c r="AY15" s="5">
        <f>LEN(BI15)</f>
        <v>8</v>
      </c>
      <c r="AZ15" s="12" t="str">
        <f t="shared" ref="AZ15:BH20" si="2">MID(BA15,W15+1,AQ15)</f>
        <v/>
      </c>
      <c r="BA15" s="12" t="str">
        <f t="shared" si="2"/>
        <v/>
      </c>
      <c r="BB15" s="12" t="str">
        <f t="shared" si="2"/>
        <v/>
      </c>
      <c r="BC15" s="12" t="str">
        <f t="shared" si="2"/>
        <v/>
      </c>
      <c r="BD15" s="12" t="str">
        <f t="shared" si="2"/>
        <v/>
      </c>
      <c r="BE15" s="12" t="str">
        <f t="shared" si="2"/>
        <v>றி</v>
      </c>
      <c r="BF15" s="12" t="str">
        <f t="shared" si="2"/>
        <v>ன்றி</v>
      </c>
      <c r="BG15" s="12" t="str">
        <f t="shared" si="2"/>
        <v>நன்றி</v>
      </c>
      <c r="BH15" s="43" t="str">
        <f t="shared" si="2"/>
        <v>ந்நன்றி</v>
      </c>
      <c r="BI15" s="57" t="str">
        <f>CD6</f>
        <v>எந்நன்றி</v>
      </c>
      <c r="BJ15" s="58" t="str">
        <f>IFERROR(VLOOKUP(LEFT(BI15,2),BASE!$C$96:$F$342,1,0),IFERROR(VLOOKUP(LEFT(BI15,1),BASE!$C$96:$F$342,1,0),BI15))</f>
        <v>எ</v>
      </c>
      <c r="BK15" s="58" t="str">
        <f>IFERROR(VLOOKUP(LEFT(BH15,2),BASE!$C$96:$D$342,1,0),IFERROR(VLOOKUP(LEFT(BH15,1),BASE!$C$96:$D$342,1,0),BH15))</f>
        <v>ந்</v>
      </c>
      <c r="BL15" s="58" t="str">
        <f>IFERROR(VLOOKUP(LEFT(BG15,2),BASE!$C$96:$D$342,1,0),IFERROR(VLOOKUP(LEFT(BG15,1),BASE!$C$96:$D$342,1,0),BG15))</f>
        <v>ந</v>
      </c>
      <c r="BM15" s="58" t="str">
        <f>IFERROR(VLOOKUP(LEFT(BF15,2),BASE!$C$96:$D$342,1,0),IFERROR(VLOOKUP(LEFT(BF15,1),BASE!$C$96:$D$342,1,0),BF15))</f>
        <v>ன்</v>
      </c>
      <c r="BN15" s="58" t="str">
        <f>IFERROR(VLOOKUP(LEFT(BE15,2),BASE!$C$96:$D$342,1,0),IFERROR(VLOOKUP(LEFT(BE15,1),BASE!$C$96:$D$342,1,0),BE15))</f>
        <v>றி</v>
      </c>
      <c r="BO15" s="58" t="str">
        <f>IFERROR(VLOOKUP(LEFT(BD15,2),BASE!$C$96:$D$342,1,0),IFERROR(VLOOKUP(LEFT(BD15,1),BASE!$C$96:$D$342,1,0),BD15))</f>
        <v/>
      </c>
      <c r="BP15" s="58" t="str">
        <f>IFERROR(VLOOKUP(LEFT(BC15,2),BASE!$C$96:$D$342,1,0),IFERROR(VLOOKUP(LEFT(BC15,1),BASE!$C$96:$D$342,1,0),BC15))</f>
        <v/>
      </c>
      <c r="BQ15" s="58" t="str">
        <f>IFERROR(VLOOKUP(LEFT(BB15,2),BASE!$C$96:$D$342,1,0),IFERROR(VLOOKUP(LEFT(BB15,1),BASE!$C$96:$D$342,1,0),BB15))</f>
        <v/>
      </c>
      <c r="BR15" s="58" t="str">
        <f>IFERROR(VLOOKUP(LEFT(BA15,2),BASE!$C$96:$D$342,1,0),IFERROR(VLOOKUP(LEFT(BA15,1),BASE!$C$96:$D$342,1,0),BA15))</f>
        <v/>
      </c>
      <c r="BS15" s="58" t="str">
        <f>IFERROR(VLOOKUP(LEFT(AZ15,2),BASE!$C$96:$D$342,1,0),IFERROR(VLOOKUP(LEFT(AZ15,1),BASE!$C$96:$D$342,1,0),AZ15))</f>
        <v/>
      </c>
      <c r="BT15" s="186" t="str">
        <f>(IFERROR(VLOOKUP(LEFT(BI15,2),BASE!$C$96:$F$342,4,0),IFERROR(VLOOKUP(LEFT(BI15,1),BASE!$C$96:$F$342,4,0),BI15)))</f>
        <v>கு</v>
      </c>
      <c r="BU15" s="186" t="str">
        <f>(IFERROR(VLOOKUP(LEFT(BH15,2),BASE!$C$346:$F$592,4,0),IFERROR(VLOOKUP(LEFT(BH15,1),BASE!$C$346:$F$592,4,0),BH15)))</f>
        <v>ஒ</v>
      </c>
      <c r="BV15" s="186" t="str">
        <f>(IFERROR(VLOOKUP(LEFT(BG15,2),BASE!$C$346:$F$592,4,0),IFERROR(VLOOKUP(LEFT(BG15,1),BASE!$C$346:$F$592,4,0),BG15)))</f>
        <v>கு</v>
      </c>
      <c r="BW15" s="186" t="str">
        <f>(IFERROR(VLOOKUP(LEFT(BF15,2),BASE!$C$346:$F$592,4,0),IFERROR(VLOOKUP(LEFT(BF15,1),BASE!$C$346:$F$592,4,0),BF15)))</f>
        <v>ஒ</v>
      </c>
      <c r="BX15" s="186" t="str">
        <f>(IFERROR(VLOOKUP(LEFT(BE15,2),BASE!$C$346:$F$592,4,0),IFERROR(VLOOKUP(LEFT(BE15,1),BASE!$C$346:$F$592,4,0),BE15)))</f>
        <v>கு</v>
      </c>
      <c r="BY15" s="186" t="str">
        <f>(IFERROR(VLOOKUP(LEFT(BD15,2),BASE!$C$346:$F$592,4,0),IFERROR(VLOOKUP(LEFT(BD15,1),BASE!$C$346:$F$592,4,0),BD15)))</f>
        <v/>
      </c>
      <c r="BZ15" s="186" t="str">
        <f>(IFERROR(VLOOKUP(LEFT(BC15,2),BASE!$C$346:$F$592,4,0),IFERROR(VLOOKUP(LEFT(BC15,1),BASE!$C$346:$F$592,4,0),BC15)))</f>
        <v/>
      </c>
      <c r="CA15" s="186" t="str">
        <f>(IFERROR(VLOOKUP(LEFT(BB15,2),BASE!$C$346:$F$592,4,0),IFERROR(VLOOKUP(LEFT(BB15,1),BASE!$C$346:$F$592,4,0),BB15)))</f>
        <v/>
      </c>
      <c r="CB15" s="186" t="str">
        <f>(IFERROR(VLOOKUP(LEFT(BA15,2),BASE!$C$346:$F$592,4,0),IFERROR(VLOOKUP(LEFT(BA15,1),BASE!$C$346:$F$592,4,0),BA15)))</f>
        <v/>
      </c>
      <c r="CC15" s="186" t="str">
        <f>(IFERROR(VLOOKUP(LEFT(AZ15,2),BASE!$C$346:$F$592,4,0),IFERROR(VLOOKUP(LEFT(AZ15,1),BASE!$C$346:$F$592,4,0),AZ15)))</f>
        <v/>
      </c>
      <c r="CD15" s="58" t="str">
        <f>BT15&amp;BU15&amp;BV15&amp;BW15&amp;BX15&amp;BY15&amp;BZ15&amp;CA15&amp;CB15&amp;CC15</f>
        <v>குஒகுஒகு</v>
      </c>
      <c r="CE15" s="58" t="str">
        <f>IFERROR(VLOOKUP((LEFT(U15,4)),BASE!$E$12:$F$23,2,0),IFERROR(VLOOKUP((LEFT(U15,3)),BASE!$E$12:$F$23,2,0),IFERROR(VLOOKUP((LEFT(U15,2)),BASE!$E$12:$F$23,2,0),IFERROR(VLOOKUP((LEFT(U15,1)),BASE!$E$12:$F$23,2,0),U15))))</f>
        <v>நேர்</v>
      </c>
      <c r="CF15" s="58" t="str">
        <f>IFERROR(VLOOKUP((LEFT(T15,4)),BASE!$E$12:$F$24,2,0),IFERROR(VLOOKUP((LEFT(T15,3)),BASE!$E$12:$F$24,2,0),IFERROR(VLOOKUP((LEFT(T15,2)),BASE!$E$12:$F$24,2,0),IFERROR(VLOOKUP((LEFT(T15,1)),BASE!$E$12:$F$24,2,0),T15))))</f>
        <v>நேர்</v>
      </c>
      <c r="CG15" s="58" t="str">
        <f>IFERROR(VLOOKUP((LEFT(S15,4)),BASE!$E$12:$F$23,2,0),IFERROR(VLOOKUP((LEFT(S15,3)),BASE!$E$12:$F$23,2,0),IFERROR(VLOOKUP((LEFT(S15,2)),BASE!$E$12:$F$23,2,0),IFERROR(VLOOKUP((LEFT(S15,1)),BASE!$E$12:$F$23,2,0),S15))))</f>
        <v>நேர்</v>
      </c>
      <c r="CH15" s="58" t="str">
        <f>IFERROR(VLOOKUP((LEFT(R15,4)),BASE!$E$12:$F$23,2,0),IFERROR(VLOOKUP((LEFT(R15,3)),BASE!$E$12:$F$23,2,0),IFERROR(VLOOKUP((LEFT(R15,2)),BASE!$E$12:$F$23,2,0),IFERROR(VLOOKUP((LEFT(R15,1)),BASE!$E$12:$F$23,2,0),R15))))</f>
        <v/>
      </c>
      <c r="CI15" s="58" t="str">
        <f>IFERROR(VLOOKUP((LEFT(Q15,4)),BASE!$E$12:$F$23,2,0),IFERROR(VLOOKUP((LEFT(Q15,3)),BASE!$E$12:$F$23,2,0),IFERROR(VLOOKUP((LEFT(Q15,2)),BASE!$E$12:$F$23,2,0),IFERROR(VLOOKUP((LEFT(Q15,1)),BASE!$E$12:$F$23,2,0),Q15))))</f>
        <v/>
      </c>
      <c r="CJ15" s="58" t="str">
        <f>IFERROR(VLOOKUP((LEFT(P15,4)),BASE!$E$12:$F$23,2,0),IFERROR(VLOOKUP((LEFT(P15,3)),BASE!$E$12:$F$23,2,0),IFERROR(VLOOKUP((LEFT(P15,2)),BASE!$E$12:$F$23,2,0),IFERROR(VLOOKUP((LEFT(P15,1)),BASE!$E$12:$F$23,2,0),P15))))</f>
        <v/>
      </c>
      <c r="CK15" s="58" t="str">
        <f>IFERROR(VLOOKUP((LEFT(O15,4)),BASE!$E$12:$F$23,2,0),IFERROR(VLOOKUP((LEFT(O15,3)),BASE!$E$12:$F$23,2,0),IFERROR(VLOOKUP((LEFT(O15,2)),BASE!$E$12:$F$23,2,0),IFERROR(VLOOKUP((LEFT(O15,1)),BASE!$E$12:$F$23,2,0),O15))))</f>
        <v/>
      </c>
      <c r="CL15" s="58" t="str">
        <f>IFERROR(VLOOKUP((LEFT(N15,4)),BASE!$E$12:$F$23,2,0),IFERROR(VLOOKUP((LEFT(N15,3)),BASE!$E$12:$F$23,2,0),IFERROR(VLOOKUP((LEFT(N15,2)),BASE!$E$12:$F$23,2,0),IFERROR(VLOOKUP((LEFT(N15,1)),BASE!$E$12:$F$23,2,0),N15))))</f>
        <v/>
      </c>
      <c r="CM15" s="58" t="str">
        <f>IFERROR(VLOOKUP((LEFT(M15,4)),BASE!$E$12:$F$23,2,0),IFERROR(VLOOKUP((LEFT(M15,3)),BASE!$E$12:$F$23,2,0),IFERROR(VLOOKUP((LEFT(M15,2)),BASE!$E$12:$F$23,2,0),IFERROR(VLOOKUP((LEFT(M15,1)),BASE!$E$12:$F$23,2,0),M15))))</f>
        <v/>
      </c>
      <c r="CN15" s="58" t="str">
        <f>IFERROR(VLOOKUP((LEFT(L15,4)),BASE!$E$12:$F$23,2,0),IFERROR(VLOOKUP((LEFT(L15,3)),BASE!$E$12:$F$23,2,0),IFERROR(VLOOKUP((LEFT(L15,2)),BASE!$E$12:$F$23,2,0),IFERROR(VLOOKUP((LEFT(L15,1)),BASE!$E$12:$F$23,2,0),L15))))</f>
        <v/>
      </c>
      <c r="CO15" s="58" t="str">
        <f>CE15&amp;CF15&amp;CG15&amp;CH15</f>
        <v>நேர்நேர்நேர்</v>
      </c>
      <c r="CP15" s="58" t="str">
        <f>VLOOKUP(CO15,BASE!$E$25:$F$79,2,0)</f>
        <v>தேமாங்காய்</v>
      </c>
      <c r="CQ15" s="58" t="str">
        <f>VLOOKUP(CO15,BASE!$E$25:$G$79,3,0)&amp;CE16</f>
        <v>காய்நேர்</v>
      </c>
      <c r="CR15" s="58" t="str">
        <f>VLOOKUP(CQ15,BASE!$E$86:$G$93,2,0)</f>
        <v>காய் முன் நேர்</v>
      </c>
      <c r="CS15" s="58" t="str">
        <f>VLOOKUP(CQ15,BASE!$E$86:$G$93,3,0)</f>
        <v>வெண்சீர் வெண்டளை</v>
      </c>
      <c r="CT15" s="58" t="str">
        <f>IF((OR(CH15="நிரை",CH15="நேர்")),"மூவசைக்கு மிகக்கூடாது","மூவசைக்கு மிகவில்லை")</f>
        <v>மூவசைக்கு மிகவில்லை</v>
      </c>
      <c r="CU15" s="58" t="str">
        <f>IF((OR(CS15="இயற்சீர் வெண்டளை",CS15="வெண்சீர் வெண்டளை")),"சரி","தளை தட்டுகிறது")</f>
        <v>சரி</v>
      </c>
      <c r="CV15" s="193"/>
    </row>
    <row r="16" spans="1:120" s="185" customFormat="1" ht="16.8" x14ac:dyDescent="0.35">
      <c r="A16" s="119"/>
      <c r="B16" s="12">
        <f>IFERROR(VLOOKUP((LEFT(L16,4)),BASE!$E$12:$F$23,1,0),IFERROR(VLOOKUP((LEFT(L16,3)),BASE!$E$12:$F$23,1,0),IFERROR(VLOOKUP((LEFT(L16,2)),BASE!$E$12:$F$23,1,0),IFERROR(VLOOKUP((LEFT(L16,1)),BASE!$E$12:$F$23,1,0),100))))</f>
        <v>100</v>
      </c>
      <c r="C16" s="12">
        <f>IFERROR(VLOOKUP((LEFT(M16,4)),BASE!$E$12:$F$23,1,0),IFERROR(VLOOKUP((LEFT(M16,3)),BASE!$E$12:$F$23,1,0),IFERROR(VLOOKUP((LEFT(M16,2)),BASE!$E$12:$F$23,1,0),IFERROR(VLOOKUP((LEFT(M16,1)),BASE!$E$12:$F$23,1,0),100))))</f>
        <v>100</v>
      </c>
      <c r="D16" s="12">
        <f>IFERROR(VLOOKUP((LEFT(N16,4)),BASE!$E$12:$F$23,1,0),IFERROR(VLOOKUP((LEFT(N16,3)),BASE!$E$12:$F$23,1,0),IFERROR(VLOOKUP((LEFT(N16,2)),BASE!$E$12:$F$23,1,0),IFERROR(VLOOKUP((LEFT(N16,1)),BASE!$E$12:$F$23,1,0),100))))</f>
        <v>100</v>
      </c>
      <c r="E16" s="12">
        <f>IFERROR(VLOOKUP((LEFT(O16,4)),BASE!$E$12:$F$23,1,0),IFERROR(VLOOKUP((LEFT(O16,3)),BASE!$E$12:$F$23,1,0),IFERROR(VLOOKUP((LEFT(O16,2)),BASE!$E$12:$F$23,1,0),IFERROR(VLOOKUP((LEFT(O16,1)),BASE!$E$12:$F$23,1,0),100))))</f>
        <v>100</v>
      </c>
      <c r="F16" s="12">
        <f>IFERROR(VLOOKUP((LEFT(P16,4)),BASE!$E$12:$F$23,1,0),IFERROR(VLOOKUP((LEFT(P16,3)),BASE!$E$12:$F$23,1,0),IFERROR(VLOOKUP((LEFT(P16,2)),BASE!$E$12:$F$23,1,0),IFERROR(VLOOKUP((LEFT(P16,1)),BASE!$E$12:$F$23,1,0),100))))</f>
        <v>100</v>
      </c>
      <c r="G16" s="12">
        <f>IFERROR(VLOOKUP((LEFT(Q16,4)),BASE!$E$12:$F$23,1,0),IFERROR(VLOOKUP((LEFT(Q16,3)),BASE!$E$12:$F$23,1,0),IFERROR(VLOOKUP((LEFT(Q16,2)),BASE!$E$12:$F$23,1,0),IFERROR(VLOOKUP((LEFT(Q16,1)),BASE!$E$12:$F$23,1,0),100))))</f>
        <v>100</v>
      </c>
      <c r="H16" s="12">
        <f>IFERROR(VLOOKUP((LEFT(R16,4)),BASE!$E$12:$F$23,1,0),IFERROR(VLOOKUP((LEFT(R16,3)),BASE!$E$12:$F$23,1,0),IFERROR(VLOOKUP((LEFT(R16,2)),BASE!$E$12:$F$23,1,0),IFERROR(VLOOKUP((LEFT(R16,1)),BASE!$E$12:$F$23,1,0),100))))</f>
        <v>100</v>
      </c>
      <c r="I16" s="12">
        <f>IFERROR(VLOOKUP((LEFT(S16,4)),BASE!$E$12:$F$23,1,0),IFERROR(VLOOKUP((LEFT(S16,3)),BASE!$E$12:$F$23,1,0),IFERROR(VLOOKUP((LEFT(S16,2)),BASE!$E$12:$F$23,1,0),IFERROR(VLOOKUP((LEFT(S16,1)),BASE!$E$12:$F$23,1,0),100))))</f>
        <v>100</v>
      </c>
      <c r="J16" s="12" t="str">
        <f>IFERROR(VLOOKUP((LEFT(T16,4)),BASE!$E$12:$F$24,1,0),IFERROR(VLOOKUP((LEFT(T16,3)),BASE!$E$12:$F$24,1,0),IFERROR(VLOOKUP((LEFT(T16,2)),BASE!$E$12:$F$24,1,0),IFERROR(VLOOKUP((LEFT(T16,1)),BASE!$E$12:$F$24,1,0),100))))</f>
        <v>kk</v>
      </c>
      <c r="K16" s="12" t="str">
        <f>IFERROR(VLOOKUP((LEFT(U16,4)),BASE!$E$12:$F$23,1,0),IFERROR(VLOOKUP((LEFT(U16,3)),BASE!$E$12:$F$23,1,0),IFERROR(VLOOKUP((LEFT(U16,2)),BASE!$E$12:$F$23,1,0),IFERROR(VLOOKUP((LEFT(U16,1)),BASE!$E$12:$F$23,1,0),100))))</f>
        <v>n</v>
      </c>
      <c r="L16" s="14" t="str">
        <f t="shared" si="0"/>
        <v/>
      </c>
      <c r="M16" s="14" t="str">
        <f t="shared" si="0"/>
        <v/>
      </c>
      <c r="N16" s="14" t="str">
        <f t="shared" si="0"/>
        <v/>
      </c>
      <c r="O16" s="14" t="str">
        <f t="shared" si="0"/>
        <v/>
      </c>
      <c r="P16" s="14" t="str">
        <f t="shared" si="0"/>
        <v/>
      </c>
      <c r="Q16" s="14" t="str">
        <f t="shared" si="0"/>
        <v/>
      </c>
      <c r="R16" s="14" t="str">
        <f t="shared" si="0"/>
        <v/>
      </c>
      <c r="S16" s="14" t="str">
        <f t="shared" si="0"/>
        <v/>
      </c>
      <c r="T16" s="14" t="str">
        <f t="shared" si="0"/>
        <v>kk</v>
      </c>
      <c r="U16" s="14" t="str">
        <f>AO16&amp;AN16&amp;AM16&amp;AL16&amp;AK16&amp;AJ16&amp;AI16&amp;AH16&amp;AG16&amp;AF16</f>
        <v>nkk</v>
      </c>
      <c r="V16" s="13">
        <f>IFERROR(VLOOKUP(LEFT(AZ16,2),BASE!$C$96:$E$342,3,0),IFERROR(VLOOKUP(LEFT(AZ16,1),BASE!$C$96:$E$342,3,0),100))</f>
        <v>100</v>
      </c>
      <c r="W16" s="13">
        <f>IFERROR(VLOOKUP(LEFT(BA16,2),BASE!$C$96:$E$342,3,0),IFERROR(VLOOKUP(LEFT(BA16,1),BASE!$C$96:$E$342,3,0),100))</f>
        <v>100</v>
      </c>
      <c r="X16" s="13">
        <f>IFERROR(VLOOKUP(LEFT(BB16,2),BASE!$C$96:$E$342,3,0),IFERROR(VLOOKUP(LEFT(BB16,1),BASE!$C$96:$E$342,3,0),100))</f>
        <v>100</v>
      </c>
      <c r="Y16" s="13">
        <f>IFERROR(VLOOKUP(LEFT(BC16,2),BASE!$C$96:$E$342,3,0),IFERROR(VLOOKUP(LEFT(BC16,1),BASE!$C$96:$E$342,3,0),100))</f>
        <v>100</v>
      </c>
      <c r="Z16" s="13">
        <f>IFERROR(VLOOKUP(LEFT(BD16,2),BASE!$C$96:$E$342,3,0),IFERROR(VLOOKUP(LEFT(BD16,1),BASE!$C$96:$E$342,3,0),100))</f>
        <v>100</v>
      </c>
      <c r="AA16" s="13">
        <f>IFERROR(VLOOKUP(LEFT(BE16,2),BASE!$C$96:$E$342,3,0),IFERROR(VLOOKUP(LEFT(BE16,1),BASE!$C$96:$E$342,3,0),100))</f>
        <v>100</v>
      </c>
      <c r="AB16" s="13">
        <f>IFERROR(VLOOKUP(LEFT(BF16,2),BASE!$C$96:$E$342,3,0),IFERROR(VLOOKUP(LEFT(BF16,1),BASE!$C$96:$E$342,3,0),100))</f>
        <v>100</v>
      </c>
      <c r="AC16" s="13">
        <f>IFERROR(VLOOKUP(LEFT(BG16,2),BASE!$C$96:$E$342,3,0),IFERROR(VLOOKUP(LEFT(BG16,1),BASE!$C$96:$E$342,3,0),100))</f>
        <v>2</v>
      </c>
      <c r="AD16" s="13">
        <f>IFERROR(VLOOKUP(LEFT(BH16,2),BASE!$C$96:$E$342,3,0),IFERROR(VLOOKUP(LEFT(BH16,1),BASE!$C$96:$E$342,3,0),100))</f>
        <v>2</v>
      </c>
      <c r="AE16" s="13">
        <f>IFERROR(VLOOKUP(LEFT(BI16,2),BASE!$C$96:$E$342,3,0),IFERROR(VLOOKUP(LEFT(BI16,1),BASE!$C$96:$E$342,3,0),100))</f>
        <v>2</v>
      </c>
      <c r="AF16" s="187" t="str">
        <f>IF(AND(BS16=BR16,AG16="o"),"A", (IFERROR(VLOOKUP(LEFT(AZ16,2),BASE!$C$346:$D$592,2,0),IFERROR(VLOOKUP(LEFT(AZ16,1),BASE!$C$346:$D$5922,2,0),AZ16))))</f>
        <v/>
      </c>
      <c r="AG16" s="187" t="str">
        <f>IF(AND(BR16=BQ16,AH16="o"),"A", (IFERROR(VLOOKUP(LEFT(BA16,2),BASE!$C$346:$D$592,2,0),IFERROR(VLOOKUP(LEFT(BA16,1),BASE!$C$346:$D$592,2,0),BA16))))</f>
        <v/>
      </c>
      <c r="AH16" s="187" t="str">
        <f>IF(AND(BQ16=BP16,AI16="o"),"A", (IFERROR(VLOOKUP(LEFT(BB16,2),BASE!$C$346:$D$592,2,0),IFERROR(VLOOKUP(LEFT(BB16,1),BASE!$C$346:$D$592,2,0),BB16))))</f>
        <v/>
      </c>
      <c r="AI16" s="187" t="str">
        <f>IF(AND(BP16=BO16,AJ16="o"),"A", (IFERROR(VLOOKUP(LEFT(BC16,2),BASE!$C$346:$D$592,2,0),IFERROR(VLOOKUP(LEFT(BC16,1),BASE!$C$346:$D$592,2,0),BC16))))</f>
        <v/>
      </c>
      <c r="AJ16" s="187" t="str">
        <f>IF(AND(BO16=BN16,AK16="o"),"A", (IFERROR(VLOOKUP(LEFT(BD16,2),BASE!$C$346:$D$592,2,0),IFERROR(VLOOKUP(LEFT(BD16,1),BASE!$C$346:$D$592,2,0),BD16))))</f>
        <v/>
      </c>
      <c r="AK16" s="187" t="str">
        <f>IF(AND(BN16=BM16,AL16="o"),"A", (IFERROR(VLOOKUP(LEFT(BE16,2),BASE!$C$346:$D$592,2,0),IFERROR(VLOOKUP(LEFT(BE16,1),BASE!$C$346:$D$592,2,0),BE16))))</f>
        <v/>
      </c>
      <c r="AL16" s="187" t="str">
        <f>IF(AND(BM16=BL16,AM16="o"),"A", (IFERROR(VLOOKUP(LEFT(BF16,2),BASE!$C$346:$D$592,2,0),IFERROR(VLOOKUP(LEFT(BF16,1),BASE!$C$346:$D$592,2,0),BF16))))</f>
        <v/>
      </c>
      <c r="AM16" s="187" t="str">
        <f>IF(AND(BL16=BK16,AN16="o"),"A",(IFERROR(VLOOKUP(LEFT(BG16,2),BASE!$C$346:$D$592,2,0),IFERROR(VLOOKUP(LEFT(BG16,1),BASE!$C$346:$D$592,2,0),BG16))))</f>
        <v>k</v>
      </c>
      <c r="AN16" s="187" t="str">
        <f>(IFERROR(VLOOKUP(LEFT(BH16,2),BASE!$C$346:$D$592,2,0),IFERROR(VLOOKUP(LEFT(BH16,1),BASE!$C$346:$D$592,2,0),BH16)))</f>
        <v>k</v>
      </c>
      <c r="AO16" s="187" t="str">
        <f>(IFERROR(VLOOKUP(LEFT(BI16,2),BASE!$C$96:$D$342,2,0),IFERROR(VLOOKUP(LEFT(BI16,1),BASE!$C$96:$D$342,2,0),BI16)))</f>
        <v>n</v>
      </c>
      <c r="AP16" s="5">
        <f t="shared" si="1"/>
        <v>6</v>
      </c>
      <c r="AQ16" s="5">
        <f t="shared" si="1"/>
        <v>6</v>
      </c>
      <c r="AR16" s="5">
        <f t="shared" si="1"/>
        <v>6</v>
      </c>
      <c r="AS16" s="5">
        <f t="shared" si="1"/>
        <v>6</v>
      </c>
      <c r="AT16" s="5">
        <f t="shared" si="1"/>
        <v>6</v>
      </c>
      <c r="AU16" s="5">
        <f t="shared" si="1"/>
        <v>6</v>
      </c>
      <c r="AV16" s="5">
        <f t="shared" si="1"/>
        <v>6</v>
      </c>
      <c r="AW16" s="5">
        <f t="shared" si="1"/>
        <v>6</v>
      </c>
      <c r="AX16" s="5">
        <f t="shared" si="1"/>
        <v>6</v>
      </c>
      <c r="AY16" s="5">
        <f>LEN(BI16)</f>
        <v>6</v>
      </c>
      <c r="AZ16" s="12" t="str">
        <f t="shared" si="2"/>
        <v/>
      </c>
      <c r="BA16" s="12" t="str">
        <f t="shared" si="2"/>
        <v/>
      </c>
      <c r="BB16" s="12" t="str">
        <f t="shared" si="2"/>
        <v/>
      </c>
      <c r="BC16" s="12" t="str">
        <f t="shared" si="2"/>
        <v/>
      </c>
      <c r="BD16" s="12" t="str">
        <f t="shared" si="2"/>
        <v/>
      </c>
      <c r="BE16" s="12" t="str">
        <f t="shared" si="2"/>
        <v/>
      </c>
      <c r="BF16" s="12" t="str">
        <f t="shared" si="2"/>
        <v/>
      </c>
      <c r="BG16" s="12" t="str">
        <f t="shared" si="2"/>
        <v>யை</v>
      </c>
      <c r="BH16" s="43" t="str">
        <f t="shared" si="2"/>
        <v>கையை</v>
      </c>
      <c r="BI16" s="57" t="str">
        <f>CE6</f>
        <v>வைகையை</v>
      </c>
      <c r="BJ16" s="58" t="str">
        <f>IFERROR(VLOOKUP(LEFT(BI16,2),BASE!$C$96:$F$342,1,0),IFERROR(VLOOKUP(LEFT(BI16,1),BASE!$C$96:$F$342,1,0),BI16))</f>
        <v>வை</v>
      </c>
      <c r="BK16" s="58" t="str">
        <f>IFERROR(VLOOKUP(LEFT(BH16,2),BASE!$C$96:$D$342,1,0),IFERROR(VLOOKUP(LEFT(BH16,1),BASE!$C$96:$D$342,1,0),BH16))</f>
        <v>கை</v>
      </c>
      <c r="BL16" s="58" t="str">
        <f>IFERROR(VLOOKUP(LEFT(BG16,2),BASE!$C$96:$D$342,1,0),IFERROR(VLOOKUP(LEFT(BG16,1),BASE!$C$96:$D$342,1,0),BG16))</f>
        <v>யை</v>
      </c>
      <c r="BM16" s="58" t="str">
        <f>IFERROR(VLOOKUP(LEFT(BF16,2),BASE!$C$96:$D$342,1,0),IFERROR(VLOOKUP(LEFT(BF16,1),BASE!$C$96:$D$342,1,0),BF16))</f>
        <v/>
      </c>
      <c r="BN16" s="58" t="str">
        <f>IFERROR(VLOOKUP(LEFT(BE16,2),BASE!$C$96:$D$342,1,0),IFERROR(VLOOKUP(LEFT(BE16,1),BASE!$C$96:$D$342,1,0),BE16))</f>
        <v/>
      </c>
      <c r="BO16" s="58" t="str">
        <f>IFERROR(VLOOKUP(LEFT(BD16,2),BASE!$C$96:$D$342,1,0),IFERROR(VLOOKUP(LEFT(BD16,1),BASE!$C$96:$D$342,1,0),BD16))</f>
        <v/>
      </c>
      <c r="BP16" s="58" t="str">
        <f>IFERROR(VLOOKUP(LEFT(BC16,2),BASE!$C$96:$D$342,1,0),IFERROR(VLOOKUP(LEFT(BC16,1),BASE!$C$96:$D$342,1,0),BC16))</f>
        <v/>
      </c>
      <c r="BQ16" s="58" t="str">
        <f>IFERROR(VLOOKUP(LEFT(BB16,2),BASE!$C$96:$D$342,1,0),IFERROR(VLOOKUP(LEFT(BB16,1),BASE!$C$96:$D$342,1,0),BB16))</f>
        <v/>
      </c>
      <c r="BR16" s="58" t="str">
        <f>IFERROR(VLOOKUP(LEFT(BA16,2),BASE!$C$96:$D$342,1,0),IFERROR(VLOOKUP(LEFT(BA16,1),BASE!$C$96:$D$342,1,0),BA16))</f>
        <v/>
      </c>
      <c r="BS16" s="58" t="str">
        <f>IFERROR(VLOOKUP(LEFT(AZ16,2),BASE!$C$96:$D$342,1,0),IFERROR(VLOOKUP(LEFT(AZ16,1),BASE!$C$96:$D$342,1,0),AZ16))</f>
        <v/>
      </c>
      <c r="BT16" s="186" t="str">
        <f>(IFERROR(VLOOKUP(LEFT(BI16,2),BASE!$C$96:$F$342,4,0),IFERROR(VLOOKUP(LEFT(BI16,1),BASE!$C$96:$F$342,4,0),BI16)))</f>
        <v>நெ</v>
      </c>
      <c r="BU16" s="186" t="str">
        <f>(IFERROR(VLOOKUP(LEFT(BH16,2),BASE!$C$346:$F$592,4,0),IFERROR(VLOOKUP(LEFT(BH16,1),BASE!$C$346:$F$592,4,0),BH16)))</f>
        <v>கு</v>
      </c>
      <c r="BV16" s="186" t="str">
        <f>(IFERROR(VLOOKUP(LEFT(BG16,2),BASE!$C$346:$F$592,4,0),IFERROR(VLOOKUP(LEFT(BG16,1),BASE!$C$346:$F$592,4,0),BG16)))</f>
        <v>கு</v>
      </c>
      <c r="BW16" s="186" t="str">
        <f>(IFERROR(VLOOKUP(LEFT(BF16,2),BASE!$C$346:$F$592,4,0),IFERROR(VLOOKUP(LEFT(BF16,1),BASE!$C$346:$F$592,4,0),BF16)))</f>
        <v/>
      </c>
      <c r="BX16" s="186" t="str">
        <f>(IFERROR(VLOOKUP(LEFT(BE16,2),BASE!$C$346:$F$592,4,0),IFERROR(VLOOKUP(LEFT(BE16,1),BASE!$C$346:$F$592,4,0),BE16)))</f>
        <v/>
      </c>
      <c r="BY16" s="186" t="str">
        <f>(IFERROR(VLOOKUP(LEFT(BD16,2),BASE!$C$346:$F$592,4,0),IFERROR(VLOOKUP(LEFT(BD16,1),BASE!$C$346:$F$592,4,0),BD16)))</f>
        <v/>
      </c>
      <c r="BZ16" s="186" t="str">
        <f>(IFERROR(VLOOKUP(LEFT(BC16,2),BASE!$C$346:$F$592,4,0),IFERROR(VLOOKUP(LEFT(BC16,1),BASE!$C$346:$F$592,4,0),BC16)))</f>
        <v/>
      </c>
      <c r="CA16" s="186" t="str">
        <f>(IFERROR(VLOOKUP(LEFT(BB16,2),BASE!$C$346:$F$592,4,0),IFERROR(VLOOKUP(LEFT(BB16,1),BASE!$C$346:$F$592,4,0),BB16)))</f>
        <v/>
      </c>
      <c r="CB16" s="186" t="str">
        <f>(IFERROR(VLOOKUP(LEFT(BA16,2),BASE!$C$346:$F$592,4,0),IFERROR(VLOOKUP(LEFT(BA16,1),BASE!$C$346:$F$592,4,0),BA16)))</f>
        <v/>
      </c>
      <c r="CC16" s="186" t="str">
        <f>(IFERROR(VLOOKUP(LEFT(AZ16,2),BASE!$C$346:$F$592,4,0),IFERROR(VLOOKUP(LEFT(AZ16,1),BASE!$C$346:$F$592,4,0),AZ16)))</f>
        <v/>
      </c>
      <c r="CD16" s="58" t="str">
        <f>BT16&amp;BU16&amp;BV16&amp;BW16&amp;BX16&amp;BY16&amp;BZ16&amp;CA16&amp;CB16&amp;CC16</f>
        <v>நெகுகு</v>
      </c>
      <c r="CE16" s="58" t="str">
        <f>IFERROR(VLOOKUP((LEFT(U16,4)),BASE!$E$12:$F$23,2,0),IFERROR(VLOOKUP((LEFT(U16,3)),BASE!$E$12:$F$23,2,0),IFERROR(VLOOKUP((LEFT(U16,2)),BASE!$E$12:$F$23,2,0),IFERROR(VLOOKUP((LEFT(U16,1)),BASE!$E$12:$F$23,2,0),U16))))</f>
        <v>நேர்</v>
      </c>
      <c r="CF16" s="58" t="str">
        <f>IFERROR(VLOOKUP((LEFT(T16,4)),BASE!$E$12:$F$24,2,0),IFERROR(VLOOKUP((LEFT(T16,3)),BASE!$E$12:$F$24,2,0),IFERROR(VLOOKUP((LEFT(T16,2)),BASE!$E$12:$F$24,2,0),IFERROR(VLOOKUP((LEFT(T16,1)),BASE!$E$12:$F$24,2,0),T16))))</f>
        <v>நிரை</v>
      </c>
      <c r="CG16" s="58" t="str">
        <f>IFERROR(VLOOKUP((LEFT(S16,4)),BASE!$E$12:$F$23,2,0),IFERROR(VLOOKUP((LEFT(S16,3)),BASE!$E$12:$F$23,2,0),IFERROR(VLOOKUP((LEFT(S16,2)),BASE!$E$12:$F$23,2,0),IFERROR(VLOOKUP((LEFT(S16,1)),BASE!$E$12:$F$23,2,0),S16))))</f>
        <v/>
      </c>
      <c r="CH16" s="58" t="str">
        <f>IFERROR(VLOOKUP((LEFT(R16,4)),BASE!$E$12:$F$23,2,0),IFERROR(VLOOKUP((LEFT(R16,3)),BASE!$E$12:$F$23,2,0),IFERROR(VLOOKUP((LEFT(R16,2)),BASE!$E$12:$F$23,2,0),IFERROR(VLOOKUP((LEFT(R16,1)),BASE!$E$12:$F$23,2,0),R16))))</f>
        <v/>
      </c>
      <c r="CI16" s="58" t="str">
        <f>IFERROR(VLOOKUP((LEFT(Q16,4)),BASE!$E$12:$F$23,2,0),IFERROR(VLOOKUP((LEFT(Q16,3)),BASE!$E$12:$F$23,2,0),IFERROR(VLOOKUP((LEFT(Q16,2)),BASE!$E$12:$F$23,2,0),IFERROR(VLOOKUP((LEFT(Q16,1)),BASE!$E$12:$F$23,2,0),Q16))))</f>
        <v/>
      </c>
      <c r="CJ16" s="58" t="str">
        <f>IFERROR(VLOOKUP((LEFT(P16,4)),BASE!$E$12:$F$23,2,0),IFERROR(VLOOKUP((LEFT(P16,3)),BASE!$E$12:$F$23,2,0),IFERROR(VLOOKUP((LEFT(P16,2)),BASE!$E$12:$F$23,2,0),IFERROR(VLOOKUP((LEFT(P16,1)),BASE!$E$12:$F$23,2,0),P16))))</f>
        <v/>
      </c>
      <c r="CK16" s="58" t="str">
        <f>IFERROR(VLOOKUP((LEFT(O16,4)),BASE!$E$12:$F$23,2,0),IFERROR(VLOOKUP((LEFT(O16,3)),BASE!$E$12:$F$23,2,0),IFERROR(VLOOKUP((LEFT(O16,2)),BASE!$E$12:$F$23,2,0),IFERROR(VLOOKUP((LEFT(O16,1)),BASE!$E$12:$F$23,2,0),O16))))</f>
        <v/>
      </c>
      <c r="CL16" s="58" t="str">
        <f>IFERROR(VLOOKUP((LEFT(N16,4)),BASE!$E$12:$F$23,2,0),IFERROR(VLOOKUP((LEFT(N16,3)),BASE!$E$12:$F$23,2,0),IFERROR(VLOOKUP((LEFT(N16,2)),BASE!$E$12:$F$23,2,0),IFERROR(VLOOKUP((LEFT(N16,1)),BASE!$E$12:$F$23,2,0),N16))))</f>
        <v/>
      </c>
      <c r="CM16" s="58" t="str">
        <f>IFERROR(VLOOKUP((LEFT(M16,4)),BASE!$E$12:$F$23,2,0),IFERROR(VLOOKUP((LEFT(M16,3)),BASE!$E$12:$F$23,2,0),IFERROR(VLOOKUP((LEFT(M16,2)),BASE!$E$12:$F$23,2,0),IFERROR(VLOOKUP((LEFT(M16,1)),BASE!$E$12:$F$23,2,0),M16))))</f>
        <v/>
      </c>
      <c r="CN16" s="58" t="str">
        <f>IFERROR(VLOOKUP((LEFT(L16,4)),BASE!$E$12:$F$23,2,0),IFERROR(VLOOKUP((LEFT(L16,3)),BASE!$E$12:$F$23,2,0),IFERROR(VLOOKUP((LEFT(L16,2)),BASE!$E$12:$F$23,2,0),IFERROR(VLOOKUP((LEFT(L16,1)),BASE!$E$12:$F$23,2,0),L16))))</f>
        <v/>
      </c>
      <c r="CO16" s="58" t="str">
        <f>CE16&amp;CF16&amp;CG16&amp;CH16</f>
        <v>நேர்நிரை</v>
      </c>
      <c r="CP16" s="58" t="str">
        <f>VLOOKUP(CO16,BASE!$E$25:$F$79,2,0)</f>
        <v>கூவிளம்</v>
      </c>
      <c r="CQ16" s="58" t="str">
        <f>VLOOKUP(CO16,BASE!$E$25:$G$79,3,0)&amp;CE17</f>
        <v>விளம்நேர்</v>
      </c>
      <c r="CR16" s="58" t="str">
        <f>VLOOKUP(CQ16,BASE!$E$86:$G$93,2,0)</f>
        <v>விளமுன் நேர்</v>
      </c>
      <c r="CS16" s="58" t="str">
        <f>VLOOKUP(CQ16,BASE!$E$86:$G$93,3,0)</f>
        <v>இயற்சீர் வெண்டளை</v>
      </c>
      <c r="CT16" s="58" t="str">
        <f>IF((OR(CH16="நிரை",CH16="நேர்")),"மூவசைக்கு மிகக்கூடாது","மூவசைக்கு மிகவில்லை")</f>
        <v>மூவசைக்கு மிகவில்லை</v>
      </c>
      <c r="CU16" s="58" t="str">
        <f>IF((OR(CS16="இயற்சீர் வெண்டளை",CS16="வெண்சீர் வெண்டளை")),"சரி","தளை தட்டுகிறது")</f>
        <v>சரி</v>
      </c>
      <c r="CV16" s="193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</row>
    <row r="17" spans="1:120" s="185" customFormat="1" ht="16.8" x14ac:dyDescent="0.35">
      <c r="A17" s="119"/>
      <c r="B17" s="12">
        <f>IFERROR(VLOOKUP((LEFT(L17,4)),BASE!$E$12:$F$23,1,0),IFERROR(VLOOKUP((LEFT(L17,3)),BASE!$E$12:$F$23,1,0),IFERROR(VLOOKUP((LEFT(L17,2)),BASE!$E$12:$F$23,1,0),IFERROR(VLOOKUP((LEFT(L17,1)),BASE!$E$12:$F$23,1,0),100))))</f>
        <v>100</v>
      </c>
      <c r="C17" s="12">
        <f>IFERROR(VLOOKUP((LEFT(M17,4)),BASE!$E$12:$F$23,1,0),IFERROR(VLOOKUP((LEFT(M17,3)),BASE!$E$12:$F$23,1,0),IFERROR(VLOOKUP((LEFT(M17,2)),BASE!$E$12:$F$23,1,0),IFERROR(VLOOKUP((LEFT(M17,1)),BASE!$E$12:$F$23,1,0),100))))</f>
        <v>100</v>
      </c>
      <c r="D17" s="12">
        <f>IFERROR(VLOOKUP((LEFT(N17,4)),BASE!$E$12:$F$23,1,0),IFERROR(VLOOKUP((LEFT(N17,3)),BASE!$E$12:$F$23,1,0),IFERROR(VLOOKUP((LEFT(N17,2)),BASE!$E$12:$F$23,1,0),IFERROR(VLOOKUP((LEFT(N17,1)),BASE!$E$12:$F$23,1,0),100))))</f>
        <v>100</v>
      </c>
      <c r="E17" s="12">
        <f>IFERROR(VLOOKUP((LEFT(O17,4)),BASE!$E$12:$F$23,1,0),IFERROR(VLOOKUP((LEFT(O17,3)),BASE!$E$12:$F$23,1,0),IFERROR(VLOOKUP((LEFT(O17,2)),BASE!$E$12:$F$23,1,0),IFERROR(VLOOKUP((LEFT(O17,1)),BASE!$E$12:$F$23,1,0),100))))</f>
        <v>100</v>
      </c>
      <c r="F17" s="12">
        <f>IFERROR(VLOOKUP((LEFT(P17,4)),BASE!$E$12:$F$23,1,0),IFERROR(VLOOKUP((LEFT(P17,3)),BASE!$E$12:$F$23,1,0),IFERROR(VLOOKUP((LEFT(P17,2)),BASE!$E$12:$F$23,1,0),IFERROR(VLOOKUP((LEFT(P17,1)),BASE!$E$12:$F$23,1,0),100))))</f>
        <v>100</v>
      </c>
      <c r="G17" s="12">
        <f>IFERROR(VLOOKUP((LEFT(Q17,4)),BASE!$E$12:$F$23,1,0),IFERROR(VLOOKUP((LEFT(Q17,3)),BASE!$E$12:$F$23,1,0),IFERROR(VLOOKUP((LEFT(Q17,2)),BASE!$E$12:$F$23,1,0),IFERROR(VLOOKUP((LEFT(Q17,1)),BASE!$E$12:$F$23,1,0),100))))</f>
        <v>100</v>
      </c>
      <c r="H17" s="12">
        <f>IFERROR(VLOOKUP((LEFT(R17,4)),BASE!$E$12:$F$23,1,0),IFERROR(VLOOKUP((LEFT(R17,3)),BASE!$E$12:$F$23,1,0),IFERROR(VLOOKUP((LEFT(R17,2)),BASE!$E$12:$F$23,1,0),IFERROR(VLOOKUP((LEFT(R17,1)),BASE!$E$12:$F$23,1,0),100))))</f>
        <v>100</v>
      </c>
      <c r="I17" s="12" t="str">
        <f>IFERROR(VLOOKUP((LEFT(S17,4)),BASE!$E$12:$F$23,1,0),IFERROR(VLOOKUP((LEFT(S17,3)),BASE!$E$12:$F$23,1,0),IFERROR(VLOOKUP((LEFT(S17,2)),BASE!$E$12:$F$23,1,0),IFERROR(VLOOKUP((LEFT(S17,1)),BASE!$E$12:$F$23,1,0),100))))</f>
        <v>no</v>
      </c>
      <c r="J17" s="12" t="str">
        <f>IFERROR(VLOOKUP((LEFT(T17,4)),BASE!$E$12:$F$24,1,0),IFERROR(VLOOKUP((LEFT(T17,3)),BASE!$E$12:$F$24,1,0),IFERROR(VLOOKUP((LEFT(T17,2)),BASE!$E$12:$F$24,1,0),IFERROR(VLOOKUP((LEFT(T17,1)),BASE!$E$12:$F$24,1,0),100))))</f>
        <v>ko</v>
      </c>
      <c r="K17" s="12" t="str">
        <f>IFERROR(VLOOKUP((LEFT(U17,4)),BASE!$E$12:$F$23,1,0),IFERROR(VLOOKUP((LEFT(U17,3)),BASE!$E$12:$F$23,1,0),IFERROR(VLOOKUP((LEFT(U17,2)),BASE!$E$12:$F$23,1,0),IFERROR(VLOOKUP((LEFT(U17,1)),BASE!$E$12:$F$23,1,0),100))))</f>
        <v>ko</v>
      </c>
      <c r="L17" s="14" t="str">
        <f t="shared" si="0"/>
        <v/>
      </c>
      <c r="M17" s="14" t="str">
        <f t="shared" si="0"/>
        <v/>
      </c>
      <c r="N17" s="14" t="str">
        <f t="shared" si="0"/>
        <v/>
      </c>
      <c r="O17" s="14" t="str">
        <f t="shared" si="0"/>
        <v/>
      </c>
      <c r="P17" s="14" t="str">
        <f t="shared" si="0"/>
        <v/>
      </c>
      <c r="Q17" s="14" t="str">
        <f t="shared" si="0"/>
        <v/>
      </c>
      <c r="R17" s="14" t="str">
        <f t="shared" si="0"/>
        <v/>
      </c>
      <c r="S17" s="14" t="str">
        <f t="shared" si="0"/>
        <v>no</v>
      </c>
      <c r="T17" s="14" t="str">
        <f t="shared" si="0"/>
        <v>kono</v>
      </c>
      <c r="U17" s="14" t="str">
        <f t="shared" ref="U17:U20" si="3">AO17&amp;AN17&amp;AM17&amp;AL17&amp;AK17&amp;AJ17&amp;AI17&amp;AH17&amp;AG17&amp;AF17</f>
        <v>kokono</v>
      </c>
      <c r="V17" s="13">
        <f>IFERROR(VLOOKUP(LEFT(AZ17,2),BASE!$C$96:$E$342,3,0),IFERROR(VLOOKUP(LEFT(AZ17,1),BASE!$C$96:$E$342,3,0),100))</f>
        <v>100</v>
      </c>
      <c r="W17" s="13">
        <f>IFERROR(VLOOKUP(LEFT(BA17,2),BASE!$C$96:$E$342,3,0),IFERROR(VLOOKUP(LEFT(BA17,1),BASE!$C$96:$E$342,3,0),100))</f>
        <v>100</v>
      </c>
      <c r="X17" s="13">
        <f>IFERROR(VLOOKUP(LEFT(BB17,2),BASE!$C$96:$E$342,3,0),IFERROR(VLOOKUP(LEFT(BB17,1),BASE!$C$96:$E$342,3,0),100))</f>
        <v>100</v>
      </c>
      <c r="Y17" s="13">
        <f>IFERROR(VLOOKUP(LEFT(BC17,2),BASE!$C$96:$E$342,3,0),IFERROR(VLOOKUP(LEFT(BC17,1),BASE!$C$96:$E$342,3,0),100))</f>
        <v>100</v>
      </c>
      <c r="Z17" s="13">
        <f>IFERROR(VLOOKUP(LEFT(BD17,2),BASE!$C$96:$E$342,3,0),IFERROR(VLOOKUP(LEFT(BD17,1),BASE!$C$96:$E$342,3,0),100))</f>
        <v>2</v>
      </c>
      <c r="AA17" s="13">
        <f>IFERROR(VLOOKUP(LEFT(BE17,2),BASE!$C$96:$E$342,3,0),IFERROR(VLOOKUP(LEFT(BE17,1),BASE!$C$96:$E$342,3,0),100))</f>
        <v>2</v>
      </c>
      <c r="AB17" s="13">
        <f>IFERROR(VLOOKUP(LEFT(BF17,2),BASE!$C$96:$E$342,3,0),IFERROR(VLOOKUP(LEFT(BF17,1),BASE!$C$96:$E$342,3,0),100))</f>
        <v>2</v>
      </c>
      <c r="AC17" s="13">
        <f>IFERROR(VLOOKUP(LEFT(BG17,2),BASE!$C$96:$E$342,3,0),IFERROR(VLOOKUP(LEFT(BG17,1),BASE!$C$96:$E$342,3,0),100))</f>
        <v>2</v>
      </c>
      <c r="AD17" s="13">
        <f>IFERROR(VLOOKUP(LEFT(BH17,2),BASE!$C$96:$E$342,3,0),IFERROR(VLOOKUP(LEFT(BH17,1),BASE!$C$96:$E$342,3,0),100))</f>
        <v>2</v>
      </c>
      <c r="AE17" s="13">
        <f>IFERROR(VLOOKUP(LEFT(BI17,2),BASE!$C$96:$E$342,3,0),IFERROR(VLOOKUP(LEFT(BI17,1),BASE!$C$96:$E$342,3,0),100))</f>
        <v>1</v>
      </c>
      <c r="AF17" s="187" t="str">
        <f>IF(AND(BS17=BR17,AG17="o"),"A", (IFERROR(VLOOKUP(LEFT(AZ17,2),BASE!$C$346:$D$592,2,0),IFERROR(VLOOKUP(LEFT(AZ17,1),BASE!$C$346:$D$5922,2,0),AZ17))))</f>
        <v/>
      </c>
      <c r="AG17" s="187" t="str">
        <f>IF(AND(BR17=BQ17,AH17="o"),"A", (IFERROR(VLOOKUP(LEFT(BA17,2),BASE!$C$346:$D$592,2,0),IFERROR(VLOOKUP(LEFT(BA17,1),BASE!$C$346:$D$592,2,0),BA17))))</f>
        <v/>
      </c>
      <c r="AH17" s="187" t="str">
        <f>IF(AND(BQ17=BP17,AI17="o"),"A", (IFERROR(VLOOKUP(LEFT(BB17,2),BASE!$C$346:$D$592,2,0),IFERROR(VLOOKUP(LEFT(BB17,1),BASE!$C$346:$D$592,2,0),BB17))))</f>
        <v/>
      </c>
      <c r="AI17" s="187" t="str">
        <f>IF(AND(BP17=BO17,AJ17="o"),"A", (IFERROR(VLOOKUP(LEFT(BC17,2),BASE!$C$346:$D$592,2,0),IFERROR(VLOOKUP(LEFT(BC17,1),BASE!$C$346:$D$592,2,0),BC17))))</f>
        <v/>
      </c>
      <c r="AJ17" s="187" t="str">
        <f>IF(AND(BO17=BN17,AK17="o"),"A", (IFERROR(VLOOKUP(LEFT(BD17,2),BASE!$C$346:$D$592,2,0),IFERROR(VLOOKUP(LEFT(BD17,1),BASE!$C$346:$D$592,2,0),BD17))))</f>
        <v>o</v>
      </c>
      <c r="AK17" s="187" t="str">
        <f>IF(AND(BN17=BM17,AL17="o"),"A", (IFERROR(VLOOKUP(LEFT(BE17,2),BASE!$C$346:$D$592,2,0),IFERROR(VLOOKUP(LEFT(BE17,1),BASE!$C$346:$D$592,2,0),BE17))))</f>
        <v>n</v>
      </c>
      <c r="AL17" s="187" t="str">
        <f>IF(AND(BM17=BL17,AM17="o"),"A", (IFERROR(VLOOKUP(LEFT(BF17,2),BASE!$C$346:$D$592,2,0),IFERROR(VLOOKUP(LEFT(BF17,1),BASE!$C$346:$D$592,2,0),BF17))))</f>
        <v>o</v>
      </c>
      <c r="AM17" s="187" t="str">
        <f>IF(AND(BL17=BK17,AN17="o"),"A",(IFERROR(VLOOKUP(LEFT(BG17,2),BASE!$C$346:$D$592,2,0),IFERROR(VLOOKUP(LEFT(BG17,1),BASE!$C$346:$D$592,2,0),BG17))))</f>
        <v>k</v>
      </c>
      <c r="AN17" s="187" t="str">
        <f>(IFERROR(VLOOKUP(LEFT(BH17,2),BASE!$C$346:$D$592,2,0),IFERROR(VLOOKUP(LEFT(BH17,1),BASE!$C$346:$D$592,2,0),BH17)))</f>
        <v>o</v>
      </c>
      <c r="AO17" s="187" t="str">
        <f>(IFERROR(VLOOKUP(LEFT(BI17,2),BASE!$C$96:$D$342,2,0),IFERROR(VLOOKUP(LEFT(BI17,1),BASE!$C$96:$D$342,2,0),BI17)))</f>
        <v>k</v>
      </c>
      <c r="AP17" s="5">
        <f t="shared" si="1"/>
        <v>11</v>
      </c>
      <c r="AQ17" s="5">
        <f t="shared" si="1"/>
        <v>11</v>
      </c>
      <c r="AR17" s="5">
        <f t="shared" si="1"/>
        <v>11</v>
      </c>
      <c r="AS17" s="5">
        <f t="shared" si="1"/>
        <v>11</v>
      </c>
      <c r="AT17" s="5">
        <f t="shared" si="1"/>
        <v>11</v>
      </c>
      <c r="AU17" s="5">
        <f t="shared" si="1"/>
        <v>11</v>
      </c>
      <c r="AV17" s="5">
        <f t="shared" si="1"/>
        <v>11</v>
      </c>
      <c r="AW17" s="5">
        <f t="shared" si="1"/>
        <v>11</v>
      </c>
      <c r="AX17" s="5">
        <f t="shared" si="1"/>
        <v>11</v>
      </c>
      <c r="AY17" s="5">
        <f t="shared" ref="AY17:AY20" si="4">LEN(BI17)</f>
        <v>11</v>
      </c>
      <c r="AZ17" s="12" t="str">
        <f t="shared" si="2"/>
        <v/>
      </c>
      <c r="BA17" s="12" t="str">
        <f t="shared" si="2"/>
        <v/>
      </c>
      <c r="BB17" s="12" t="str">
        <f t="shared" si="2"/>
        <v/>
      </c>
      <c r="BC17" s="12" t="str">
        <f t="shared" si="2"/>
        <v/>
      </c>
      <c r="BD17" s="12" t="str">
        <f t="shared" si="2"/>
        <v>ம்</v>
      </c>
      <c r="BE17" s="12" t="str">
        <f t="shared" si="2"/>
        <v>டாம்</v>
      </c>
      <c r="BF17" s="12" t="str">
        <f t="shared" si="2"/>
        <v>ண்டாம்</v>
      </c>
      <c r="BG17" s="12" t="str">
        <f t="shared" si="2"/>
        <v>வுண்டாம்</v>
      </c>
      <c r="BH17" s="43" t="str">
        <f t="shared" si="2"/>
        <v>ய்வுண்டாம்</v>
      </c>
      <c r="BI17" s="57" t="str">
        <f>CF6</f>
        <v>உய்வுண்டாம்</v>
      </c>
      <c r="BJ17" s="58" t="str">
        <f>IFERROR(VLOOKUP(LEFT(BI17,2),BASE!$C$96:$F$342,1,0),IFERROR(VLOOKUP(LEFT(BI17,1),BASE!$C$96:$F$342,1,0),BI17))</f>
        <v>உ</v>
      </c>
      <c r="BK17" s="58" t="str">
        <f>IFERROR(VLOOKUP(LEFT(BH17,2),BASE!$C$96:$D$342,1,0),IFERROR(VLOOKUP(LEFT(BH17,1),BASE!$C$96:$D$342,1,0),BH17))</f>
        <v>ய்</v>
      </c>
      <c r="BL17" s="58" t="str">
        <f>IFERROR(VLOOKUP(LEFT(BG17,2),BASE!$C$96:$D$342,1,0),IFERROR(VLOOKUP(LEFT(BG17,1),BASE!$C$96:$D$342,1,0),BG17))</f>
        <v>வு</v>
      </c>
      <c r="BM17" s="58" t="str">
        <f>IFERROR(VLOOKUP(LEFT(BF17,2),BASE!$C$96:$D$342,1,0),IFERROR(VLOOKUP(LEFT(BF17,1),BASE!$C$96:$D$342,1,0),BF17))</f>
        <v>ண்</v>
      </c>
      <c r="BN17" s="58" t="str">
        <f>IFERROR(VLOOKUP(LEFT(BE17,2),BASE!$C$96:$D$342,1,0),IFERROR(VLOOKUP(LEFT(BE17,1),BASE!$C$96:$D$342,1,0),BE17))</f>
        <v>டா</v>
      </c>
      <c r="BO17" s="58" t="str">
        <f>IFERROR(VLOOKUP(LEFT(BD17,2),BASE!$C$96:$D$342,1,0),IFERROR(VLOOKUP(LEFT(BD17,1),BASE!$C$96:$D$342,1,0),BD17))</f>
        <v>ம்</v>
      </c>
      <c r="BP17" s="58" t="str">
        <f>IFERROR(VLOOKUP(LEFT(BC17,2),BASE!$C$96:$D$342,1,0),IFERROR(VLOOKUP(LEFT(BC17,1),BASE!$C$96:$D$342,1,0),BC17))</f>
        <v/>
      </c>
      <c r="BQ17" s="58" t="str">
        <f>IFERROR(VLOOKUP(LEFT(BB17,2),BASE!$C$96:$D$342,1,0),IFERROR(VLOOKUP(LEFT(BB17,1),BASE!$C$96:$D$342,1,0),BB17))</f>
        <v/>
      </c>
      <c r="BR17" s="58" t="str">
        <f>IFERROR(VLOOKUP(LEFT(BA17,2),BASE!$C$96:$D$342,1,0),IFERROR(VLOOKUP(LEFT(BA17,1),BASE!$C$96:$D$342,1,0),BA17))</f>
        <v/>
      </c>
      <c r="BS17" s="58" t="str">
        <f>IFERROR(VLOOKUP(LEFT(AZ17,2),BASE!$C$96:$D$342,1,0),IFERROR(VLOOKUP(LEFT(AZ17,1),BASE!$C$96:$D$342,1,0),AZ17))</f>
        <v/>
      </c>
      <c r="BT17" s="186" t="str">
        <f>(IFERROR(VLOOKUP(LEFT(BI17,2),BASE!$C$96:$F$342,4,0),IFERROR(VLOOKUP(LEFT(BI17,1),BASE!$C$96:$F$342,4,0),BI17)))</f>
        <v>கு</v>
      </c>
      <c r="BU17" s="186" t="str">
        <f>(IFERROR(VLOOKUP(LEFT(BH17,2),BASE!$C$346:$F$592,4,0),IFERROR(VLOOKUP(LEFT(BH17,1),BASE!$C$346:$F$592,4,0),BH17)))</f>
        <v>ஒ</v>
      </c>
      <c r="BV17" s="186" t="str">
        <f>(IFERROR(VLOOKUP(LEFT(BG17,2),BASE!$C$346:$F$592,4,0),IFERROR(VLOOKUP(LEFT(BG17,1),BASE!$C$346:$F$592,4,0),BG17)))</f>
        <v>கு</v>
      </c>
      <c r="BW17" s="186" t="str">
        <f>(IFERROR(VLOOKUP(LEFT(BF17,2),BASE!$C$346:$F$592,4,0),IFERROR(VLOOKUP(LEFT(BF17,1),BASE!$C$346:$F$592,4,0),BF17)))</f>
        <v>ஒ</v>
      </c>
      <c r="BX17" s="186" t="str">
        <f>(IFERROR(VLOOKUP(LEFT(BE17,2),BASE!$C$346:$F$592,4,0),IFERROR(VLOOKUP(LEFT(BE17,1),BASE!$C$346:$F$592,4,0),BE17)))</f>
        <v>நெ</v>
      </c>
      <c r="BY17" s="186" t="str">
        <f>(IFERROR(VLOOKUP(LEFT(BD17,2),BASE!$C$346:$F$592,4,0),IFERROR(VLOOKUP(LEFT(BD17,1),BASE!$C$346:$F$592,4,0),BD17)))</f>
        <v>ஒ</v>
      </c>
      <c r="BZ17" s="186" t="str">
        <f>(IFERROR(VLOOKUP(LEFT(BC17,2),BASE!$C$346:$F$592,4,0),IFERROR(VLOOKUP(LEFT(BC17,1),BASE!$C$346:$F$592,4,0),BC17)))</f>
        <v/>
      </c>
      <c r="CA17" s="186" t="str">
        <f>(IFERROR(VLOOKUP(LEFT(BB17,2),BASE!$C$346:$F$592,4,0),IFERROR(VLOOKUP(LEFT(BB17,1),BASE!$C$346:$F$592,4,0),BB17)))</f>
        <v/>
      </c>
      <c r="CB17" s="186" t="str">
        <f>(IFERROR(VLOOKUP(LEFT(BA17,2),BASE!$C$346:$F$592,4,0),IFERROR(VLOOKUP(LEFT(BA17,1),BASE!$C$346:$F$592,4,0),BA17)))</f>
        <v/>
      </c>
      <c r="CC17" s="186" t="str">
        <f>(IFERROR(VLOOKUP(LEFT(AZ17,2),BASE!$C$346:$F$592,4,0),IFERROR(VLOOKUP(LEFT(AZ17,1),BASE!$C$346:$F$592,4,0),AZ17)))</f>
        <v/>
      </c>
      <c r="CD17" s="58" t="str">
        <f t="shared" ref="CD17:CD20" si="5">BT17&amp;BU17&amp;BV17&amp;BW17&amp;BX17&amp;BY17&amp;BZ17&amp;CA17&amp;CB17&amp;CC17</f>
        <v>குஒகுஒநெஒ</v>
      </c>
      <c r="CE17" s="58" t="str">
        <f>IFERROR(VLOOKUP((LEFT(U17,4)),BASE!$E$12:$F$23,2,0),IFERROR(VLOOKUP((LEFT(U17,3)),BASE!$E$12:$F$23,2,0),IFERROR(VLOOKUP((LEFT(U17,2)),BASE!$E$12:$F$23,2,0),IFERROR(VLOOKUP((LEFT(U17,1)),BASE!$E$12:$F$23,2,0),U17))))</f>
        <v>நேர்</v>
      </c>
      <c r="CF17" s="58" t="str">
        <f>IFERROR(VLOOKUP((LEFT(T17,4)),BASE!$E$12:$F$24,2,0),IFERROR(VLOOKUP((LEFT(T17,3)),BASE!$E$12:$F$24,2,0),IFERROR(VLOOKUP((LEFT(T17,2)),BASE!$E$12:$F$24,2,0),IFERROR(VLOOKUP((LEFT(T17,1)),BASE!$E$12:$F$24,2,0),T17))))</f>
        <v>நேர்</v>
      </c>
      <c r="CG17" s="58" t="str">
        <f>IFERROR(VLOOKUP((LEFT(S17,4)),BASE!$E$12:$F$23,2,0),IFERROR(VLOOKUP((LEFT(S17,3)),BASE!$E$12:$F$23,2,0),IFERROR(VLOOKUP((LEFT(S17,2)),BASE!$E$12:$F$23,2,0),IFERROR(VLOOKUP((LEFT(S17,1)),BASE!$E$12:$F$23,2,0),S17))))</f>
        <v>நேர்</v>
      </c>
      <c r="CH17" s="58" t="str">
        <f>IFERROR(VLOOKUP((LEFT(R17,4)),BASE!$E$12:$F$23,2,0),IFERROR(VLOOKUP((LEFT(R17,3)),BASE!$E$12:$F$23,2,0),IFERROR(VLOOKUP((LEFT(R17,2)),BASE!$E$12:$F$23,2,0),IFERROR(VLOOKUP((LEFT(R17,1)),BASE!$E$12:$F$23,2,0),R17))))</f>
        <v/>
      </c>
      <c r="CI17" s="58" t="str">
        <f>IFERROR(VLOOKUP((LEFT(Q17,4)),BASE!$E$12:$F$23,2,0),IFERROR(VLOOKUP((LEFT(Q17,3)),BASE!$E$12:$F$23,2,0),IFERROR(VLOOKUP((LEFT(Q17,2)),BASE!$E$12:$F$23,2,0),IFERROR(VLOOKUP((LEFT(Q17,1)),BASE!$E$12:$F$23,2,0),Q17))))</f>
        <v/>
      </c>
      <c r="CJ17" s="58" t="str">
        <f>IFERROR(VLOOKUP((LEFT(P17,4)),BASE!$E$12:$F$23,2,0),IFERROR(VLOOKUP((LEFT(P17,3)),BASE!$E$12:$F$23,2,0),IFERROR(VLOOKUP((LEFT(P17,2)),BASE!$E$12:$F$23,2,0),IFERROR(VLOOKUP((LEFT(P17,1)),BASE!$E$12:$F$23,2,0),P17))))</f>
        <v/>
      </c>
      <c r="CK17" s="58" t="str">
        <f>IFERROR(VLOOKUP((LEFT(O17,4)),BASE!$E$12:$F$23,2,0),IFERROR(VLOOKUP((LEFT(O17,3)),BASE!$E$12:$F$23,2,0),IFERROR(VLOOKUP((LEFT(O17,2)),BASE!$E$12:$F$23,2,0),IFERROR(VLOOKUP((LEFT(O17,1)),BASE!$E$12:$F$23,2,0),O17))))</f>
        <v/>
      </c>
      <c r="CL17" s="58" t="str">
        <f>IFERROR(VLOOKUP((LEFT(N17,4)),BASE!$E$12:$F$23,2,0),IFERROR(VLOOKUP((LEFT(N17,3)),BASE!$E$12:$F$23,2,0),IFERROR(VLOOKUP((LEFT(N17,2)),BASE!$E$12:$F$23,2,0),IFERROR(VLOOKUP((LEFT(N17,1)),BASE!$E$12:$F$23,2,0),N17))))</f>
        <v/>
      </c>
      <c r="CM17" s="58" t="str">
        <f>IFERROR(VLOOKUP((LEFT(M17,4)),BASE!$E$12:$F$23,2,0),IFERROR(VLOOKUP((LEFT(M17,3)),BASE!$E$12:$F$23,2,0),IFERROR(VLOOKUP((LEFT(M17,2)),BASE!$E$12:$F$23,2,0),IFERROR(VLOOKUP((LEFT(M17,1)),BASE!$E$12:$F$23,2,0),M17))))</f>
        <v/>
      </c>
      <c r="CN17" s="58" t="str">
        <f>IFERROR(VLOOKUP((LEFT(L17,4)),BASE!$E$12:$F$23,2,0),IFERROR(VLOOKUP((LEFT(L17,3)),BASE!$E$12:$F$23,2,0),IFERROR(VLOOKUP((LEFT(L17,2)),BASE!$E$12:$F$23,2,0),IFERROR(VLOOKUP((LEFT(L17,1)),BASE!$E$12:$F$23,2,0),L17))))</f>
        <v/>
      </c>
      <c r="CO17" s="58" t="str">
        <f t="shared" ref="CO17:CO20" si="6">CE17&amp;CF17&amp;CG17&amp;CH17</f>
        <v>நேர்நேர்நேர்</v>
      </c>
      <c r="CP17" s="58" t="str">
        <f>VLOOKUP(CO17,BASE!$E$25:$F$79,2,0)</f>
        <v>தேமாங்காய்</v>
      </c>
      <c r="CQ17" s="58" t="str">
        <f>VLOOKUP(CO17,BASE!$E$25:$G$79,3,0)&amp;CE18</f>
        <v>காய்நேர்</v>
      </c>
      <c r="CR17" s="58" t="str">
        <f>VLOOKUP(CQ17,BASE!$E$86:$G$93,2,0)</f>
        <v>காய் முன் நேர்</v>
      </c>
      <c r="CS17" s="58" t="str">
        <f>VLOOKUP(CQ17,BASE!$E$86:$G$93,3,0)</f>
        <v>வெண்சீர் வெண்டளை</v>
      </c>
      <c r="CT17" s="58" t="str">
        <f t="shared" ref="CT17:CT20" si="7">IF((OR(CH17="நிரை",CH17="நேர்")),"மூவசைக்கு மிகக்கூடாது","மூவசைக்கு மிகவில்லை")</f>
        <v>மூவசைக்கு மிகவில்லை</v>
      </c>
      <c r="CU17" s="58" t="str">
        <f t="shared" ref="CU17:CU20" si="8">IF((OR(CS17="இயற்சீர் வெண்டளை",CS17="வெண்சீர் வெண்டளை")),"சரி","தளை தட்டுகிறது")</f>
        <v>சரி</v>
      </c>
      <c r="CV17" s="193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</row>
    <row r="18" spans="1:120" s="185" customFormat="1" ht="16.8" x14ac:dyDescent="0.35">
      <c r="A18" s="119"/>
      <c r="B18" s="12">
        <f>IFERROR(VLOOKUP((LEFT(L18,4)),BASE!$E$12:$F$23,1,0),IFERROR(VLOOKUP((LEFT(L18,3)),BASE!$E$12:$F$23,1,0),IFERROR(VLOOKUP((LEFT(L18,2)),BASE!$E$12:$F$23,1,0),IFERROR(VLOOKUP((LEFT(L18,1)),BASE!$E$12:$F$23,1,0),100))))</f>
        <v>100</v>
      </c>
      <c r="C18" s="12">
        <f>IFERROR(VLOOKUP((LEFT(M18,4)),BASE!$E$12:$F$23,1,0),IFERROR(VLOOKUP((LEFT(M18,3)),BASE!$E$12:$F$23,1,0),IFERROR(VLOOKUP((LEFT(M18,2)),BASE!$E$12:$F$23,1,0),IFERROR(VLOOKUP((LEFT(M18,1)),BASE!$E$12:$F$23,1,0),100))))</f>
        <v>100</v>
      </c>
      <c r="D18" s="12">
        <f>IFERROR(VLOOKUP((LEFT(N18,4)),BASE!$E$12:$F$23,1,0),IFERROR(VLOOKUP((LEFT(N18,3)),BASE!$E$12:$F$23,1,0),IFERROR(VLOOKUP((LEFT(N18,2)),BASE!$E$12:$F$23,1,0),IFERROR(VLOOKUP((LEFT(N18,1)),BASE!$E$12:$F$23,1,0),100))))</f>
        <v>100</v>
      </c>
      <c r="E18" s="12">
        <f>IFERROR(VLOOKUP((LEFT(O18,4)),BASE!$E$12:$F$23,1,0),IFERROR(VLOOKUP((LEFT(O18,3)),BASE!$E$12:$F$23,1,0),IFERROR(VLOOKUP((LEFT(O18,2)),BASE!$E$12:$F$23,1,0),IFERROR(VLOOKUP((LEFT(O18,1)),BASE!$E$12:$F$23,1,0),100))))</f>
        <v>100</v>
      </c>
      <c r="F18" s="12">
        <f>IFERROR(VLOOKUP((LEFT(P18,4)),BASE!$E$12:$F$23,1,0),IFERROR(VLOOKUP((LEFT(P18,3)),BASE!$E$12:$F$23,1,0),IFERROR(VLOOKUP((LEFT(P18,2)),BASE!$E$12:$F$23,1,0),IFERROR(VLOOKUP((LEFT(P18,1)),BASE!$E$12:$F$23,1,0),100))))</f>
        <v>100</v>
      </c>
      <c r="G18" s="12">
        <f>IFERROR(VLOOKUP((LEFT(Q18,4)),BASE!$E$12:$F$23,1,0),IFERROR(VLOOKUP((LEFT(Q18,3)),BASE!$E$12:$F$23,1,0),IFERROR(VLOOKUP((LEFT(Q18,2)),BASE!$E$12:$F$23,1,0),IFERROR(VLOOKUP((LEFT(Q18,1)),BASE!$E$12:$F$23,1,0),100))))</f>
        <v>100</v>
      </c>
      <c r="H18" s="12">
        <f>IFERROR(VLOOKUP((LEFT(R18,4)),BASE!$E$12:$F$23,1,0),IFERROR(VLOOKUP((LEFT(R18,3)),BASE!$E$12:$F$23,1,0),IFERROR(VLOOKUP((LEFT(R18,2)),BASE!$E$12:$F$23,1,0),IFERROR(VLOOKUP((LEFT(R18,1)),BASE!$E$12:$F$23,1,0),100))))</f>
        <v>100</v>
      </c>
      <c r="I18" s="12" t="str">
        <f>IFERROR(VLOOKUP((LEFT(S18,4)),BASE!$E$12:$F$23,1,0),IFERROR(VLOOKUP((LEFT(S18,3)),BASE!$E$12:$F$23,1,0),IFERROR(VLOOKUP((LEFT(S18,2)),BASE!$E$12:$F$23,1,0),IFERROR(VLOOKUP((LEFT(S18,1)),BASE!$E$12:$F$23,1,0),100))))</f>
        <v>k</v>
      </c>
      <c r="J18" s="12" t="str">
        <f>IFERROR(VLOOKUP((LEFT(T18,4)),BASE!$E$12:$F$24,1,0),IFERROR(VLOOKUP((LEFT(T18,3)),BASE!$E$12:$F$24,1,0),IFERROR(VLOOKUP((LEFT(T18,2)),BASE!$E$12:$F$24,1,0),IFERROR(VLOOKUP((LEFT(T18,1)),BASE!$E$12:$F$24,1,0),100))))</f>
        <v>ko</v>
      </c>
      <c r="K18" s="12" t="str">
        <f>IFERROR(VLOOKUP((LEFT(U18,4)),BASE!$E$12:$F$23,1,0),IFERROR(VLOOKUP((LEFT(U18,3)),BASE!$E$12:$F$23,1,0),IFERROR(VLOOKUP((LEFT(U18,2)),BASE!$E$12:$F$23,1,0),IFERROR(VLOOKUP((LEFT(U18,1)),BASE!$E$12:$F$23,1,0),100))))</f>
        <v>ko</v>
      </c>
      <c r="L18" s="14" t="str">
        <f t="shared" si="0"/>
        <v/>
      </c>
      <c r="M18" s="14" t="str">
        <f t="shared" si="0"/>
        <v/>
      </c>
      <c r="N18" s="14" t="str">
        <f t="shared" si="0"/>
        <v/>
      </c>
      <c r="O18" s="14" t="str">
        <f t="shared" si="0"/>
        <v/>
      </c>
      <c r="P18" s="14" t="str">
        <f t="shared" si="0"/>
        <v/>
      </c>
      <c r="Q18" s="14" t="str">
        <f t="shared" si="0"/>
        <v/>
      </c>
      <c r="R18" s="14" t="str">
        <f t="shared" si="0"/>
        <v/>
      </c>
      <c r="S18" s="14" t="str">
        <f t="shared" si="0"/>
        <v>k</v>
      </c>
      <c r="T18" s="14" t="str">
        <f t="shared" si="0"/>
        <v>kok</v>
      </c>
      <c r="U18" s="14" t="str">
        <f t="shared" si="3"/>
        <v>kokok</v>
      </c>
      <c r="V18" s="13">
        <f>IFERROR(VLOOKUP(LEFT(AZ18,2),BASE!$C$96:$E$342,3,0),IFERROR(VLOOKUP(LEFT(AZ18,1),BASE!$C$96:$E$342,3,0),100))</f>
        <v>100</v>
      </c>
      <c r="W18" s="13">
        <f>IFERROR(VLOOKUP(LEFT(BA18,2),BASE!$C$96:$E$342,3,0),IFERROR(VLOOKUP(LEFT(BA18,1),BASE!$C$96:$E$342,3,0),100))</f>
        <v>100</v>
      </c>
      <c r="X18" s="13">
        <f>IFERROR(VLOOKUP(LEFT(BB18,2),BASE!$C$96:$E$342,3,0),IFERROR(VLOOKUP(LEFT(BB18,1),BASE!$C$96:$E$342,3,0),100))</f>
        <v>100</v>
      </c>
      <c r="Y18" s="13">
        <f>IFERROR(VLOOKUP(LEFT(BC18,2),BASE!$C$96:$E$342,3,0),IFERROR(VLOOKUP(LEFT(BC18,1),BASE!$C$96:$E$342,3,0),100))</f>
        <v>100</v>
      </c>
      <c r="Z18" s="13">
        <f>IFERROR(VLOOKUP(LEFT(BD18,2),BASE!$C$96:$E$342,3,0),IFERROR(VLOOKUP(LEFT(BD18,1),BASE!$C$96:$E$342,3,0),100))</f>
        <v>100</v>
      </c>
      <c r="AA18" s="13">
        <f>IFERROR(VLOOKUP(LEFT(BE18,2),BASE!$C$96:$E$342,3,0),IFERROR(VLOOKUP(LEFT(BE18,1),BASE!$C$96:$E$342,3,0),100))</f>
        <v>2</v>
      </c>
      <c r="AB18" s="13">
        <f>IFERROR(VLOOKUP(LEFT(BF18,2),BASE!$C$96:$E$342,3,0),IFERROR(VLOOKUP(LEFT(BF18,1),BASE!$C$96:$E$342,3,0),100))</f>
        <v>2</v>
      </c>
      <c r="AC18" s="13">
        <f>IFERROR(VLOOKUP(LEFT(BG18,2),BASE!$C$96:$E$342,3,0),IFERROR(VLOOKUP(LEFT(BG18,1),BASE!$C$96:$E$342,3,0),100))</f>
        <v>2</v>
      </c>
      <c r="AD18" s="13">
        <f>IFERROR(VLOOKUP(LEFT(BH18,2),BASE!$C$96:$E$342,3,0),IFERROR(VLOOKUP(LEFT(BH18,1),BASE!$C$96:$E$342,3,0),100))</f>
        <v>2</v>
      </c>
      <c r="AE18" s="13">
        <f>IFERROR(VLOOKUP(LEFT(BI18,2),BASE!$C$96:$E$342,3,0),IFERROR(VLOOKUP(LEFT(BI18,1),BASE!$C$96:$E$342,3,0),100))</f>
        <v>1</v>
      </c>
      <c r="AF18" s="187" t="str">
        <f>IF(AND(BS18=BR18,AG18="o"),"A", (IFERROR(VLOOKUP(LEFT(AZ18,2),BASE!$C$346:$D$592,2,0),IFERROR(VLOOKUP(LEFT(AZ18,1),BASE!$C$346:$D$5922,2,0),AZ18))))</f>
        <v/>
      </c>
      <c r="AG18" s="187" t="str">
        <f>IF(AND(BR18=BQ18,AH18="o"),"A", (IFERROR(VLOOKUP(LEFT(BA18,2),BASE!$C$346:$D$592,2,0),IFERROR(VLOOKUP(LEFT(BA18,1),BASE!$C$346:$D$592,2,0),BA18))))</f>
        <v/>
      </c>
      <c r="AH18" s="187" t="str">
        <f>IF(AND(BQ18=BP18,AI18="o"),"A", (IFERROR(VLOOKUP(LEFT(BB18,2),BASE!$C$346:$D$592,2,0),IFERROR(VLOOKUP(LEFT(BB18,1),BASE!$C$346:$D$592,2,0),BB18))))</f>
        <v/>
      </c>
      <c r="AI18" s="187" t="str">
        <f>IF(AND(BP18=BO18,AJ18="o"),"A", (IFERROR(VLOOKUP(LEFT(BC18,2),BASE!$C$346:$D$592,2,0),IFERROR(VLOOKUP(LEFT(BC18,1),BASE!$C$346:$D$592,2,0),BC18))))</f>
        <v/>
      </c>
      <c r="AJ18" s="187" t="str">
        <f>IF(AND(BO18=BN18,AK18="o"),"A", (IFERROR(VLOOKUP(LEFT(BD18,2),BASE!$C$346:$D$592,2,0),IFERROR(VLOOKUP(LEFT(BD18,1),BASE!$C$346:$D$592,2,0),BD18))))</f>
        <v/>
      </c>
      <c r="AK18" s="187" t="str">
        <f>IF(AND(BN18=BM18,AL18="o"),"A", (IFERROR(VLOOKUP(LEFT(BE18,2),BASE!$C$346:$D$592,2,0),IFERROR(VLOOKUP(LEFT(BE18,1),BASE!$C$346:$D$592,2,0),BE18))))</f>
        <v>k</v>
      </c>
      <c r="AL18" s="187" t="str">
        <f>IF(AND(BM18=BL18,AM18="o"),"A", (IFERROR(VLOOKUP(LEFT(BF18,2),BASE!$C$346:$D$592,2,0),IFERROR(VLOOKUP(LEFT(BF18,1),BASE!$C$346:$D$592,2,0),BF18))))</f>
        <v>o</v>
      </c>
      <c r="AM18" s="187" t="str">
        <f>IF(AND(BL18=BK18,AN18="o"),"A",(IFERROR(VLOOKUP(LEFT(BG18,2),BASE!$C$346:$D$592,2,0),IFERROR(VLOOKUP(LEFT(BG18,1),BASE!$C$346:$D$592,2,0),BG18))))</f>
        <v>k</v>
      </c>
      <c r="AN18" s="187" t="str">
        <f>(IFERROR(VLOOKUP(LEFT(BH18,2),BASE!$C$346:$D$592,2,0),IFERROR(VLOOKUP(LEFT(BH18,1),BASE!$C$346:$D$592,2,0),BH18)))</f>
        <v>o</v>
      </c>
      <c r="AO18" s="187" t="str">
        <f>(IFERROR(VLOOKUP(LEFT(BI18,2),BASE!$C$96:$D$342,2,0),IFERROR(VLOOKUP(LEFT(BI18,1),BASE!$C$96:$D$342,2,0),BI18)))</f>
        <v>k</v>
      </c>
      <c r="AP18" s="5">
        <f t="shared" si="1"/>
        <v>9</v>
      </c>
      <c r="AQ18" s="5">
        <f t="shared" si="1"/>
        <v>9</v>
      </c>
      <c r="AR18" s="5">
        <f t="shared" si="1"/>
        <v>9</v>
      </c>
      <c r="AS18" s="5">
        <f t="shared" si="1"/>
        <v>9</v>
      </c>
      <c r="AT18" s="5">
        <f t="shared" si="1"/>
        <v>9</v>
      </c>
      <c r="AU18" s="5">
        <f t="shared" si="1"/>
        <v>9</v>
      </c>
      <c r="AV18" s="5">
        <f t="shared" si="1"/>
        <v>9</v>
      </c>
      <c r="AW18" s="5">
        <f t="shared" si="1"/>
        <v>9</v>
      </c>
      <c r="AX18" s="5">
        <f t="shared" si="1"/>
        <v>9</v>
      </c>
      <c r="AY18" s="5">
        <f t="shared" si="4"/>
        <v>9</v>
      </c>
      <c r="AZ18" s="12" t="str">
        <f t="shared" si="2"/>
        <v/>
      </c>
      <c r="BA18" s="12" t="str">
        <f t="shared" si="2"/>
        <v/>
      </c>
      <c r="BB18" s="12" t="str">
        <f t="shared" si="2"/>
        <v/>
      </c>
      <c r="BC18" s="12" t="str">
        <f t="shared" si="2"/>
        <v/>
      </c>
      <c r="BD18" s="12" t="str">
        <f t="shared" si="2"/>
        <v/>
      </c>
      <c r="BE18" s="12" t="str">
        <f t="shared" si="2"/>
        <v>லை</v>
      </c>
      <c r="BF18" s="12" t="str">
        <f t="shared" si="2"/>
        <v>ல்லை</v>
      </c>
      <c r="BG18" s="12" t="str">
        <f t="shared" si="2"/>
        <v>வில்லை</v>
      </c>
      <c r="BH18" s="43" t="str">
        <f t="shared" si="2"/>
        <v>ய்வில்லை</v>
      </c>
      <c r="BI18" s="57" t="str">
        <f>CG6</f>
        <v>உய்வில்லை</v>
      </c>
      <c r="BJ18" s="58" t="str">
        <f>IFERROR(VLOOKUP(LEFT(BI18,2),BASE!$C$96:$F$342,1,0),IFERROR(VLOOKUP(LEFT(BI18,1),BASE!$C$96:$F$342,1,0),BI18))</f>
        <v>உ</v>
      </c>
      <c r="BK18" s="58" t="str">
        <f>IFERROR(VLOOKUP(LEFT(BH18,2),BASE!$C$96:$D$342,1,0),IFERROR(VLOOKUP(LEFT(BH18,1),BASE!$C$96:$D$342,1,0),BH18))</f>
        <v>ய்</v>
      </c>
      <c r="BL18" s="58" t="str">
        <f>IFERROR(VLOOKUP(LEFT(BG18,2),BASE!$C$96:$D$342,1,0),IFERROR(VLOOKUP(LEFT(BG18,1),BASE!$C$96:$D$342,1,0),BG18))</f>
        <v>வி</v>
      </c>
      <c r="BM18" s="58" t="str">
        <f>IFERROR(VLOOKUP(LEFT(BF18,2),BASE!$C$96:$D$342,1,0),IFERROR(VLOOKUP(LEFT(BF18,1),BASE!$C$96:$D$342,1,0),BF18))</f>
        <v>ல்</v>
      </c>
      <c r="BN18" s="58" t="str">
        <f>IFERROR(VLOOKUP(LEFT(BE18,2),BASE!$C$96:$D$342,1,0),IFERROR(VLOOKUP(LEFT(BE18,1),BASE!$C$96:$D$342,1,0),BE18))</f>
        <v>லை</v>
      </c>
      <c r="BO18" s="58" t="str">
        <f>IFERROR(VLOOKUP(LEFT(BD18,2),BASE!$C$96:$D$342,1,0),IFERROR(VLOOKUP(LEFT(BD18,1),BASE!$C$96:$D$342,1,0),BD18))</f>
        <v/>
      </c>
      <c r="BP18" s="58" t="str">
        <f>IFERROR(VLOOKUP(LEFT(BC18,2),BASE!$C$96:$D$342,1,0),IFERROR(VLOOKUP(LEFT(BC18,1),BASE!$C$96:$D$342,1,0),BC18))</f>
        <v/>
      </c>
      <c r="BQ18" s="58" t="str">
        <f>IFERROR(VLOOKUP(LEFT(BB18,2),BASE!$C$96:$D$342,1,0),IFERROR(VLOOKUP(LEFT(BB18,1),BASE!$C$96:$D$342,1,0),BB18))</f>
        <v/>
      </c>
      <c r="BR18" s="58" t="str">
        <f>IFERROR(VLOOKUP(LEFT(BA18,2),BASE!$C$96:$D$342,1,0),IFERROR(VLOOKUP(LEFT(BA18,1),BASE!$C$96:$D$342,1,0),BA18))</f>
        <v/>
      </c>
      <c r="BS18" s="58" t="str">
        <f>IFERROR(VLOOKUP(LEFT(AZ18,2),BASE!$C$96:$D$342,1,0),IFERROR(VLOOKUP(LEFT(AZ18,1),BASE!$C$96:$D$342,1,0),AZ18))</f>
        <v/>
      </c>
      <c r="BT18" s="186" t="str">
        <f>(IFERROR(VLOOKUP(LEFT(BI18,2),BASE!$C$96:$F$342,4,0),IFERROR(VLOOKUP(LEFT(BI18,1),BASE!$C$96:$F$342,4,0),BI18)))</f>
        <v>கு</v>
      </c>
      <c r="BU18" s="186" t="str">
        <f>(IFERROR(VLOOKUP(LEFT(BH18,2),BASE!$C$346:$F$592,4,0),IFERROR(VLOOKUP(LEFT(BH18,1),BASE!$C$346:$F$592,4,0),BH18)))</f>
        <v>ஒ</v>
      </c>
      <c r="BV18" s="186" t="str">
        <f>(IFERROR(VLOOKUP(LEFT(BG18,2),BASE!$C$346:$F$592,4,0),IFERROR(VLOOKUP(LEFT(BG18,1),BASE!$C$346:$F$592,4,0),BG18)))</f>
        <v>கு</v>
      </c>
      <c r="BW18" s="186" t="str">
        <f>(IFERROR(VLOOKUP(LEFT(BF18,2),BASE!$C$346:$F$592,4,0),IFERROR(VLOOKUP(LEFT(BF18,1),BASE!$C$346:$F$592,4,0),BF18)))</f>
        <v>ஒ</v>
      </c>
      <c r="BX18" s="186" t="str">
        <f>(IFERROR(VLOOKUP(LEFT(BE18,2),BASE!$C$346:$F$592,4,0),IFERROR(VLOOKUP(LEFT(BE18,1),BASE!$C$346:$F$592,4,0),BE18)))</f>
        <v>கு</v>
      </c>
      <c r="BY18" s="186" t="str">
        <f>(IFERROR(VLOOKUP(LEFT(BD18,2),BASE!$C$346:$F$592,4,0),IFERROR(VLOOKUP(LEFT(BD18,1),BASE!$C$346:$F$592,4,0),BD18)))</f>
        <v/>
      </c>
      <c r="BZ18" s="186" t="str">
        <f>(IFERROR(VLOOKUP(LEFT(BC18,2),BASE!$C$346:$F$592,4,0),IFERROR(VLOOKUP(LEFT(BC18,1),BASE!$C$346:$F$592,4,0),BC18)))</f>
        <v/>
      </c>
      <c r="CA18" s="186" t="str">
        <f>(IFERROR(VLOOKUP(LEFT(BB18,2),BASE!$C$346:$F$592,4,0),IFERROR(VLOOKUP(LEFT(BB18,1),BASE!$C$346:$F$592,4,0),BB18)))</f>
        <v/>
      </c>
      <c r="CB18" s="186" t="str">
        <f>(IFERROR(VLOOKUP(LEFT(BA18,2),BASE!$C$346:$F$592,4,0),IFERROR(VLOOKUP(LEFT(BA18,1),BASE!$C$346:$F$592,4,0),BA18)))</f>
        <v/>
      </c>
      <c r="CC18" s="186" t="str">
        <f>(IFERROR(VLOOKUP(LEFT(AZ18,2),BASE!$C$346:$F$592,4,0),IFERROR(VLOOKUP(LEFT(AZ18,1),BASE!$C$346:$F$592,4,0),AZ18)))</f>
        <v/>
      </c>
      <c r="CD18" s="58" t="str">
        <f t="shared" si="5"/>
        <v>குஒகுஒகு</v>
      </c>
      <c r="CE18" s="58" t="str">
        <f>IFERROR(VLOOKUP((LEFT(U18,4)),BASE!$E$12:$F$23,2,0),IFERROR(VLOOKUP((LEFT(U18,3)),BASE!$E$12:$F$23,2,0),IFERROR(VLOOKUP((LEFT(U18,2)),BASE!$E$12:$F$23,2,0),IFERROR(VLOOKUP((LEFT(U18,1)),BASE!$E$12:$F$23,2,0),U18))))</f>
        <v>நேர்</v>
      </c>
      <c r="CF18" s="58" t="str">
        <f>IFERROR(VLOOKUP((LEFT(T18,4)),BASE!$E$12:$F$24,2,0),IFERROR(VLOOKUP((LEFT(T18,3)),BASE!$E$12:$F$24,2,0),IFERROR(VLOOKUP((LEFT(T18,2)),BASE!$E$12:$F$24,2,0),IFERROR(VLOOKUP((LEFT(T18,1)),BASE!$E$12:$F$24,2,0),T18))))</f>
        <v>நேர்</v>
      </c>
      <c r="CG18" s="58" t="str">
        <f>IFERROR(VLOOKUP((LEFT(S18,4)),BASE!$E$12:$F$23,2,0),IFERROR(VLOOKUP((LEFT(S18,3)),BASE!$E$12:$F$23,2,0),IFERROR(VLOOKUP((LEFT(S18,2)),BASE!$E$12:$F$23,2,0),IFERROR(VLOOKUP((LEFT(S18,1)),BASE!$E$12:$F$23,2,0),S18))))</f>
        <v>நேர்</v>
      </c>
      <c r="CH18" s="58" t="str">
        <f>IFERROR(VLOOKUP((LEFT(R18,4)),BASE!$E$12:$F$23,2,0),IFERROR(VLOOKUP((LEFT(R18,3)),BASE!$E$12:$F$23,2,0),IFERROR(VLOOKUP((LEFT(R18,2)),BASE!$E$12:$F$23,2,0),IFERROR(VLOOKUP((LEFT(R18,1)),BASE!$E$12:$F$23,2,0),R18))))</f>
        <v/>
      </c>
      <c r="CI18" s="58" t="str">
        <f>IFERROR(VLOOKUP((LEFT(Q18,4)),BASE!$E$12:$F$23,2,0),IFERROR(VLOOKUP((LEFT(Q18,3)),BASE!$E$12:$F$23,2,0),IFERROR(VLOOKUP((LEFT(Q18,2)),BASE!$E$12:$F$23,2,0),IFERROR(VLOOKUP((LEFT(Q18,1)),BASE!$E$12:$F$23,2,0),Q18))))</f>
        <v/>
      </c>
      <c r="CJ18" s="58" t="str">
        <f>IFERROR(VLOOKUP((LEFT(P18,4)),BASE!$E$12:$F$23,2,0),IFERROR(VLOOKUP((LEFT(P18,3)),BASE!$E$12:$F$23,2,0),IFERROR(VLOOKUP((LEFT(P18,2)),BASE!$E$12:$F$23,2,0),IFERROR(VLOOKUP((LEFT(P18,1)),BASE!$E$12:$F$23,2,0),P18))))</f>
        <v/>
      </c>
      <c r="CK18" s="58" t="str">
        <f>IFERROR(VLOOKUP((LEFT(O18,4)),BASE!$E$12:$F$23,2,0),IFERROR(VLOOKUP((LEFT(O18,3)),BASE!$E$12:$F$23,2,0),IFERROR(VLOOKUP((LEFT(O18,2)),BASE!$E$12:$F$23,2,0),IFERROR(VLOOKUP((LEFT(O18,1)),BASE!$E$12:$F$23,2,0),O18))))</f>
        <v/>
      </c>
      <c r="CL18" s="58" t="str">
        <f>IFERROR(VLOOKUP((LEFT(N18,4)),BASE!$E$12:$F$23,2,0),IFERROR(VLOOKUP((LEFT(N18,3)),BASE!$E$12:$F$23,2,0),IFERROR(VLOOKUP((LEFT(N18,2)),BASE!$E$12:$F$23,2,0),IFERROR(VLOOKUP((LEFT(N18,1)),BASE!$E$12:$F$23,2,0),N18))))</f>
        <v/>
      </c>
      <c r="CM18" s="58" t="str">
        <f>IFERROR(VLOOKUP((LEFT(M18,4)),BASE!$E$12:$F$23,2,0),IFERROR(VLOOKUP((LEFT(M18,3)),BASE!$E$12:$F$23,2,0),IFERROR(VLOOKUP((LEFT(M18,2)),BASE!$E$12:$F$23,2,0),IFERROR(VLOOKUP((LEFT(M18,1)),BASE!$E$12:$F$23,2,0),M18))))</f>
        <v/>
      </c>
      <c r="CN18" s="58" t="str">
        <f>IFERROR(VLOOKUP((LEFT(L18,4)),BASE!$E$12:$F$23,2,0),IFERROR(VLOOKUP((LEFT(L18,3)),BASE!$E$12:$F$23,2,0),IFERROR(VLOOKUP((LEFT(L18,2)),BASE!$E$12:$F$23,2,0),IFERROR(VLOOKUP((LEFT(L18,1)),BASE!$E$12:$F$23,2,0),L18))))</f>
        <v/>
      </c>
      <c r="CO18" s="58" t="str">
        <f t="shared" si="6"/>
        <v>நேர்நேர்நேர்</v>
      </c>
      <c r="CP18" s="58" t="str">
        <f>VLOOKUP(CO18,BASE!$E$25:$F$79,2,0)</f>
        <v>தேமாங்காய்</v>
      </c>
      <c r="CQ18" s="58" t="str">
        <f>VLOOKUP(CO18,BASE!$E$25:$G$79,3,0)&amp;CE19</f>
        <v>காய்நேர்</v>
      </c>
      <c r="CR18" s="58" t="str">
        <f>VLOOKUP(CQ18,BASE!$E$86:$G$93,2,0)</f>
        <v>காய் முன் நேர்</v>
      </c>
      <c r="CS18" s="58" t="str">
        <f>VLOOKUP(CQ18,BASE!$E$86:$G$93,3,0)</f>
        <v>வெண்சீர் வெண்டளை</v>
      </c>
      <c r="CT18" s="58" t="str">
        <f t="shared" si="7"/>
        <v>மூவசைக்கு மிகவில்லை</v>
      </c>
      <c r="CU18" s="58" t="str">
        <f t="shared" si="8"/>
        <v>சரி</v>
      </c>
      <c r="CV18" s="193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</row>
    <row r="19" spans="1:120" s="185" customFormat="1" ht="16.8" x14ac:dyDescent="0.35">
      <c r="A19" s="119"/>
      <c r="B19" s="12">
        <f>IFERROR(VLOOKUP((LEFT(L19,4)),BASE!$E$12:$F$23,1,0),IFERROR(VLOOKUP((LEFT(L19,3)),BASE!$E$12:$F$23,1,0),IFERROR(VLOOKUP((LEFT(L19,2)),BASE!$E$12:$F$23,1,0),IFERROR(VLOOKUP((LEFT(L19,1)),BASE!$E$12:$F$23,1,0),100))))</f>
        <v>100</v>
      </c>
      <c r="C19" s="12">
        <f>IFERROR(VLOOKUP((LEFT(M19,4)),BASE!$E$12:$F$23,1,0),IFERROR(VLOOKUP((LEFT(M19,3)),BASE!$E$12:$F$23,1,0),IFERROR(VLOOKUP((LEFT(M19,2)),BASE!$E$12:$F$23,1,0),IFERROR(VLOOKUP((LEFT(M19,1)),BASE!$E$12:$F$23,1,0),100))))</f>
        <v>100</v>
      </c>
      <c r="D19" s="12">
        <f>IFERROR(VLOOKUP((LEFT(N19,4)),BASE!$E$12:$F$23,1,0),IFERROR(VLOOKUP((LEFT(N19,3)),BASE!$E$12:$F$23,1,0),IFERROR(VLOOKUP((LEFT(N19,2)),BASE!$E$12:$F$23,1,0),IFERROR(VLOOKUP((LEFT(N19,1)),BASE!$E$12:$F$23,1,0),100))))</f>
        <v>100</v>
      </c>
      <c r="E19" s="12">
        <f>IFERROR(VLOOKUP((LEFT(O19,4)),BASE!$E$12:$F$23,1,0),IFERROR(VLOOKUP((LEFT(O19,3)),BASE!$E$12:$F$23,1,0),IFERROR(VLOOKUP((LEFT(O19,2)),BASE!$E$12:$F$23,1,0),IFERROR(VLOOKUP((LEFT(O19,1)),BASE!$E$12:$F$23,1,0),100))))</f>
        <v>100</v>
      </c>
      <c r="F19" s="12">
        <f>IFERROR(VLOOKUP((LEFT(P19,4)),BASE!$E$12:$F$23,1,0),IFERROR(VLOOKUP((LEFT(P19,3)),BASE!$E$12:$F$23,1,0),IFERROR(VLOOKUP((LEFT(P19,2)),BASE!$E$12:$F$23,1,0),IFERROR(VLOOKUP((LEFT(P19,1)),BASE!$E$12:$F$23,1,0),100))))</f>
        <v>100</v>
      </c>
      <c r="G19" s="12">
        <f>IFERROR(VLOOKUP((LEFT(Q19,4)),BASE!$E$12:$F$23,1,0),IFERROR(VLOOKUP((LEFT(Q19,3)),BASE!$E$12:$F$23,1,0),IFERROR(VLOOKUP((LEFT(Q19,2)),BASE!$E$12:$F$23,1,0),IFERROR(VLOOKUP((LEFT(Q19,1)),BASE!$E$12:$F$23,1,0),100))))</f>
        <v>100</v>
      </c>
      <c r="H19" s="12">
        <f>IFERROR(VLOOKUP((LEFT(R19,4)),BASE!$E$12:$F$23,1,0),IFERROR(VLOOKUP((LEFT(R19,3)),BASE!$E$12:$F$23,1,0),IFERROR(VLOOKUP((LEFT(R19,2)),BASE!$E$12:$F$23,1,0),IFERROR(VLOOKUP((LEFT(R19,1)),BASE!$E$12:$F$23,1,0),100))))</f>
        <v>100</v>
      </c>
      <c r="I19" s="12" t="str">
        <f>IFERROR(VLOOKUP((LEFT(S19,4)),BASE!$E$12:$F$23,1,0),IFERROR(VLOOKUP((LEFT(S19,3)),BASE!$E$12:$F$23,1,0),IFERROR(VLOOKUP((LEFT(S19,2)),BASE!$E$12:$F$23,1,0),IFERROR(VLOOKUP((LEFT(S19,1)),BASE!$E$12:$F$23,1,0),100))))</f>
        <v>k</v>
      </c>
      <c r="J19" s="12" t="str">
        <f>IFERROR(VLOOKUP((LEFT(T19,4)),BASE!$E$12:$F$24,1,0),IFERROR(VLOOKUP((LEFT(T19,3)),BASE!$E$12:$F$24,1,0),IFERROR(VLOOKUP((LEFT(T19,2)),BASE!$E$12:$F$24,1,0),IFERROR(VLOOKUP((LEFT(T19,1)),BASE!$E$12:$F$24,1,0),100))))</f>
        <v>ko</v>
      </c>
      <c r="K19" s="12" t="str">
        <f>IFERROR(VLOOKUP((LEFT(U19,4)),BASE!$E$12:$F$23,1,0),IFERROR(VLOOKUP((LEFT(U19,3)),BASE!$E$12:$F$23,1,0),IFERROR(VLOOKUP((LEFT(U19,2)),BASE!$E$12:$F$23,1,0),IFERROR(VLOOKUP((LEFT(U19,1)),BASE!$E$12:$F$23,1,0),100))))</f>
        <v>ko</v>
      </c>
      <c r="L19" s="14" t="str">
        <f t="shared" si="0"/>
        <v/>
      </c>
      <c r="M19" s="14" t="str">
        <f t="shared" si="0"/>
        <v/>
      </c>
      <c r="N19" s="14" t="str">
        <f t="shared" si="0"/>
        <v/>
      </c>
      <c r="O19" s="14" t="str">
        <f t="shared" si="0"/>
        <v/>
      </c>
      <c r="P19" s="14" t="str">
        <f t="shared" si="0"/>
        <v/>
      </c>
      <c r="Q19" s="14" t="str">
        <f t="shared" si="0"/>
        <v/>
      </c>
      <c r="R19" s="14" t="str">
        <f t="shared" si="0"/>
        <v/>
      </c>
      <c r="S19" s="14" t="str">
        <f t="shared" si="0"/>
        <v>k</v>
      </c>
      <c r="T19" s="14" t="str">
        <f t="shared" si="0"/>
        <v>kok</v>
      </c>
      <c r="U19" s="14" t="str">
        <f t="shared" si="3"/>
        <v>kokok</v>
      </c>
      <c r="V19" s="13">
        <f>IFERROR(VLOOKUP(LEFT(AZ19,2),BASE!$C$96:$E$342,3,0),IFERROR(VLOOKUP(LEFT(AZ19,1),BASE!$C$96:$E$342,3,0),100))</f>
        <v>100</v>
      </c>
      <c r="W19" s="13">
        <f>IFERROR(VLOOKUP(LEFT(BA19,2),BASE!$C$96:$E$342,3,0),IFERROR(VLOOKUP(LEFT(BA19,1),BASE!$C$96:$E$342,3,0),100))</f>
        <v>100</v>
      </c>
      <c r="X19" s="13">
        <f>IFERROR(VLOOKUP(LEFT(BB19,2),BASE!$C$96:$E$342,3,0),IFERROR(VLOOKUP(LEFT(BB19,1),BASE!$C$96:$E$342,3,0),100))</f>
        <v>100</v>
      </c>
      <c r="Y19" s="13">
        <f>IFERROR(VLOOKUP(LEFT(BC19,2),BASE!$C$96:$E$342,3,0),IFERROR(VLOOKUP(LEFT(BC19,1),BASE!$C$96:$E$342,3,0),100))</f>
        <v>100</v>
      </c>
      <c r="Z19" s="13">
        <f>IFERROR(VLOOKUP(LEFT(BD19,2),BASE!$C$96:$E$342,3,0),IFERROR(VLOOKUP(LEFT(BD19,1),BASE!$C$96:$E$342,3,0),100))</f>
        <v>100</v>
      </c>
      <c r="AA19" s="13">
        <f>IFERROR(VLOOKUP(LEFT(BE19,2),BASE!$C$96:$E$342,3,0),IFERROR(VLOOKUP(LEFT(BE19,1),BASE!$C$96:$E$342,3,0),100))</f>
        <v>2</v>
      </c>
      <c r="AB19" s="13">
        <f>IFERROR(VLOOKUP(LEFT(BF19,2),BASE!$C$96:$E$342,3,0),IFERROR(VLOOKUP(LEFT(BF19,1),BASE!$C$96:$E$342,3,0),100))</f>
        <v>2</v>
      </c>
      <c r="AC19" s="13">
        <f>IFERROR(VLOOKUP(LEFT(BG19,2),BASE!$C$96:$E$342,3,0),IFERROR(VLOOKUP(LEFT(BG19,1),BASE!$C$96:$E$342,3,0),100))</f>
        <v>1</v>
      </c>
      <c r="AD19" s="13">
        <f>IFERROR(VLOOKUP(LEFT(BH19,2),BASE!$C$96:$E$342,3,0),IFERROR(VLOOKUP(LEFT(BH19,1),BASE!$C$96:$E$342,3,0),100))</f>
        <v>2</v>
      </c>
      <c r="AE19" s="13">
        <f>IFERROR(VLOOKUP(LEFT(BI19,2),BASE!$C$96:$E$342,3,0),IFERROR(VLOOKUP(LEFT(BI19,1),BASE!$C$96:$E$342,3,0),100))</f>
        <v>2</v>
      </c>
      <c r="AF19" s="187" t="str">
        <f>IF(AND(BS19=BR19,AG19="o"),"A", (IFERROR(VLOOKUP(LEFT(AZ19,2),BASE!$C$346:$D$592,2,0),IFERROR(VLOOKUP(LEFT(AZ19,1),BASE!$C$346:$D$5922,2,0),AZ19))))</f>
        <v/>
      </c>
      <c r="AG19" s="187" t="str">
        <f>IF(AND(BR19=BQ19,AH19="o"),"A", (IFERROR(VLOOKUP(LEFT(BA19,2),BASE!$C$346:$D$592,2,0),IFERROR(VLOOKUP(LEFT(BA19,1),BASE!$C$346:$D$592,2,0),BA19))))</f>
        <v/>
      </c>
      <c r="AH19" s="187" t="str">
        <f>IF(AND(BQ19=BP19,AI19="o"),"A", (IFERROR(VLOOKUP(LEFT(BB19,2),BASE!$C$346:$D$592,2,0),IFERROR(VLOOKUP(LEFT(BB19,1),BASE!$C$346:$D$592,2,0),BB19))))</f>
        <v/>
      </c>
      <c r="AI19" s="187" t="str">
        <f>IF(AND(BP19=BO19,AJ19="o"),"A", (IFERROR(VLOOKUP(LEFT(BC19,2),BASE!$C$346:$D$592,2,0),IFERROR(VLOOKUP(LEFT(BC19,1),BASE!$C$346:$D$592,2,0),BC19))))</f>
        <v/>
      </c>
      <c r="AJ19" s="187" t="str">
        <f>IF(AND(BO19=BN19,AK19="o"),"A", (IFERROR(VLOOKUP(LEFT(BD19,2),BASE!$C$346:$D$592,2,0),IFERROR(VLOOKUP(LEFT(BD19,1),BASE!$C$346:$D$592,2,0),BD19))))</f>
        <v/>
      </c>
      <c r="AK19" s="187" t="str">
        <f>IF(AND(BN19=BM19,AL19="o"),"A", (IFERROR(VLOOKUP(LEFT(BE19,2),BASE!$C$346:$D$592,2,0),IFERROR(VLOOKUP(LEFT(BE19,1),BASE!$C$346:$D$592,2,0),BE19))))</f>
        <v>k</v>
      </c>
      <c r="AL19" s="187" t="str">
        <f>IF(AND(BM19=BL19,AM19="o"),"A", (IFERROR(VLOOKUP(LEFT(BF19,2),BASE!$C$346:$D$592,2,0),IFERROR(VLOOKUP(LEFT(BF19,1),BASE!$C$346:$D$592,2,0),BF19))))</f>
        <v>o</v>
      </c>
      <c r="AM19" s="187" t="str">
        <f>IF(AND(BL19=BK19,AN19="o"),"A",(IFERROR(VLOOKUP(LEFT(BG19,2),BASE!$C$346:$D$592,2,0),IFERROR(VLOOKUP(LEFT(BG19,1),BASE!$C$346:$D$592,2,0),BG19))))</f>
        <v>k</v>
      </c>
      <c r="AN19" s="187" t="str">
        <f>(IFERROR(VLOOKUP(LEFT(BH19,2),BASE!$C$346:$D$592,2,0),IFERROR(VLOOKUP(LEFT(BH19,1),BASE!$C$346:$D$592,2,0),BH19)))</f>
        <v>o</v>
      </c>
      <c r="AO19" s="187" t="str">
        <f>(IFERROR(VLOOKUP(LEFT(BI19,2),BASE!$C$96:$D$342,2,0),IFERROR(VLOOKUP(LEFT(BI19,1),BASE!$C$96:$D$342,2,0),BI19)))</f>
        <v>k</v>
      </c>
      <c r="AP19" s="5">
        <f t="shared" si="1"/>
        <v>9</v>
      </c>
      <c r="AQ19" s="5">
        <f t="shared" si="1"/>
        <v>9</v>
      </c>
      <c r="AR19" s="5">
        <f t="shared" si="1"/>
        <v>9</v>
      </c>
      <c r="AS19" s="5">
        <f t="shared" si="1"/>
        <v>9</v>
      </c>
      <c r="AT19" s="5">
        <f t="shared" si="1"/>
        <v>9</v>
      </c>
      <c r="AU19" s="5">
        <f t="shared" si="1"/>
        <v>9</v>
      </c>
      <c r="AV19" s="5">
        <f t="shared" si="1"/>
        <v>9</v>
      </c>
      <c r="AW19" s="5">
        <f t="shared" si="1"/>
        <v>9</v>
      </c>
      <c r="AX19" s="5">
        <f t="shared" si="1"/>
        <v>9</v>
      </c>
      <c r="AY19" s="5">
        <f t="shared" si="4"/>
        <v>9</v>
      </c>
      <c r="AZ19" s="12" t="str">
        <f t="shared" si="2"/>
        <v/>
      </c>
      <c r="BA19" s="12" t="str">
        <f t="shared" si="2"/>
        <v/>
      </c>
      <c r="BB19" s="12" t="str">
        <f t="shared" si="2"/>
        <v/>
      </c>
      <c r="BC19" s="12" t="str">
        <f t="shared" si="2"/>
        <v/>
      </c>
      <c r="BD19" s="12" t="str">
        <f t="shared" si="2"/>
        <v/>
      </c>
      <c r="BE19" s="12" t="str">
        <f t="shared" si="2"/>
        <v>றி</v>
      </c>
      <c r="BF19" s="12" t="str">
        <f t="shared" si="2"/>
        <v>ன்றி</v>
      </c>
      <c r="BG19" s="12" t="str">
        <f t="shared" si="2"/>
        <v>நன்றி</v>
      </c>
      <c r="BH19" s="43" t="str">
        <f t="shared" si="2"/>
        <v>ய்நன்றி</v>
      </c>
      <c r="BI19" s="57" t="str">
        <f>CD8</f>
        <v>செய்நன்றி</v>
      </c>
      <c r="BJ19" s="58" t="str">
        <f>IFERROR(VLOOKUP(LEFT(BI19,2),BASE!$C$96:$F$342,1,0),IFERROR(VLOOKUP(LEFT(BI19,1),BASE!$C$96:$F$342,1,0),BI19))</f>
        <v>செ</v>
      </c>
      <c r="BK19" s="58" t="str">
        <f>IFERROR(VLOOKUP(LEFT(BH19,2),BASE!$C$96:$D$342,1,0),IFERROR(VLOOKUP(LEFT(BH19,1),BASE!$C$96:$D$342,1,0),BH19))</f>
        <v>ய்</v>
      </c>
      <c r="BL19" s="58" t="str">
        <f>IFERROR(VLOOKUP(LEFT(BG19,2),BASE!$C$96:$D$342,1,0),IFERROR(VLOOKUP(LEFT(BG19,1),BASE!$C$96:$D$342,1,0),BG19))</f>
        <v>ந</v>
      </c>
      <c r="BM19" s="58" t="str">
        <f>IFERROR(VLOOKUP(LEFT(BF19,2),BASE!$C$96:$D$342,1,0),IFERROR(VLOOKUP(LEFT(BF19,1),BASE!$C$96:$D$342,1,0),BF19))</f>
        <v>ன்</v>
      </c>
      <c r="BN19" s="58" t="str">
        <f>IFERROR(VLOOKUP(LEFT(BE19,2),BASE!$C$96:$D$342,1,0),IFERROR(VLOOKUP(LEFT(BE19,1),BASE!$C$96:$D$342,1,0),BE19))</f>
        <v>றி</v>
      </c>
      <c r="BO19" s="58" t="str">
        <f>IFERROR(VLOOKUP(LEFT(BD19,2),BASE!$C$96:$D$342,1,0),IFERROR(VLOOKUP(LEFT(BD19,1),BASE!$C$96:$D$342,1,0),BD19))</f>
        <v/>
      </c>
      <c r="BP19" s="58" t="str">
        <f>IFERROR(VLOOKUP(LEFT(BC19,2),BASE!$C$96:$D$342,1,0),IFERROR(VLOOKUP(LEFT(BC19,1),BASE!$C$96:$D$342,1,0),BC19))</f>
        <v/>
      </c>
      <c r="BQ19" s="58" t="str">
        <f>IFERROR(VLOOKUP(LEFT(BB19,2),BASE!$C$96:$D$342,1,0),IFERROR(VLOOKUP(LEFT(BB19,1),BASE!$C$96:$D$342,1,0),BB19))</f>
        <v/>
      </c>
      <c r="BR19" s="58" t="str">
        <f>IFERROR(VLOOKUP(LEFT(BA19,2),BASE!$C$96:$D$342,1,0),IFERROR(VLOOKUP(LEFT(BA19,1),BASE!$C$96:$D$342,1,0),BA19))</f>
        <v/>
      </c>
      <c r="BS19" s="58" t="str">
        <f>IFERROR(VLOOKUP(LEFT(AZ19,2),BASE!$C$96:$D$342,1,0),IFERROR(VLOOKUP(LEFT(AZ19,1),BASE!$C$96:$D$342,1,0),AZ19))</f>
        <v/>
      </c>
      <c r="BT19" s="186" t="str">
        <f>(IFERROR(VLOOKUP(LEFT(BI19,2),BASE!$C$96:$F$342,4,0),IFERROR(VLOOKUP(LEFT(BI19,1),BASE!$C$96:$F$342,4,0),BI19)))</f>
        <v>கு</v>
      </c>
      <c r="BU19" s="186" t="str">
        <f>(IFERROR(VLOOKUP(LEFT(BH19,2),BASE!$C$346:$F$592,4,0),IFERROR(VLOOKUP(LEFT(BH19,1),BASE!$C$346:$F$592,4,0),BH19)))</f>
        <v>ஒ</v>
      </c>
      <c r="BV19" s="186" t="str">
        <f>(IFERROR(VLOOKUP(LEFT(BG19,2),BASE!$C$346:$F$592,4,0),IFERROR(VLOOKUP(LEFT(BG19,1),BASE!$C$346:$F$592,4,0),BG19)))</f>
        <v>கு</v>
      </c>
      <c r="BW19" s="186" t="str">
        <f>(IFERROR(VLOOKUP(LEFT(BF19,2),BASE!$C$346:$F$592,4,0),IFERROR(VLOOKUP(LEFT(BF19,1),BASE!$C$346:$F$592,4,0),BF19)))</f>
        <v>ஒ</v>
      </c>
      <c r="BX19" s="186" t="str">
        <f>(IFERROR(VLOOKUP(LEFT(BE19,2),BASE!$C$346:$F$592,4,0),IFERROR(VLOOKUP(LEFT(BE19,1),BASE!$C$346:$F$592,4,0),BE19)))</f>
        <v>கு</v>
      </c>
      <c r="BY19" s="186" t="str">
        <f>(IFERROR(VLOOKUP(LEFT(BD19,2),BASE!$C$346:$F$592,4,0),IFERROR(VLOOKUP(LEFT(BD19,1),BASE!$C$346:$F$592,4,0),BD19)))</f>
        <v/>
      </c>
      <c r="BZ19" s="186" t="str">
        <f>(IFERROR(VLOOKUP(LEFT(BC19,2),BASE!$C$346:$F$592,4,0),IFERROR(VLOOKUP(LEFT(BC19,1),BASE!$C$346:$F$592,4,0),BC19)))</f>
        <v/>
      </c>
      <c r="CA19" s="186" t="str">
        <f>(IFERROR(VLOOKUP(LEFT(BB19,2),BASE!$C$346:$F$592,4,0),IFERROR(VLOOKUP(LEFT(BB19,1),BASE!$C$346:$F$592,4,0),BB19)))</f>
        <v/>
      </c>
      <c r="CB19" s="186" t="str">
        <f>(IFERROR(VLOOKUP(LEFT(BA19,2),BASE!$C$346:$F$592,4,0),IFERROR(VLOOKUP(LEFT(BA19,1),BASE!$C$346:$F$592,4,0),BA19)))</f>
        <v/>
      </c>
      <c r="CC19" s="186" t="str">
        <f>(IFERROR(VLOOKUP(LEFT(AZ19,2),BASE!$C$346:$F$592,4,0),IFERROR(VLOOKUP(LEFT(AZ19,1),BASE!$C$346:$F$592,4,0),AZ19)))</f>
        <v/>
      </c>
      <c r="CD19" s="58" t="str">
        <f t="shared" si="5"/>
        <v>குஒகுஒகு</v>
      </c>
      <c r="CE19" s="58" t="str">
        <f>IFERROR(VLOOKUP((LEFT(U19,4)),BASE!$E$12:$F$23,2,0),IFERROR(VLOOKUP((LEFT(U19,3)),BASE!$E$12:$F$23,2,0),IFERROR(VLOOKUP((LEFT(U19,2)),BASE!$E$12:$F$23,2,0),IFERROR(VLOOKUP((LEFT(U19,1)),BASE!$E$12:$F$23,2,0),U19))))</f>
        <v>நேர்</v>
      </c>
      <c r="CF19" s="58" t="str">
        <f>IFERROR(VLOOKUP((LEFT(T19,4)),BASE!$E$12:$F$24,2,0),IFERROR(VLOOKUP((LEFT(T19,3)),BASE!$E$12:$F$24,2,0),IFERROR(VLOOKUP((LEFT(T19,2)),BASE!$E$12:$F$24,2,0),IFERROR(VLOOKUP((LEFT(T19,1)),BASE!$E$12:$F$24,2,0),T19))))</f>
        <v>நேர்</v>
      </c>
      <c r="CG19" s="58" t="str">
        <f>IFERROR(VLOOKUP((LEFT(S19,4)),BASE!$E$12:$F$23,2,0),IFERROR(VLOOKUP((LEFT(S19,3)),BASE!$E$12:$F$23,2,0),IFERROR(VLOOKUP((LEFT(S19,2)),BASE!$E$12:$F$23,2,0),IFERROR(VLOOKUP((LEFT(S19,1)),BASE!$E$12:$F$23,2,0),S19))))</f>
        <v>நேர்</v>
      </c>
      <c r="CH19" s="58" t="str">
        <f>IFERROR(VLOOKUP((LEFT(R19,4)),BASE!$E$12:$F$23,2,0),IFERROR(VLOOKUP((LEFT(R19,3)),BASE!$E$12:$F$23,2,0),IFERROR(VLOOKUP((LEFT(R19,2)),BASE!$E$12:$F$23,2,0),IFERROR(VLOOKUP((LEFT(R19,1)),BASE!$E$12:$F$23,2,0),R19))))</f>
        <v/>
      </c>
      <c r="CI19" s="58" t="str">
        <f>IFERROR(VLOOKUP((LEFT(Q19,4)),BASE!$E$12:$F$23,2,0),IFERROR(VLOOKUP((LEFT(Q19,3)),BASE!$E$12:$F$23,2,0),IFERROR(VLOOKUP((LEFT(Q19,2)),BASE!$E$12:$F$23,2,0),IFERROR(VLOOKUP((LEFT(Q19,1)),BASE!$E$12:$F$23,2,0),Q19))))</f>
        <v/>
      </c>
      <c r="CJ19" s="58" t="str">
        <f>IFERROR(VLOOKUP((LEFT(P19,4)),BASE!$E$12:$F$23,2,0),IFERROR(VLOOKUP((LEFT(P19,3)),BASE!$E$12:$F$23,2,0),IFERROR(VLOOKUP((LEFT(P19,2)),BASE!$E$12:$F$23,2,0),IFERROR(VLOOKUP((LEFT(P19,1)),BASE!$E$12:$F$23,2,0),P19))))</f>
        <v/>
      </c>
      <c r="CK19" s="58" t="str">
        <f>IFERROR(VLOOKUP((LEFT(O19,4)),BASE!$E$12:$F$23,2,0),IFERROR(VLOOKUP((LEFT(O19,3)),BASE!$E$12:$F$23,2,0),IFERROR(VLOOKUP((LEFT(O19,2)),BASE!$E$12:$F$23,2,0),IFERROR(VLOOKUP((LEFT(O19,1)),BASE!$E$12:$F$23,2,0),O19))))</f>
        <v/>
      </c>
      <c r="CL19" s="58" t="str">
        <f>IFERROR(VLOOKUP((LEFT(N19,4)),BASE!$E$12:$F$23,2,0),IFERROR(VLOOKUP((LEFT(N19,3)),BASE!$E$12:$F$23,2,0),IFERROR(VLOOKUP((LEFT(N19,2)),BASE!$E$12:$F$23,2,0),IFERROR(VLOOKUP((LEFT(N19,1)),BASE!$E$12:$F$23,2,0),N19))))</f>
        <v/>
      </c>
      <c r="CM19" s="58" t="str">
        <f>IFERROR(VLOOKUP((LEFT(M19,4)),BASE!$E$12:$F$23,2,0),IFERROR(VLOOKUP((LEFT(M19,3)),BASE!$E$12:$F$23,2,0),IFERROR(VLOOKUP((LEFT(M19,2)),BASE!$E$12:$F$23,2,0),IFERROR(VLOOKUP((LEFT(M19,1)),BASE!$E$12:$F$23,2,0),M19))))</f>
        <v/>
      </c>
      <c r="CN19" s="58" t="str">
        <f>IFERROR(VLOOKUP((LEFT(L19,4)),BASE!$E$12:$F$23,2,0),IFERROR(VLOOKUP((LEFT(L19,3)),BASE!$E$12:$F$23,2,0),IFERROR(VLOOKUP((LEFT(L19,2)),BASE!$E$12:$F$23,2,0),IFERROR(VLOOKUP((LEFT(L19,1)),BASE!$E$12:$F$23,2,0),L19))))</f>
        <v/>
      </c>
      <c r="CO19" s="58" t="str">
        <f t="shared" si="6"/>
        <v>நேர்நேர்நேர்</v>
      </c>
      <c r="CP19" s="58" t="str">
        <f>VLOOKUP(CO19,BASE!$E$25:$F$79,2,0)</f>
        <v>தேமாங்காய்</v>
      </c>
      <c r="CQ19" s="58" t="str">
        <f>VLOOKUP(CO19,BASE!$E$25:$G$79,3,0)&amp;CE20</f>
        <v>காய்நேர்</v>
      </c>
      <c r="CR19" s="58" t="str">
        <f>VLOOKUP(CQ19,BASE!$E$86:$G$93,2,0)</f>
        <v>காய் முன் நேர்</v>
      </c>
      <c r="CS19" s="58" t="str">
        <f>VLOOKUP(CQ19,BASE!$E$86:$G$93,3,0)</f>
        <v>வெண்சீர் வெண்டளை</v>
      </c>
      <c r="CT19" s="58" t="str">
        <f t="shared" si="7"/>
        <v>மூவசைக்கு மிகவில்லை</v>
      </c>
      <c r="CU19" s="58" t="str">
        <f t="shared" si="8"/>
        <v>சரி</v>
      </c>
      <c r="CV19" s="193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</row>
    <row r="20" spans="1:120" s="185" customFormat="1" ht="16.8" x14ac:dyDescent="0.35">
      <c r="A20" s="119"/>
      <c r="B20" s="12">
        <f>IFERROR(VLOOKUP((LEFT(L20,4)),BASE!$E$12:$F$23,1,0),IFERROR(VLOOKUP((LEFT(L20,3)),BASE!$E$12:$F$23,1,0),IFERROR(VLOOKUP((LEFT(L20,2)),BASE!$E$12:$F$23,1,0),IFERROR(VLOOKUP((LEFT(L20,1)),BASE!$E$12:$F$23,1,0),100))))</f>
        <v>100</v>
      </c>
      <c r="C20" s="12">
        <f>IFERROR(VLOOKUP((LEFT(M20,4)),BASE!$E$12:$F$23,1,0),IFERROR(VLOOKUP((LEFT(M20,3)),BASE!$E$12:$F$23,1,0),IFERROR(VLOOKUP((LEFT(M20,2)),BASE!$E$12:$F$23,1,0),IFERROR(VLOOKUP((LEFT(M20,1)),BASE!$E$12:$F$23,1,0),100))))</f>
        <v>100</v>
      </c>
      <c r="D20" s="12">
        <f>IFERROR(VLOOKUP((LEFT(N20,4)),BASE!$E$12:$F$23,1,0),IFERROR(VLOOKUP((LEFT(N20,3)),BASE!$E$12:$F$23,1,0),IFERROR(VLOOKUP((LEFT(N20,2)),BASE!$E$12:$F$23,1,0),IFERROR(VLOOKUP((LEFT(N20,1)),BASE!$E$12:$F$23,1,0),100))))</f>
        <v>100</v>
      </c>
      <c r="E20" s="12">
        <f>IFERROR(VLOOKUP((LEFT(O20,4)),BASE!$E$12:$F$23,1,0),IFERROR(VLOOKUP((LEFT(O20,3)),BASE!$E$12:$F$23,1,0),IFERROR(VLOOKUP((LEFT(O20,2)),BASE!$E$12:$F$23,1,0),IFERROR(VLOOKUP((LEFT(O20,1)),BASE!$E$12:$F$23,1,0),100))))</f>
        <v>100</v>
      </c>
      <c r="F20" s="12">
        <f>IFERROR(VLOOKUP((LEFT(P20,4)),BASE!$E$12:$F$23,1,0),IFERROR(VLOOKUP((LEFT(P20,3)),BASE!$E$12:$F$23,1,0),IFERROR(VLOOKUP((LEFT(P20,2)),BASE!$E$12:$F$23,1,0),IFERROR(VLOOKUP((LEFT(P20,1)),BASE!$E$12:$F$23,1,0),100))))</f>
        <v>100</v>
      </c>
      <c r="G20" s="12">
        <f>IFERROR(VLOOKUP((LEFT(Q20,4)),BASE!$E$12:$F$23,1,0),IFERROR(VLOOKUP((LEFT(Q20,3)),BASE!$E$12:$F$23,1,0),IFERROR(VLOOKUP((LEFT(Q20,2)),BASE!$E$12:$F$23,1,0),IFERROR(VLOOKUP((LEFT(Q20,1)),BASE!$E$12:$F$23,1,0),100))))</f>
        <v>100</v>
      </c>
      <c r="H20" s="12">
        <f>IFERROR(VLOOKUP((LEFT(R20,4)),BASE!$E$12:$F$23,1,0),IFERROR(VLOOKUP((LEFT(R20,3)),BASE!$E$12:$F$23,1,0),IFERROR(VLOOKUP((LEFT(R20,2)),BASE!$E$12:$F$23,1,0),IFERROR(VLOOKUP((LEFT(R20,1)),BASE!$E$12:$F$23,1,0),100))))</f>
        <v>100</v>
      </c>
      <c r="I20" s="12">
        <f>IFERROR(VLOOKUP((LEFT(S20,4)),BASE!$E$12:$F$23,1,0),IFERROR(VLOOKUP((LEFT(S20,3)),BASE!$E$12:$F$23,1,0),IFERROR(VLOOKUP((LEFT(S20,2)),BASE!$E$12:$F$23,1,0),IFERROR(VLOOKUP((LEFT(S20,1)),BASE!$E$12:$F$23,1,0),100))))</f>
        <v>100</v>
      </c>
      <c r="J20" s="12" t="str">
        <f>IFERROR(VLOOKUP((LEFT(T20,4)),BASE!$E$12:$F$24,1,0),IFERROR(VLOOKUP((LEFT(T20,3)),BASE!$E$12:$F$24,1,0),IFERROR(VLOOKUP((LEFT(T20,2)),BASE!$E$12:$F$24,1,0),IFERROR(VLOOKUP((LEFT(T20,1)),BASE!$E$12:$F$24,1,0),100))))</f>
        <v>k</v>
      </c>
      <c r="K20" s="12" t="str">
        <f>IFERROR(VLOOKUP((LEFT(U20,4)),BASE!$E$12:$F$23,1,0),IFERROR(VLOOKUP((LEFT(U20,3)),BASE!$E$12:$F$23,1,0),IFERROR(VLOOKUP((LEFT(U20,2)),BASE!$E$12:$F$23,1,0),IFERROR(VLOOKUP((LEFT(U20,1)),BASE!$E$12:$F$23,1,0),100))))</f>
        <v>ko</v>
      </c>
      <c r="L20" s="14" t="str">
        <f t="shared" si="0"/>
        <v/>
      </c>
      <c r="M20" s="14" t="str">
        <f t="shared" si="0"/>
        <v/>
      </c>
      <c r="N20" s="14" t="str">
        <f t="shared" si="0"/>
        <v/>
      </c>
      <c r="O20" s="14" t="str">
        <f t="shared" si="0"/>
        <v/>
      </c>
      <c r="P20" s="14" t="str">
        <f t="shared" si="0"/>
        <v/>
      </c>
      <c r="Q20" s="14" t="str">
        <f t="shared" si="0"/>
        <v/>
      </c>
      <c r="R20" s="14" t="str">
        <f t="shared" si="0"/>
        <v/>
      </c>
      <c r="S20" s="14" t="str">
        <f t="shared" si="0"/>
        <v/>
      </c>
      <c r="T20" s="14" t="str">
        <f t="shared" si="0"/>
        <v>k</v>
      </c>
      <c r="U20" s="14" t="str">
        <f t="shared" si="3"/>
        <v>kok</v>
      </c>
      <c r="V20" s="13">
        <f>IFERROR(VLOOKUP(LEFT(AZ20,2),BASE!$C$96:$E$342,3,0),IFERROR(VLOOKUP(LEFT(AZ20,1),BASE!$C$96:$E$342,3,0),100))</f>
        <v>100</v>
      </c>
      <c r="W20" s="13">
        <f>IFERROR(VLOOKUP(LEFT(BA20,2),BASE!$C$96:$E$342,3,0),IFERROR(VLOOKUP(LEFT(BA20,1),BASE!$C$96:$E$342,3,0),100))</f>
        <v>100</v>
      </c>
      <c r="X20" s="13">
        <f>IFERROR(VLOOKUP(LEFT(BB20,2),BASE!$C$96:$E$342,3,0),IFERROR(VLOOKUP(LEFT(BB20,1),BASE!$C$96:$E$342,3,0),100))</f>
        <v>100</v>
      </c>
      <c r="Y20" s="13">
        <f>IFERROR(VLOOKUP(LEFT(BC20,2),BASE!$C$96:$E$342,3,0),IFERROR(VLOOKUP(LEFT(BC20,1),BASE!$C$96:$E$342,3,0),100))</f>
        <v>100</v>
      </c>
      <c r="Z20" s="13">
        <f>IFERROR(VLOOKUP(LEFT(BD20,2),BASE!$C$96:$E$342,3,0),IFERROR(VLOOKUP(LEFT(BD20,1),BASE!$C$96:$E$342,3,0),100))</f>
        <v>100</v>
      </c>
      <c r="AA20" s="13">
        <f>IFERROR(VLOOKUP(LEFT(BE20,2),BASE!$C$96:$E$342,3,0),IFERROR(VLOOKUP(LEFT(BE20,1),BASE!$C$96:$E$342,3,0),100))</f>
        <v>100</v>
      </c>
      <c r="AB20" s="13">
        <f>IFERROR(VLOOKUP(LEFT(BF20,2),BASE!$C$96:$E$342,3,0),IFERROR(VLOOKUP(LEFT(BF20,1),BASE!$C$96:$E$342,3,0),100))</f>
        <v>100</v>
      </c>
      <c r="AC20" s="13">
        <f>IFERROR(VLOOKUP(LEFT(BG20,2),BASE!$C$96:$E$342,3,0),IFERROR(VLOOKUP(LEFT(BG20,1),BASE!$C$96:$E$342,3,0),100))</f>
        <v>1</v>
      </c>
      <c r="AD20" s="13">
        <f>IFERROR(VLOOKUP(LEFT(BH20,2),BASE!$C$96:$E$342,3,0),IFERROR(VLOOKUP(LEFT(BH20,1),BASE!$C$96:$E$342,3,0),100))</f>
        <v>2</v>
      </c>
      <c r="AE20" s="13">
        <f>IFERROR(VLOOKUP(LEFT(BI20,2),BASE!$C$96:$E$342,3,0),IFERROR(VLOOKUP(LEFT(BI20,1),BASE!$C$96:$E$342,3,0),100))</f>
        <v>2</v>
      </c>
      <c r="AF20" s="187" t="str">
        <f>IF(AND(BS20=BR20,AG20="o"),"A", (IFERROR(VLOOKUP(LEFT(AZ20,2),BASE!$C$346:$D$592,2,0),IFERROR(VLOOKUP(LEFT(AZ20,1),BASE!$C$346:$D$5922,2,0),AZ20))))</f>
        <v/>
      </c>
      <c r="AG20" s="187" t="str">
        <f>IF(AND(BR20=BQ20,AH20="o"),"A", (IFERROR(VLOOKUP(LEFT(BA20,2),BASE!$C$346:$D$592,2,0),IFERROR(VLOOKUP(LEFT(BA20,1),BASE!$C$346:$D$592,2,0),BA20))))</f>
        <v/>
      </c>
      <c r="AH20" s="187" t="str">
        <f>IF(AND(BQ20=BP20,AI20="o"),"A", (IFERROR(VLOOKUP(LEFT(BB20,2),BASE!$C$346:$D$592,2,0),IFERROR(VLOOKUP(LEFT(BB20,1),BASE!$C$346:$D$592,2,0),BB20))))</f>
        <v/>
      </c>
      <c r="AI20" s="187" t="str">
        <f>IF(AND(BP20=BO20,AJ20="o"),"A", (IFERROR(VLOOKUP(LEFT(BC20,2),BASE!$C$346:$D$592,2,0),IFERROR(VLOOKUP(LEFT(BC20,1),BASE!$C$346:$D$592,2,0),BC20))))</f>
        <v/>
      </c>
      <c r="AJ20" s="187" t="str">
        <f>IF(AND(BO20=BN20,AK20="o"),"A", (IFERROR(VLOOKUP(LEFT(BD20,2),BASE!$C$346:$D$592,2,0),IFERROR(VLOOKUP(LEFT(BD20,1),BASE!$C$346:$D$592,2,0),BD20))))</f>
        <v/>
      </c>
      <c r="AK20" s="187" t="str">
        <f>IF(AND(BN20=BM20,AL20="o"),"A", (IFERROR(VLOOKUP(LEFT(BE20,2),BASE!$C$346:$D$592,2,0),IFERROR(VLOOKUP(LEFT(BE20,1),BASE!$C$346:$D$592,2,0),BE20))))</f>
        <v/>
      </c>
      <c r="AL20" s="187" t="str">
        <f>IF(AND(BM20=BL20,AM20="o"),"A", (IFERROR(VLOOKUP(LEFT(BF20,2),BASE!$C$346:$D$592,2,0),IFERROR(VLOOKUP(LEFT(BF20,1),BASE!$C$346:$D$592,2,0),BF20))))</f>
        <v/>
      </c>
      <c r="AM20" s="187" t="str">
        <f>IF(AND(BL20=BK20,AN20="o"),"A",(IFERROR(VLOOKUP(LEFT(BG20,2),BASE!$C$346:$D$592,2,0),IFERROR(VLOOKUP(LEFT(BG20,1),BASE!$C$346:$D$592,2,0),BG20))))</f>
        <v>k</v>
      </c>
      <c r="AN20" s="187" t="str">
        <f>(IFERROR(VLOOKUP(LEFT(BH20,2),BASE!$C$346:$D$592,2,0),IFERROR(VLOOKUP(LEFT(BH20,1),BASE!$C$346:$D$592,2,0),BH20)))</f>
        <v>o</v>
      </c>
      <c r="AO20" s="187" t="str">
        <f>(IFERROR(VLOOKUP(LEFT(BI20,2),BASE!$C$96:$D$342,2,0),IFERROR(VLOOKUP(LEFT(BI20,1),BASE!$C$96:$D$342,2,0),BI20)))</f>
        <v>k</v>
      </c>
      <c r="AP20" s="5">
        <f t="shared" si="1"/>
        <v>5</v>
      </c>
      <c r="AQ20" s="5">
        <f t="shared" si="1"/>
        <v>5</v>
      </c>
      <c r="AR20" s="5">
        <f t="shared" si="1"/>
        <v>5</v>
      </c>
      <c r="AS20" s="5">
        <f t="shared" si="1"/>
        <v>5</v>
      </c>
      <c r="AT20" s="5">
        <f t="shared" si="1"/>
        <v>5</v>
      </c>
      <c r="AU20" s="5">
        <f t="shared" si="1"/>
        <v>5</v>
      </c>
      <c r="AV20" s="5">
        <f t="shared" si="1"/>
        <v>5</v>
      </c>
      <c r="AW20" s="5">
        <f t="shared" si="1"/>
        <v>5</v>
      </c>
      <c r="AX20" s="5">
        <f t="shared" si="1"/>
        <v>5</v>
      </c>
      <c r="AY20" s="5">
        <f t="shared" si="4"/>
        <v>5</v>
      </c>
      <c r="AZ20" s="12" t="str">
        <f t="shared" si="2"/>
        <v/>
      </c>
      <c r="BA20" s="12" t="str">
        <f t="shared" si="2"/>
        <v/>
      </c>
      <c r="BB20" s="12" t="str">
        <f t="shared" si="2"/>
        <v/>
      </c>
      <c r="BC20" s="12" t="str">
        <f t="shared" si="2"/>
        <v/>
      </c>
      <c r="BD20" s="12" t="str">
        <f t="shared" si="2"/>
        <v/>
      </c>
      <c r="BE20" s="12" t="str">
        <f t="shared" si="2"/>
        <v/>
      </c>
      <c r="BF20" s="12" t="str">
        <f t="shared" si="2"/>
        <v/>
      </c>
      <c r="BG20" s="12" t="str">
        <f t="shared" si="2"/>
        <v>ற</v>
      </c>
      <c r="BH20" s="43" t="str">
        <f t="shared" si="2"/>
        <v>ன்ற</v>
      </c>
      <c r="BI20" s="57" t="str">
        <f>CE8</f>
        <v>கொன்ற</v>
      </c>
      <c r="BJ20" s="58" t="str">
        <f>IFERROR(VLOOKUP(LEFT(BI20,2),BASE!$C$96:$F$342,1,0),IFERROR(VLOOKUP(LEFT(BI20,1),BASE!$C$96:$F$342,1,0),BI20))</f>
        <v>கொ</v>
      </c>
      <c r="BK20" s="58" t="str">
        <f>IFERROR(VLOOKUP(LEFT(BH20,2),BASE!$C$96:$D$342,1,0),IFERROR(VLOOKUP(LEFT(BH20,1),BASE!$C$96:$D$342,1,0),BH20))</f>
        <v>ன்</v>
      </c>
      <c r="BL20" s="58" t="str">
        <f>IFERROR(VLOOKUP(LEFT(BG20,2),BASE!$C$96:$D$342,1,0),IFERROR(VLOOKUP(LEFT(BG20,1),BASE!$C$96:$D$342,1,0),BG20))</f>
        <v>ற</v>
      </c>
      <c r="BM20" s="58" t="str">
        <f>IFERROR(VLOOKUP(LEFT(BF20,2),BASE!$C$96:$D$342,1,0),IFERROR(VLOOKUP(LEFT(BF20,1),BASE!$C$96:$D$342,1,0),BF20))</f>
        <v/>
      </c>
      <c r="BN20" s="58" t="str">
        <f>IFERROR(VLOOKUP(LEFT(BE20,2),BASE!$C$96:$D$342,1,0),IFERROR(VLOOKUP(LEFT(BE20,1),BASE!$C$96:$D$342,1,0),BE20))</f>
        <v/>
      </c>
      <c r="BO20" s="58" t="str">
        <f>IFERROR(VLOOKUP(LEFT(BD20,2),BASE!$C$96:$D$342,1,0),IFERROR(VLOOKUP(LEFT(BD20,1),BASE!$C$96:$D$342,1,0),BD20))</f>
        <v/>
      </c>
      <c r="BP20" s="58" t="str">
        <f>IFERROR(VLOOKUP(LEFT(BC20,2),BASE!$C$96:$D$342,1,0),IFERROR(VLOOKUP(LEFT(BC20,1),BASE!$C$96:$D$342,1,0),BC20))</f>
        <v/>
      </c>
      <c r="BQ20" s="58" t="str">
        <f>IFERROR(VLOOKUP(LEFT(BB20,2),BASE!$C$96:$D$342,1,0),IFERROR(VLOOKUP(LEFT(BB20,1),BASE!$C$96:$D$342,1,0),BB20))</f>
        <v/>
      </c>
      <c r="BR20" s="58" t="str">
        <f>IFERROR(VLOOKUP(LEFT(BA20,2),BASE!$C$96:$D$342,1,0),IFERROR(VLOOKUP(LEFT(BA20,1),BASE!$C$96:$D$342,1,0),BA20))</f>
        <v/>
      </c>
      <c r="BS20" s="58" t="str">
        <f>IFERROR(VLOOKUP(LEFT(AZ20,2),BASE!$C$96:$D$342,1,0),IFERROR(VLOOKUP(LEFT(AZ20,1),BASE!$C$96:$D$342,1,0),AZ20))</f>
        <v/>
      </c>
      <c r="BT20" s="186" t="str">
        <f>(IFERROR(VLOOKUP(LEFT(BI20,2),BASE!$C$96:$F$342,4,0),IFERROR(VLOOKUP(LEFT(BI20,1),BASE!$C$96:$F$342,4,0),BI20)))</f>
        <v>கு</v>
      </c>
      <c r="BU20" s="186" t="str">
        <f>(IFERROR(VLOOKUP(LEFT(BH20,2),BASE!$C$346:$F$592,4,0),IFERROR(VLOOKUP(LEFT(BH20,1),BASE!$C$346:$F$592,4,0),BH20)))</f>
        <v>ஒ</v>
      </c>
      <c r="BV20" s="186" t="str">
        <f>(IFERROR(VLOOKUP(LEFT(BG20,2),BASE!$C$346:$F$592,4,0),IFERROR(VLOOKUP(LEFT(BG20,1),BASE!$C$346:$F$592,4,0),BG20)))</f>
        <v>கு</v>
      </c>
      <c r="BW20" s="186" t="str">
        <f>(IFERROR(VLOOKUP(LEFT(BF20,2),BASE!$C$346:$F$592,4,0),IFERROR(VLOOKUP(LEFT(BF20,1),BASE!$C$346:$F$592,4,0),BF20)))</f>
        <v/>
      </c>
      <c r="BX20" s="186" t="str">
        <f>(IFERROR(VLOOKUP(LEFT(BE20,2),BASE!$C$346:$F$592,4,0),IFERROR(VLOOKUP(LEFT(BE20,1),BASE!$C$346:$F$592,4,0),BE20)))</f>
        <v/>
      </c>
      <c r="BY20" s="186" t="str">
        <f>(IFERROR(VLOOKUP(LEFT(BD20,2),BASE!$C$346:$F$592,4,0),IFERROR(VLOOKUP(LEFT(BD20,1),BASE!$C$346:$F$592,4,0),BD20)))</f>
        <v/>
      </c>
      <c r="BZ20" s="186" t="str">
        <f>(IFERROR(VLOOKUP(LEFT(BC20,2),BASE!$C$346:$F$592,4,0),IFERROR(VLOOKUP(LEFT(BC20,1),BASE!$C$346:$F$592,4,0),BC20)))</f>
        <v/>
      </c>
      <c r="CA20" s="186" t="str">
        <f>(IFERROR(VLOOKUP(LEFT(BB20,2),BASE!$C$346:$F$592,4,0),IFERROR(VLOOKUP(LEFT(BB20,1),BASE!$C$346:$F$592,4,0),BB20)))</f>
        <v/>
      </c>
      <c r="CB20" s="186" t="str">
        <f>(IFERROR(VLOOKUP(LEFT(BA20,2),BASE!$C$346:$F$592,4,0),IFERROR(VLOOKUP(LEFT(BA20,1),BASE!$C$346:$F$592,4,0),BA20)))</f>
        <v/>
      </c>
      <c r="CC20" s="186" t="str">
        <f>(IFERROR(VLOOKUP(LEFT(AZ20,2),BASE!$C$346:$F$592,4,0),IFERROR(VLOOKUP(LEFT(AZ20,1),BASE!$C$346:$F$592,4,0),AZ20)))</f>
        <v/>
      </c>
      <c r="CD20" s="58" t="str">
        <f t="shared" si="5"/>
        <v>குஒகு</v>
      </c>
      <c r="CE20" s="58" t="str">
        <f>IFERROR(VLOOKUP((LEFT(U20,4)),BASE!$E$12:$F$23,2,0),IFERROR(VLOOKUP((LEFT(U20,3)),BASE!$E$12:$F$23,2,0),IFERROR(VLOOKUP((LEFT(U20,2)),BASE!$E$12:$F$23,2,0),IFERROR(VLOOKUP((LEFT(U20,1)),BASE!$E$12:$F$23,2,0),U20))))</f>
        <v>நேர்</v>
      </c>
      <c r="CF20" s="58" t="str">
        <f>IFERROR(VLOOKUP((LEFT(T20,4)),BASE!$E$12:$F$24,2,0),IFERROR(VLOOKUP((LEFT(T20,3)),BASE!$E$12:$F$24,2,0),IFERROR(VLOOKUP((LEFT(T20,2)),BASE!$E$12:$F$24,2,0),IFERROR(VLOOKUP((LEFT(T20,1)),BASE!$E$12:$F$24,2,0),T20))))</f>
        <v>நேர்</v>
      </c>
      <c r="CG20" s="58" t="str">
        <f>IFERROR(VLOOKUP((LEFT(S20,4)),BASE!$E$12:$F$23,2,0),IFERROR(VLOOKUP((LEFT(S20,3)),BASE!$E$12:$F$23,2,0),IFERROR(VLOOKUP((LEFT(S20,2)),BASE!$E$12:$F$23,2,0),IFERROR(VLOOKUP((LEFT(S20,1)),BASE!$E$12:$F$23,2,0),S20))))</f>
        <v/>
      </c>
      <c r="CH20" s="58" t="str">
        <f>IFERROR(VLOOKUP((LEFT(R20,4)),BASE!$E$12:$F$23,2,0),IFERROR(VLOOKUP((LEFT(R20,3)),BASE!$E$12:$F$23,2,0),IFERROR(VLOOKUP((LEFT(R20,2)),BASE!$E$12:$F$23,2,0),IFERROR(VLOOKUP((LEFT(R20,1)),BASE!$E$12:$F$23,2,0),R20))))</f>
        <v/>
      </c>
      <c r="CI20" s="58" t="str">
        <f>IFERROR(VLOOKUP((LEFT(Q20,4)),BASE!$E$12:$F$23,2,0),IFERROR(VLOOKUP((LEFT(Q20,3)),BASE!$E$12:$F$23,2,0),IFERROR(VLOOKUP((LEFT(Q20,2)),BASE!$E$12:$F$23,2,0),IFERROR(VLOOKUP((LEFT(Q20,1)),BASE!$E$12:$F$23,2,0),Q20))))</f>
        <v/>
      </c>
      <c r="CJ20" s="58" t="str">
        <f>IFERROR(VLOOKUP((LEFT(P20,4)),BASE!$E$12:$F$23,2,0),IFERROR(VLOOKUP((LEFT(P20,3)),BASE!$E$12:$F$23,2,0),IFERROR(VLOOKUP((LEFT(P20,2)),BASE!$E$12:$F$23,2,0),IFERROR(VLOOKUP((LEFT(P20,1)),BASE!$E$12:$F$23,2,0),P20))))</f>
        <v/>
      </c>
      <c r="CK20" s="58" t="str">
        <f>IFERROR(VLOOKUP((LEFT(O20,4)),BASE!$E$12:$F$23,2,0),IFERROR(VLOOKUP((LEFT(O20,3)),BASE!$E$12:$F$23,2,0),IFERROR(VLOOKUP((LEFT(O20,2)),BASE!$E$12:$F$23,2,0),IFERROR(VLOOKUP((LEFT(O20,1)),BASE!$E$12:$F$23,2,0),O20))))</f>
        <v/>
      </c>
      <c r="CL20" s="58" t="str">
        <f>IFERROR(VLOOKUP((LEFT(N20,4)),BASE!$E$12:$F$23,2,0),IFERROR(VLOOKUP((LEFT(N20,3)),BASE!$E$12:$F$23,2,0),IFERROR(VLOOKUP((LEFT(N20,2)),BASE!$E$12:$F$23,2,0),IFERROR(VLOOKUP((LEFT(N20,1)),BASE!$E$12:$F$23,2,0),N20))))</f>
        <v/>
      </c>
      <c r="CM20" s="58" t="str">
        <f>IFERROR(VLOOKUP((LEFT(M20,4)),BASE!$E$12:$F$23,2,0),IFERROR(VLOOKUP((LEFT(M20,3)),BASE!$E$12:$F$23,2,0),IFERROR(VLOOKUP((LEFT(M20,2)),BASE!$E$12:$F$23,2,0),IFERROR(VLOOKUP((LEFT(M20,1)),BASE!$E$12:$F$23,2,0),M20))))</f>
        <v/>
      </c>
      <c r="CN20" s="58" t="str">
        <f>IFERROR(VLOOKUP((LEFT(L20,4)),BASE!$E$12:$F$23,2,0),IFERROR(VLOOKUP((LEFT(L20,3)),BASE!$E$12:$F$23,2,0),IFERROR(VLOOKUP((LEFT(L20,2)),BASE!$E$12:$F$23,2,0),IFERROR(VLOOKUP((LEFT(L20,1)),BASE!$E$12:$F$23,2,0),L20))))</f>
        <v/>
      </c>
      <c r="CO20" s="58" t="str">
        <f t="shared" si="6"/>
        <v>நேர்நேர்</v>
      </c>
      <c r="CP20" s="58" t="str">
        <f>VLOOKUP(CO20,BASE!$E$25:$F$79,2,0)</f>
        <v>தேமா</v>
      </c>
      <c r="CQ20" s="58" t="str">
        <f>VLOOKUP(CO20,BASE!$E$25:$G$79,3,0)&amp;CE21</f>
        <v>மாநிரை</v>
      </c>
      <c r="CR20" s="58" t="str">
        <f>VLOOKUP(CQ20,BASE!$E$86:$G$93,2,0)</f>
        <v>மாமுன் நிரை</v>
      </c>
      <c r="CS20" s="58" t="str">
        <f>VLOOKUP(CQ20,BASE!$E$86:$G$93,3,0)</f>
        <v>இயற்சீர் வெண்டளை</v>
      </c>
      <c r="CT20" s="58" t="str">
        <f t="shared" si="7"/>
        <v>மூவசைக்கு மிகவில்லை</v>
      </c>
      <c r="CU20" s="58" t="str">
        <f t="shared" si="8"/>
        <v>சரி</v>
      </c>
      <c r="CV20" s="193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</row>
    <row r="21" spans="1:120" ht="19.5" customHeight="1" x14ac:dyDescent="0.35">
      <c r="A21" s="119"/>
      <c r="B21" s="12">
        <f>IFERROR(VLOOKUP((LEFT(L21,4)),BASE!$E$12:$F$23,1,0),IFERROR(VLOOKUP((LEFT(L21,3)),BASE!$E$12:$F$23,1,0),IFERROR(VLOOKUP((LEFT(L21,2)),BASE!$E$12:$F$23,1,0),IFERROR(VLOOKUP((LEFT(L21,1)),BASE!$E$12:$F$23,1,0),100))))</f>
        <v>100</v>
      </c>
      <c r="C21" s="12">
        <f>IFERROR(VLOOKUP((LEFT(M21,4)),BASE!$E$12:$F$23,1,0),IFERROR(VLOOKUP((LEFT(M21,3)),BASE!$E$12:$F$23,1,0),IFERROR(VLOOKUP((LEFT(M21,2)),BASE!$E$12:$F$23,1,0),IFERROR(VLOOKUP((LEFT(M21,1)),BASE!$E$12:$F$23,1,0),100))))</f>
        <v>100</v>
      </c>
      <c r="D21" s="12">
        <f>IFERROR(VLOOKUP((LEFT(N21,4)),BASE!$E$12:$F$23,1,0),IFERROR(VLOOKUP((LEFT(N21,3)),BASE!$E$12:$F$23,1,0),IFERROR(VLOOKUP((LEFT(N21,2)),BASE!$E$12:$F$23,1,0),IFERROR(VLOOKUP((LEFT(N21,1)),BASE!$E$12:$F$23,1,0),100))))</f>
        <v>100</v>
      </c>
      <c r="E21" s="12">
        <f>IFERROR(VLOOKUP((LEFT(O21,4)),BASE!$E$12:$F$23,1,0),IFERROR(VLOOKUP((LEFT(O21,3)),BASE!$E$12:$F$23,1,0),IFERROR(VLOOKUP((LEFT(O21,2)),BASE!$E$12:$F$23,1,0),IFERROR(VLOOKUP((LEFT(O21,1)),BASE!$E$12:$F$23,1,0),100))))</f>
        <v>100</v>
      </c>
      <c r="F21" s="12">
        <f>IFERROR(VLOOKUP((LEFT(P21,4)),BASE!$E$12:$F$23,1,0),IFERROR(VLOOKUP((LEFT(P21,3)),BASE!$E$12:$F$23,1,0),IFERROR(VLOOKUP((LEFT(P21,2)),BASE!$E$12:$F$23,1,0),IFERROR(VLOOKUP((LEFT(P21,1)),BASE!$E$12:$F$23,1,0),100))))</f>
        <v>100</v>
      </c>
      <c r="G21" s="12">
        <f>IFERROR(VLOOKUP((LEFT(Q21,4)),BASE!$E$12:$F$23,1,0),IFERROR(VLOOKUP((LEFT(Q21,3)),BASE!$E$12:$F$23,1,0),IFERROR(VLOOKUP((LEFT(Q21,2)),BASE!$E$12:$F$23,1,0),IFERROR(VLOOKUP((LEFT(Q21,1)),BASE!$E$12:$F$23,1,0),100))))</f>
        <v>100</v>
      </c>
      <c r="H21" s="12">
        <f>IFERROR(VLOOKUP((LEFT(R21,4)),BASE!$E$12:$F$23,1,0),IFERROR(VLOOKUP((LEFT(R21,3)),BASE!$E$12:$F$23,1,0),IFERROR(VLOOKUP((LEFT(R21,2)),BASE!$E$12:$F$23,1,0),IFERROR(VLOOKUP((LEFT(R21,1)),BASE!$E$12:$F$23,1,0),100))))</f>
        <v>100</v>
      </c>
      <c r="I21" s="12">
        <f>IFERROR(VLOOKUP((LEFT(S21,4)),BASE!$E$12:$F$23,1,0),IFERROR(VLOOKUP((LEFT(S21,3)),BASE!$E$12:$F$23,1,0),IFERROR(VLOOKUP((LEFT(S21,2)),BASE!$E$12:$F$23,1,0),IFERROR(VLOOKUP((LEFT(S21,1)),BASE!$E$12:$F$23,1,0),100))))</f>
        <v>100</v>
      </c>
      <c r="J21" s="12" t="str">
        <f>IFERROR(VLOOKUP((LEFT(T21,4)),BASE!$E$12:$F$24,1,0),IFERROR(VLOOKUP((LEFT(T21,3)),BASE!$E$12:$F$24,1,0),IFERROR(VLOOKUP((LEFT(T21,2)),BASE!$E$12:$F$24,1,0),IFERROR(VLOOKUP((LEFT(T21,1)),BASE!$E$12:$F$24,1,0),100))))</f>
        <v>k</v>
      </c>
      <c r="K21" s="12" t="str">
        <f>IFERROR(VLOOKUP((LEFT(U21,4)),BASE!$E$12:$F$23,1,0),IFERROR(VLOOKUP((LEFT(U21,3)),BASE!$E$12:$F$23,1,0),IFERROR(VLOOKUP((LEFT(U21,2)),BASE!$E$12:$F$23,1,0),IFERROR(VLOOKUP((LEFT(U21,1)),BASE!$E$12:$F$23,1,0),100))))</f>
        <v>kko</v>
      </c>
      <c r="L21" s="14" t="str">
        <f t="shared" ref="L21" si="9">MID(M21,LEN(C21)+1,(LEN(M21)))</f>
        <v/>
      </c>
      <c r="M21" s="14" t="str">
        <f t="shared" ref="M21" si="10">MID(N21,LEN(D21)+1,(LEN(N21)))</f>
        <v/>
      </c>
      <c r="N21" s="14" t="str">
        <f t="shared" ref="N21" si="11">MID(O21,LEN(E21)+1,(LEN(O21)))</f>
        <v/>
      </c>
      <c r="O21" s="14" t="str">
        <f t="shared" ref="O21" si="12">MID(P21,LEN(F21)+1,(LEN(P21)))</f>
        <v/>
      </c>
      <c r="P21" s="14" t="str">
        <f t="shared" ref="P21" si="13">MID(Q21,LEN(G21)+1,(LEN(Q21)))</f>
        <v/>
      </c>
      <c r="Q21" s="14" t="str">
        <f t="shared" ref="Q21" si="14">MID(R21,LEN(H21)+1,(LEN(R21)))</f>
        <v/>
      </c>
      <c r="R21" s="14" t="str">
        <f t="shared" ref="R21" si="15">MID(S21,LEN(I21)+1,(LEN(S21)))</f>
        <v/>
      </c>
      <c r="S21" s="14" t="str">
        <f t="shared" ref="S21" si="16">MID(T21,LEN(J21)+1,(LEN(T21)))</f>
        <v/>
      </c>
      <c r="T21" s="14" t="str">
        <f t="shared" ref="T21" si="17">MID(U21,LEN(K21)+1,(LEN(U21)))</f>
        <v>k</v>
      </c>
      <c r="U21" s="14" t="str">
        <f t="shared" ref="U21" si="18">AO21&amp;AN21&amp;AM21&amp;AL21&amp;AK21&amp;AJ21&amp;AI21&amp;AH21&amp;AG21&amp;AF21</f>
        <v>kkok</v>
      </c>
      <c r="V21" s="13">
        <f>IFERROR(VLOOKUP(LEFT(AZ21,2),BASE!$C$96:$E$342,3,0),IFERROR(VLOOKUP(LEFT(AZ21,1),BASE!$C$96:$E$342,3,0),100))</f>
        <v>100</v>
      </c>
      <c r="W21" s="13">
        <f>IFERROR(VLOOKUP(LEFT(BA21,2),BASE!$C$96:$E$342,3,0),IFERROR(VLOOKUP(LEFT(BA21,1),BASE!$C$96:$E$342,3,0),100))</f>
        <v>100</v>
      </c>
      <c r="X21" s="13">
        <f>IFERROR(VLOOKUP(LEFT(BB21,2),BASE!$C$96:$E$342,3,0),IFERROR(VLOOKUP(LEFT(BB21,1),BASE!$C$96:$E$342,3,0),100))</f>
        <v>100</v>
      </c>
      <c r="Y21" s="13">
        <f>IFERROR(VLOOKUP(LEFT(BC21,2),BASE!$C$96:$E$342,3,0),IFERROR(VLOOKUP(LEFT(BC21,1),BASE!$C$96:$E$342,3,0),100))</f>
        <v>100</v>
      </c>
      <c r="Z21" s="13">
        <f>IFERROR(VLOOKUP(LEFT(BD21,2),BASE!$C$96:$E$342,3,0),IFERROR(VLOOKUP(LEFT(BD21,1),BASE!$C$96:$E$342,3,0),100))</f>
        <v>100</v>
      </c>
      <c r="AA21" s="13">
        <f>IFERROR(VLOOKUP(LEFT(BE21,2),BASE!$C$96:$E$342,3,0),IFERROR(VLOOKUP(LEFT(BE21,1),BASE!$C$96:$E$342,3,0),100))</f>
        <v>100</v>
      </c>
      <c r="AB21" s="13">
        <f>IFERROR(VLOOKUP(LEFT(BF21,2),BASE!$C$96:$E$342,3,0),IFERROR(VLOOKUP(LEFT(BF21,1),BASE!$C$96:$E$342,3,0),100))</f>
        <v>2</v>
      </c>
      <c r="AC21" s="13">
        <f>IFERROR(VLOOKUP(LEFT(BG21,2),BASE!$C$96:$E$342,3,0),IFERROR(VLOOKUP(LEFT(BG21,1),BASE!$C$96:$E$342,3,0),100))</f>
        <v>2</v>
      </c>
      <c r="AD21" s="13">
        <f>IFERROR(VLOOKUP(LEFT(BH21,2),BASE!$C$96:$E$342,3,0),IFERROR(VLOOKUP(LEFT(BH21,1),BASE!$C$96:$E$342,3,0),100))</f>
        <v>1</v>
      </c>
      <c r="AE21" s="13">
        <f>IFERROR(VLOOKUP(LEFT(BI21,2),BASE!$C$96:$E$342,3,0),IFERROR(VLOOKUP(LEFT(BI21,1),BASE!$C$96:$E$342,3,0),100))</f>
        <v>1</v>
      </c>
      <c r="AF21" s="187" t="str">
        <f>IF(AND(BS21=BR21,AG21="o"),"A", (IFERROR(VLOOKUP(LEFT(AZ21,2),BASE!$C$346:$D$592,2,0),IFERROR(VLOOKUP(LEFT(AZ21,1),BASE!$C$346:$D$5922,2,0),AZ21))))</f>
        <v/>
      </c>
      <c r="AG21" s="187" t="str">
        <f>IF(AND(BR21=BQ21,AH21="o"),"A", (IFERROR(VLOOKUP(LEFT(BA21,2),BASE!$C$346:$D$592,2,0),IFERROR(VLOOKUP(LEFT(BA21,1),BASE!$C$346:$D$592,2,0),BA21))))</f>
        <v/>
      </c>
      <c r="AH21" s="187" t="str">
        <f>IF(AND(BQ21=BP21,AI21="o"),"A", (IFERROR(VLOOKUP(LEFT(BB21,2),BASE!$C$346:$D$592,2,0),IFERROR(VLOOKUP(LEFT(BB21,1),BASE!$C$346:$D$592,2,0),BB21))))</f>
        <v/>
      </c>
      <c r="AI21" s="187" t="str">
        <f>IF(AND(BP21=BO21,AJ21="o"),"A", (IFERROR(VLOOKUP(LEFT(BC21,2),BASE!$C$346:$D$592,2,0),IFERROR(VLOOKUP(LEFT(BC21,1),BASE!$C$346:$D$592,2,0),BC21))))</f>
        <v/>
      </c>
      <c r="AJ21" s="187" t="str">
        <f>IF(AND(BO21=BN21,AK21="o"),"A", (IFERROR(VLOOKUP(LEFT(BD21,2),BASE!$C$346:$D$592,2,0),IFERROR(VLOOKUP(LEFT(BD21,1),BASE!$C$346:$D$592,2,0),BD21))))</f>
        <v/>
      </c>
      <c r="AK21" s="187" t="str">
        <f>IF(AND(BN21=BM21,AL21="o"),"A", (IFERROR(VLOOKUP(LEFT(BE21,2),BASE!$C$346:$D$592,2,0),IFERROR(VLOOKUP(LEFT(BE21,1),BASE!$C$346:$D$592,2,0),BE21))))</f>
        <v/>
      </c>
      <c r="AL21" s="187" t="str">
        <f>IF(AND(BM21=BL21,AM21="o"),"A", (IFERROR(VLOOKUP(LEFT(BF21,2),BASE!$C$346:$D$592,2,0),IFERROR(VLOOKUP(LEFT(BF21,1),BASE!$C$346:$D$592,2,0),BF21))))</f>
        <v>k</v>
      </c>
      <c r="AM21" s="187" t="str">
        <f>IF(AND(BL21=BK21,AN21="o"),"A",(IFERROR(VLOOKUP(LEFT(BG21,2),BASE!$C$346:$D$592,2,0),IFERROR(VLOOKUP(LEFT(BG21,1),BASE!$C$346:$D$592,2,0),BG21))))</f>
        <v>o</v>
      </c>
      <c r="AN21" s="187" t="str">
        <f>(IFERROR(VLOOKUP(LEFT(BH21,2),BASE!$C$346:$D$592,2,0),IFERROR(VLOOKUP(LEFT(BH21,1),BASE!$C$346:$D$592,2,0),BH21)))</f>
        <v>k</v>
      </c>
      <c r="AO21" s="187" t="str">
        <f>(IFERROR(VLOOKUP(LEFT(BI21,2),BASE!$C$96:$D$342,2,0),IFERROR(VLOOKUP(LEFT(BI21,1),BASE!$C$96:$D$342,2,0),BI21)))</f>
        <v>k</v>
      </c>
      <c r="AP21" s="5">
        <f t="shared" ref="AP21" si="19">AQ21</f>
        <v>6</v>
      </c>
      <c r="AQ21" s="5">
        <f t="shared" ref="AQ21" si="20">AR21</f>
        <v>6</v>
      </c>
      <c r="AR21" s="5">
        <f t="shared" ref="AR21" si="21">AS21</f>
        <v>6</v>
      </c>
      <c r="AS21" s="5">
        <f t="shared" ref="AS21" si="22">AT21</f>
        <v>6</v>
      </c>
      <c r="AT21" s="5">
        <f t="shared" ref="AT21" si="23">AU21</f>
        <v>6</v>
      </c>
      <c r="AU21" s="5">
        <f t="shared" ref="AU21" si="24">AV21</f>
        <v>6</v>
      </c>
      <c r="AV21" s="5">
        <f t="shared" ref="AV21" si="25">AW21</f>
        <v>6</v>
      </c>
      <c r="AW21" s="5">
        <f t="shared" ref="AW21" si="26">AX21</f>
        <v>6</v>
      </c>
      <c r="AX21" s="5">
        <f t="shared" ref="AX21" si="27">AY21</f>
        <v>6</v>
      </c>
      <c r="AY21" s="5">
        <f t="shared" ref="AY21" si="28">LEN(BI21)</f>
        <v>6</v>
      </c>
      <c r="AZ21" s="12" t="str">
        <f t="shared" ref="AZ21" si="29">MID(BA21,W21+1,AQ21)</f>
        <v/>
      </c>
      <c r="BA21" s="12" t="str">
        <f t="shared" ref="BA21" si="30">MID(BB21,X21+1,AR21)</f>
        <v/>
      </c>
      <c r="BB21" s="12" t="str">
        <f t="shared" ref="BB21" si="31">MID(BC21,Y21+1,AS21)</f>
        <v/>
      </c>
      <c r="BC21" s="12" t="str">
        <f t="shared" ref="BC21" si="32">MID(BD21,Z21+1,AT21)</f>
        <v/>
      </c>
      <c r="BD21" s="12" t="str">
        <f t="shared" ref="BD21" si="33">MID(BE21,AA21+1,AU21)</f>
        <v/>
      </c>
      <c r="BE21" s="12" t="str">
        <f t="shared" ref="BE21" si="34">MID(BF21,AB21+1,AV21)</f>
        <v/>
      </c>
      <c r="BF21" s="12" t="str">
        <f t="shared" ref="BF21" si="35">MID(BG21,AC21+1,AW21)</f>
        <v>கு</v>
      </c>
      <c r="BG21" s="12" t="str">
        <f t="shared" ref="BG21" si="36">MID(BH21,AD21+1,AX21)</f>
        <v>ற்கு</v>
      </c>
      <c r="BH21" s="43" t="str">
        <f t="shared" ref="BH21" si="37">MID(BI21,AE21+1,AY21)</f>
        <v>கற்கு</v>
      </c>
      <c r="BI21" s="57" t="str">
        <f>CF8</f>
        <v>மகற்கு</v>
      </c>
      <c r="BJ21" s="58" t="str">
        <f>IFERROR(VLOOKUP(LEFT(BI21,2),BASE!$C$96:$F$342,1,0),IFERROR(VLOOKUP(LEFT(BI21,1),BASE!$C$96:$F$342,1,0),BI21))</f>
        <v>ம</v>
      </c>
      <c r="BK21" s="58" t="str">
        <f>IFERROR(VLOOKUP(LEFT(BH21,2),BASE!$C$96:$D$342,1,0),IFERROR(VLOOKUP(LEFT(BH21,1),BASE!$C$96:$D$342,1,0),BH21))</f>
        <v>க</v>
      </c>
      <c r="BL21" s="58" t="str">
        <f>IFERROR(VLOOKUP(LEFT(BG21,2),BASE!$C$96:$D$342,1,0),IFERROR(VLOOKUP(LEFT(BG21,1),BASE!$C$96:$D$342,1,0),BG21))</f>
        <v>ற்</v>
      </c>
      <c r="BM21" s="58" t="str">
        <f>IFERROR(VLOOKUP(LEFT(BF21,2),BASE!$C$96:$D$342,1,0),IFERROR(VLOOKUP(LEFT(BF21,1),BASE!$C$96:$D$342,1,0),BF21))</f>
        <v>கு</v>
      </c>
      <c r="BN21" s="58" t="str">
        <f>IFERROR(VLOOKUP(LEFT(BE21,2),BASE!$C$96:$D$342,1,0),IFERROR(VLOOKUP(LEFT(BE21,1),BASE!$C$96:$D$342,1,0),BE21))</f>
        <v/>
      </c>
      <c r="BO21" s="58" t="str">
        <f>IFERROR(VLOOKUP(LEFT(BD21,2),BASE!$C$96:$D$342,1,0),IFERROR(VLOOKUP(LEFT(BD21,1),BASE!$C$96:$D$342,1,0),BD21))</f>
        <v/>
      </c>
      <c r="BP21" s="58" t="str">
        <f>IFERROR(VLOOKUP(LEFT(BC21,2),BASE!$C$96:$D$342,1,0),IFERROR(VLOOKUP(LEFT(BC21,1),BASE!$C$96:$D$342,1,0),BC21))</f>
        <v/>
      </c>
      <c r="BQ21" s="58" t="str">
        <f>IFERROR(VLOOKUP(LEFT(BB21,2),BASE!$C$96:$D$342,1,0),IFERROR(VLOOKUP(LEFT(BB21,1),BASE!$C$96:$D$342,1,0),BB21))</f>
        <v/>
      </c>
      <c r="BR21" s="58" t="str">
        <f>IFERROR(VLOOKUP(LEFT(BA21,2),BASE!$C$96:$D$342,1,0),IFERROR(VLOOKUP(LEFT(BA21,1),BASE!$C$96:$D$342,1,0),BA21))</f>
        <v/>
      </c>
      <c r="BS21" s="58" t="str">
        <f>IFERROR(VLOOKUP(LEFT(AZ21,2),BASE!$C$96:$D$342,1,0),IFERROR(VLOOKUP(LEFT(AZ21,1),BASE!$C$96:$D$342,1,0),AZ21))</f>
        <v/>
      </c>
      <c r="BT21" s="186" t="str">
        <f>(IFERROR(VLOOKUP(LEFT(BI21,2),BASE!$C$96:$F$342,4,0),IFERROR(VLOOKUP(LEFT(BI21,1),BASE!$C$96:$F$342,4,0),BI21)))</f>
        <v>கு</v>
      </c>
      <c r="BU21" s="186" t="str">
        <f>(IFERROR(VLOOKUP(LEFT(BH21,2),BASE!$C$346:$F$592,4,0),IFERROR(VLOOKUP(LEFT(BH21,1),BASE!$C$346:$F$592,4,0),BH21)))</f>
        <v>கு</v>
      </c>
      <c r="BV21" s="186" t="str">
        <f>(IFERROR(VLOOKUP(LEFT(BG21,2),BASE!$C$346:$F$592,4,0),IFERROR(VLOOKUP(LEFT(BG21,1),BASE!$C$346:$F$592,4,0),BG21)))</f>
        <v>ஒ</v>
      </c>
      <c r="BW21" s="186" t="str">
        <f>(IFERROR(VLOOKUP(LEFT(BF21,2),BASE!$C$346:$F$592,4,0),IFERROR(VLOOKUP(LEFT(BF21,1),BASE!$C$346:$F$592,4,0),BF21)))</f>
        <v>கு</v>
      </c>
      <c r="BX21" s="186" t="str">
        <f>(IFERROR(VLOOKUP(LEFT(BE21,2),BASE!$C$346:$F$592,4,0),IFERROR(VLOOKUP(LEFT(BE21,1),BASE!$C$346:$F$592,4,0),BE21)))</f>
        <v/>
      </c>
      <c r="BY21" s="186" t="str">
        <f>(IFERROR(VLOOKUP(LEFT(BD21,2),BASE!$C$346:$F$592,4,0),IFERROR(VLOOKUP(LEFT(BD21,1),BASE!$C$346:$F$592,4,0),BD21)))</f>
        <v/>
      </c>
      <c r="BZ21" s="186" t="str">
        <f>(IFERROR(VLOOKUP(LEFT(BC21,2),BASE!$C$346:$F$592,4,0),IFERROR(VLOOKUP(LEFT(BC21,1),BASE!$C$346:$F$592,4,0),BC21)))</f>
        <v/>
      </c>
      <c r="CA21" s="186" t="str">
        <f>(IFERROR(VLOOKUP(LEFT(BB21,2),BASE!$C$346:$F$592,4,0),IFERROR(VLOOKUP(LEFT(BB21,1),BASE!$C$346:$F$592,4,0),BB21)))</f>
        <v/>
      </c>
      <c r="CB21" s="186" t="str">
        <f>(IFERROR(VLOOKUP(LEFT(BA21,2),BASE!$C$346:$F$592,4,0),IFERROR(VLOOKUP(LEFT(BA21,1),BASE!$C$346:$F$592,4,0),BA21)))</f>
        <v/>
      </c>
      <c r="CC21" s="186" t="str">
        <f>(IFERROR(VLOOKUP(LEFT(AZ21,2),BASE!$C$346:$F$592,4,0),IFERROR(VLOOKUP(LEFT(AZ21,1),BASE!$C$346:$F$592,4,0),AZ21)))</f>
        <v/>
      </c>
      <c r="CD21" s="58" t="str">
        <f t="shared" ref="CD21" si="38">BT21&amp;BU21&amp;BV21&amp;BW21&amp;BX21&amp;BY21&amp;BZ21&amp;CA21&amp;CB21&amp;CC21</f>
        <v>குகுஒகு</v>
      </c>
      <c r="CE21" s="58" t="str">
        <f>IFERROR(VLOOKUP((LEFT(U21,4)),BASE!$E$12:$F$23,2,0),IFERROR(VLOOKUP((LEFT(U21,3)),BASE!$E$12:$F$23,2,0),IFERROR(VLOOKUP((LEFT(U21,2)),BASE!$E$12:$F$23,2,0),IFERROR(VLOOKUP((LEFT(U21,1)),BASE!$E$12:$F$23,2,0),U21))))</f>
        <v>நிரை</v>
      </c>
      <c r="CF21" s="58" t="str">
        <f>IFERROR(VLOOKUP((LEFT(T21,4)),BASE!$E$12:$F$24,2,0),IFERROR(VLOOKUP((LEFT(T21,3)),BASE!$E$12:$F$24,2,0),IFERROR(VLOOKUP((LEFT(T21,2)),BASE!$E$12:$F$24,2,0),IFERROR(VLOOKUP((LEFT(T21,1)),BASE!$E$12:$F$24,2,0),T21))))</f>
        <v>நேர்</v>
      </c>
      <c r="CG21" s="58" t="str">
        <f>IFERROR(VLOOKUP((LEFT(S21,4)),BASE!$E$12:$F$23,2,0),IFERROR(VLOOKUP((LEFT(S21,3)),BASE!$E$12:$F$23,2,0),IFERROR(VLOOKUP((LEFT(S21,2)),BASE!$E$12:$F$23,2,0),IFERROR(VLOOKUP((LEFT(S21,1)),BASE!$E$12:$F$23,2,0),S21))))</f>
        <v/>
      </c>
      <c r="CH21" s="58" t="str">
        <f>IFERROR(VLOOKUP((LEFT(R21,4)),BASE!$E$12:$F$23,2,0),IFERROR(VLOOKUP((LEFT(R21,3)),BASE!$E$12:$F$23,2,0),IFERROR(VLOOKUP((LEFT(R21,2)),BASE!$E$12:$F$23,2,0),IFERROR(VLOOKUP((LEFT(R21,1)),BASE!$E$12:$F$23,2,0),R21))))</f>
        <v/>
      </c>
      <c r="CI21" s="58" t="str">
        <f>IFERROR(VLOOKUP((LEFT(Q21,4)),BASE!$E$12:$F$23,2,0),IFERROR(VLOOKUP((LEFT(Q21,3)),BASE!$E$12:$F$23,2,0),IFERROR(VLOOKUP((LEFT(Q21,2)),BASE!$E$12:$F$23,2,0),IFERROR(VLOOKUP((LEFT(Q21,1)),BASE!$E$12:$F$23,2,0),Q21))))</f>
        <v/>
      </c>
      <c r="CJ21" s="58" t="str">
        <f>IFERROR(VLOOKUP((LEFT(P21,4)),BASE!$E$12:$F$23,2,0),IFERROR(VLOOKUP((LEFT(P21,3)),BASE!$E$12:$F$23,2,0),IFERROR(VLOOKUP((LEFT(P21,2)),BASE!$E$12:$F$23,2,0),IFERROR(VLOOKUP((LEFT(P21,1)),BASE!$E$12:$F$23,2,0),P21))))</f>
        <v/>
      </c>
      <c r="CK21" s="58" t="str">
        <f>IFERROR(VLOOKUP((LEFT(O21,4)),BASE!$E$12:$F$23,2,0),IFERROR(VLOOKUP((LEFT(O21,3)),BASE!$E$12:$F$23,2,0),IFERROR(VLOOKUP((LEFT(O21,2)),BASE!$E$12:$F$23,2,0),IFERROR(VLOOKUP((LEFT(O21,1)),BASE!$E$12:$F$23,2,0),O21))))</f>
        <v/>
      </c>
      <c r="CL21" s="58" t="str">
        <f>IFERROR(VLOOKUP((LEFT(N21,4)),BASE!$E$12:$F$23,2,0),IFERROR(VLOOKUP((LEFT(N21,3)),BASE!$E$12:$F$23,2,0),IFERROR(VLOOKUP((LEFT(N21,2)),BASE!$E$12:$F$23,2,0),IFERROR(VLOOKUP((LEFT(N21,1)),BASE!$E$12:$F$23,2,0),N21))))</f>
        <v/>
      </c>
      <c r="CM21" s="58" t="str">
        <f>IFERROR(VLOOKUP((LEFT(M21,4)),BASE!$E$12:$F$23,2,0),IFERROR(VLOOKUP((LEFT(M21,3)),BASE!$E$12:$F$23,2,0),IFERROR(VLOOKUP((LEFT(M21,2)),BASE!$E$12:$F$23,2,0),IFERROR(VLOOKUP((LEFT(M21,1)),BASE!$E$12:$F$23,2,0),M21))))</f>
        <v/>
      </c>
      <c r="CN21" s="58" t="str">
        <f>IFERROR(VLOOKUP((LEFT(L21,4)),BASE!$E$12:$F$23,2,0),IFERROR(VLOOKUP((LEFT(L21,3)),BASE!$E$12:$F$23,2,0),IFERROR(VLOOKUP((LEFT(L21,2)),BASE!$E$12:$F$23,2,0),IFERROR(VLOOKUP((LEFT(L21,1)),BASE!$E$12:$F$23,2,0),L21))))</f>
        <v/>
      </c>
      <c r="CO21" s="58" t="str">
        <f t="shared" ref="CO21" si="39">CE21&amp;CF21&amp;CG21&amp;CH21</f>
        <v>நிரைநேர்</v>
      </c>
      <c r="CP21" s="58" t="str">
        <f>VLOOKUP(CO21,BASE!E81:F84,2,0)</f>
        <v>பிறப்பு</v>
      </c>
      <c r="CQ21" s="58" t="str">
        <f>VLOOKUP(CO21,BASE!$E$25:$G$79,3,0)&amp;CE22</f>
        <v>மா</v>
      </c>
      <c r="CR21" s="58"/>
      <c r="CS21" s="58"/>
      <c r="CT21" s="58" t="str">
        <f>IF((OR(CG21="நிரை",CG21="நேர்")),"இரு அசைகட்கு மிகக்கூடாது","ஈரசைக்கு மிகவில்லை")</f>
        <v>ஈரசைக்கு மிகவில்லை</v>
      </c>
      <c r="CU21" s="58" t="str">
        <f>IFERROR((IF((OR(CP21="நாள்",CP21="மலர்",CP21="காசு",CP21="பிறப்பு")),"சரி","தளை தட்டுகிறது")),"பிழை")</f>
        <v>சரி</v>
      </c>
      <c r="CV21" s="193"/>
    </row>
    <row r="22" spans="1:120" ht="19.5" customHeight="1" x14ac:dyDescent="0.35">
      <c r="A22" s="119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12"/>
      <c r="BA22" s="12"/>
      <c r="BB22" s="12"/>
      <c r="BC22" s="12"/>
      <c r="BD22" s="12"/>
      <c r="BE22" s="12"/>
      <c r="BF22" s="12"/>
      <c r="BG22" s="12"/>
      <c r="BH22" s="43"/>
      <c r="BI22" s="57"/>
      <c r="BJ22" s="58"/>
      <c r="BK22" s="58"/>
      <c r="BL22" s="58"/>
      <c r="BM22" s="58"/>
      <c r="BN22" s="58"/>
      <c r="BO22" s="58"/>
      <c r="BP22" s="58"/>
      <c r="BQ22" s="58"/>
      <c r="BR22" s="58"/>
      <c r="BS22" s="58"/>
      <c r="BT22" s="58"/>
      <c r="BU22" s="58"/>
      <c r="BV22" s="58"/>
      <c r="BW22" s="58"/>
      <c r="BX22" s="58"/>
      <c r="BY22" s="58"/>
      <c r="BZ22" s="58"/>
      <c r="CA22" s="58"/>
      <c r="CB22" s="58"/>
      <c r="CC22" s="58"/>
      <c r="CD22" s="58"/>
      <c r="CE22" s="58"/>
      <c r="CF22" s="58"/>
      <c r="CG22" s="58"/>
      <c r="CH22" s="58"/>
      <c r="CI22" s="58"/>
      <c r="CJ22" s="58"/>
      <c r="CK22" s="58"/>
      <c r="CL22" s="58"/>
      <c r="CM22" s="58"/>
      <c r="CN22" s="58"/>
      <c r="CO22" s="58"/>
      <c r="CP22" s="58"/>
      <c r="CQ22" s="58"/>
      <c r="CR22" s="58"/>
      <c r="CS22" s="58"/>
      <c r="CT22" s="58"/>
      <c r="CU22" s="58"/>
      <c r="CV22" s="193"/>
    </row>
    <row r="23" spans="1:120" ht="19.5" customHeight="1" x14ac:dyDescent="0.35">
      <c r="A23" s="119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12"/>
      <c r="BA23" s="12"/>
      <c r="BB23" s="12"/>
      <c r="BC23" s="12"/>
      <c r="BD23" s="12"/>
      <c r="BE23" s="12"/>
      <c r="BF23" s="12"/>
      <c r="BG23" s="12"/>
      <c r="BH23" s="43"/>
      <c r="BI23" s="48"/>
      <c r="BJ23" s="31"/>
      <c r="BK23" s="31"/>
      <c r="BL23" s="31"/>
      <c r="BM23" s="31"/>
      <c r="BN23" s="31"/>
      <c r="BO23" s="31"/>
      <c r="BP23" s="31"/>
      <c r="BQ23" s="31"/>
      <c r="BR23" s="31"/>
      <c r="BS23" s="31"/>
      <c r="BT23" s="31"/>
      <c r="BU23" s="31"/>
      <c r="BV23" s="31"/>
      <c r="BW23" s="31"/>
      <c r="BX23" s="31"/>
      <c r="BY23" s="31"/>
      <c r="BZ23" s="31"/>
      <c r="CA23" s="31"/>
      <c r="CB23" s="31"/>
      <c r="CC23" s="31"/>
      <c r="CD23" s="31"/>
      <c r="CE23" s="31"/>
      <c r="CF23" s="31"/>
      <c r="CG23" s="31"/>
      <c r="CH23" s="31"/>
      <c r="CI23" s="31"/>
      <c r="CJ23" s="31"/>
      <c r="CK23" s="31"/>
      <c r="CL23" s="31"/>
      <c r="CM23" s="31"/>
      <c r="CN23" s="31"/>
      <c r="CO23" s="31"/>
      <c r="CP23" s="31"/>
      <c r="CQ23" s="31"/>
      <c r="CR23" s="31"/>
      <c r="CS23" s="31"/>
      <c r="CT23" s="31"/>
      <c r="CU23" s="31"/>
      <c r="CV23" s="49"/>
    </row>
    <row r="24" spans="1:120" ht="19.5" customHeight="1" thickBot="1" x14ac:dyDescent="0.4">
      <c r="A24" s="123"/>
      <c r="B24" s="124"/>
      <c r="C24" s="124"/>
      <c r="D24" s="124"/>
      <c r="E24" s="124"/>
      <c r="F24" s="124"/>
      <c r="G24" s="124"/>
      <c r="H24" s="124"/>
      <c r="I24" s="124"/>
      <c r="J24" s="124"/>
      <c r="K24" s="124"/>
      <c r="L24" s="125"/>
      <c r="M24" s="125"/>
      <c r="N24" s="125"/>
      <c r="O24" s="125"/>
      <c r="P24" s="125"/>
      <c r="Q24" s="125"/>
      <c r="R24" s="125"/>
      <c r="S24" s="125"/>
      <c r="T24" s="125"/>
      <c r="U24" s="125"/>
      <c r="V24" s="126"/>
      <c r="W24" s="126"/>
      <c r="X24" s="126"/>
      <c r="Y24" s="126"/>
      <c r="Z24" s="126"/>
      <c r="AA24" s="126"/>
      <c r="AB24" s="126"/>
      <c r="AC24" s="126"/>
      <c r="AD24" s="126"/>
      <c r="AE24" s="126"/>
      <c r="AF24" s="124"/>
      <c r="AG24" s="124"/>
      <c r="AH24" s="124"/>
      <c r="AI24" s="124"/>
      <c r="AJ24" s="124"/>
      <c r="AK24" s="124"/>
      <c r="AL24" s="124"/>
      <c r="AM24" s="124"/>
      <c r="AN24" s="124"/>
      <c r="AO24" s="124"/>
      <c r="AP24" s="127"/>
      <c r="AQ24" s="127"/>
      <c r="AR24" s="127"/>
      <c r="AS24" s="127"/>
      <c r="AT24" s="127"/>
      <c r="AU24" s="127"/>
      <c r="AV24" s="127"/>
      <c r="AW24" s="127"/>
      <c r="AX24" s="127"/>
      <c r="AY24" s="127"/>
      <c r="AZ24" s="124"/>
      <c r="BA24" s="124"/>
      <c r="BB24" s="124"/>
      <c r="BC24" s="124"/>
      <c r="BD24" s="124"/>
      <c r="BE24" s="124"/>
      <c r="BF24" s="124"/>
      <c r="BG24" s="124"/>
      <c r="BH24" s="128"/>
      <c r="BI24" s="54"/>
      <c r="BJ24" s="55"/>
      <c r="BK24" s="55"/>
      <c r="BL24" s="55"/>
      <c r="BM24" s="55"/>
      <c r="BN24" s="55"/>
      <c r="BO24" s="55"/>
      <c r="BP24" s="55"/>
      <c r="BQ24" s="55"/>
      <c r="BR24" s="55"/>
      <c r="BS24" s="55"/>
      <c r="BT24" s="55"/>
      <c r="BU24" s="55"/>
      <c r="BV24" s="55"/>
      <c r="BW24" s="55"/>
      <c r="BX24" s="55"/>
      <c r="BY24" s="55"/>
      <c r="BZ24" s="55"/>
      <c r="CA24" s="55"/>
      <c r="CB24" s="55"/>
      <c r="CC24" s="55"/>
      <c r="CD24" s="55"/>
      <c r="CE24" s="55"/>
      <c r="CF24" s="55"/>
      <c r="CG24" s="55"/>
      <c r="CH24" s="55"/>
      <c r="CI24" s="55"/>
      <c r="CJ24" s="55"/>
      <c r="CK24" s="55"/>
      <c r="CL24" s="55"/>
      <c r="CM24" s="55"/>
      <c r="CN24" s="55"/>
      <c r="CO24" s="55"/>
      <c r="CP24" s="55"/>
      <c r="CQ24" s="55"/>
      <c r="CR24" s="55"/>
      <c r="CS24" s="55"/>
      <c r="CT24" s="55"/>
      <c r="CU24" s="55"/>
      <c r="CV24" s="56"/>
    </row>
    <row r="25" spans="1:120" ht="19.5" customHeight="1" x14ac:dyDescent="0.35">
      <c r="B25" s="188"/>
      <c r="C25" s="188"/>
      <c r="D25" s="188"/>
      <c r="E25" s="188"/>
      <c r="F25" s="188"/>
      <c r="G25" s="188"/>
      <c r="H25" s="188"/>
      <c r="I25" s="188"/>
      <c r="J25" s="188"/>
      <c r="K25" s="188"/>
      <c r="L25" s="189"/>
      <c r="M25" s="189"/>
      <c r="N25" s="189"/>
      <c r="O25" s="189"/>
      <c r="P25" s="189"/>
      <c r="Q25" s="189"/>
      <c r="R25" s="189"/>
      <c r="S25" s="189"/>
      <c r="T25" s="189"/>
      <c r="U25" s="189"/>
      <c r="V25" s="190"/>
      <c r="W25" s="190"/>
      <c r="X25" s="190"/>
      <c r="Y25" s="190"/>
      <c r="Z25" s="190"/>
      <c r="AA25" s="190"/>
      <c r="AB25" s="190"/>
      <c r="AC25" s="190"/>
      <c r="AD25" s="190"/>
      <c r="AE25" s="190"/>
      <c r="AF25" s="188"/>
      <c r="AG25" s="188"/>
      <c r="AH25" s="188"/>
      <c r="AI25" s="188"/>
      <c r="AJ25" s="188"/>
      <c r="AK25" s="188"/>
      <c r="AL25" s="188"/>
      <c r="AM25" s="188"/>
      <c r="AN25" s="188"/>
      <c r="AO25" s="188"/>
      <c r="AP25" s="191"/>
      <c r="AQ25" s="191"/>
      <c r="AR25" s="191"/>
      <c r="AS25" s="191"/>
      <c r="AT25" s="191"/>
      <c r="AU25" s="191"/>
      <c r="AV25" s="191"/>
      <c r="AW25" s="191"/>
      <c r="AX25" s="191"/>
      <c r="AY25" s="191"/>
      <c r="AZ25" s="188"/>
      <c r="BA25" s="188"/>
      <c r="BB25" s="188"/>
      <c r="BC25" s="188"/>
      <c r="BD25" s="188"/>
      <c r="BE25" s="188"/>
      <c r="BF25" s="188"/>
      <c r="BG25" s="188"/>
      <c r="BH25" s="192"/>
      <c r="BI25" s="1"/>
    </row>
    <row r="26" spans="1:120" ht="19.5" customHeight="1" x14ac:dyDescent="0.35"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12"/>
      <c r="BA26" s="12"/>
      <c r="BB26" s="12"/>
      <c r="BC26" s="12"/>
      <c r="BD26" s="12"/>
      <c r="BE26" s="12"/>
      <c r="BF26" s="12"/>
      <c r="BG26" s="12"/>
      <c r="BH26" s="12"/>
      <c r="BI26" s="1"/>
    </row>
    <row r="27" spans="1:120" ht="19.5" customHeight="1" x14ac:dyDescent="0.35"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12"/>
      <c r="BA27" s="12"/>
      <c r="BB27" s="12"/>
      <c r="BC27" s="12"/>
      <c r="BD27" s="12"/>
      <c r="BE27" s="12"/>
      <c r="BF27" s="12"/>
      <c r="BG27" s="12"/>
      <c r="BH27" s="12"/>
      <c r="BI27" s="1"/>
    </row>
    <row r="28" spans="1:120" ht="19.5" customHeight="1" x14ac:dyDescent="0.35"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12"/>
      <c r="BA28" s="12"/>
      <c r="BB28" s="12"/>
      <c r="BC28" s="12"/>
      <c r="BD28" s="12"/>
      <c r="BE28" s="12"/>
      <c r="BF28" s="12"/>
      <c r="BG28" s="12"/>
      <c r="BH28" s="12"/>
      <c r="BI28" s="1"/>
    </row>
    <row r="29" spans="1:120" ht="19.5" customHeight="1" x14ac:dyDescent="0.35"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12"/>
      <c r="BA29" s="12"/>
      <c r="BB29" s="12"/>
      <c r="BC29" s="12"/>
      <c r="BD29" s="12"/>
      <c r="BE29" s="12"/>
      <c r="BF29" s="12"/>
      <c r="BG29" s="12"/>
      <c r="BH29" s="12"/>
      <c r="BI29" s="1"/>
    </row>
    <row r="30" spans="1:120" ht="19.5" customHeight="1" x14ac:dyDescent="0.35"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12"/>
      <c r="BA30" s="12"/>
      <c r="BB30" s="12"/>
      <c r="BC30" s="12"/>
      <c r="BD30" s="12"/>
      <c r="BE30" s="12"/>
      <c r="BF30" s="12"/>
      <c r="BG30" s="12"/>
      <c r="BH30" s="12"/>
      <c r="BI30" s="1"/>
    </row>
    <row r="31" spans="1:120" ht="19.5" customHeight="1" x14ac:dyDescent="0.35"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12"/>
      <c r="BA31" s="12"/>
      <c r="BB31" s="12"/>
      <c r="BC31" s="12"/>
      <c r="BD31" s="12"/>
      <c r="BE31" s="12"/>
      <c r="BF31" s="12"/>
      <c r="BG31" s="12"/>
      <c r="BH31" s="12"/>
      <c r="BI31" s="1"/>
    </row>
    <row r="32" spans="1:120" ht="19.5" customHeight="1" x14ac:dyDescent="0.35"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12"/>
      <c r="BA32" s="12"/>
      <c r="BB32" s="12"/>
      <c r="BC32" s="12"/>
      <c r="BD32" s="12"/>
      <c r="BE32" s="12"/>
      <c r="BF32" s="12"/>
      <c r="BG32" s="12"/>
      <c r="BH32" s="12"/>
      <c r="BI32" s="1"/>
    </row>
    <row r="33" spans="2:92" ht="19.5" customHeight="1" x14ac:dyDescent="0.35"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12"/>
      <c r="BA33" s="12"/>
      <c r="BB33" s="12"/>
      <c r="BC33" s="12"/>
      <c r="BD33" s="12"/>
      <c r="BE33" s="12"/>
      <c r="BF33" s="12"/>
      <c r="BG33" s="12"/>
      <c r="BH33" s="12"/>
      <c r="BI33" s="1"/>
    </row>
    <row r="34" spans="2:92" ht="19.5" customHeight="1" x14ac:dyDescent="0.35"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12"/>
      <c r="BA34" s="12"/>
      <c r="BB34" s="12"/>
      <c r="BC34" s="12"/>
      <c r="BD34" s="12"/>
      <c r="BE34" s="12"/>
      <c r="BF34" s="12"/>
      <c r="BG34" s="12"/>
      <c r="BH34" s="12"/>
      <c r="BI34" s="1"/>
    </row>
    <row r="35" spans="2:92" ht="19.5" customHeight="1" x14ac:dyDescent="0.35"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12"/>
      <c r="BA35" s="12"/>
      <c r="BB35" s="12"/>
      <c r="BC35" s="12"/>
      <c r="BD35" s="12"/>
      <c r="BE35" s="12"/>
      <c r="BF35" s="12"/>
      <c r="BG35" s="12"/>
      <c r="BH35" s="12"/>
      <c r="BI35" s="1"/>
    </row>
    <row r="36" spans="2:92" ht="19.5" customHeight="1" x14ac:dyDescent="0.35"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12"/>
      <c r="BA36" s="12"/>
      <c r="BB36" s="12"/>
      <c r="BC36" s="12"/>
      <c r="BD36" s="12"/>
      <c r="BE36" s="12"/>
      <c r="BF36" s="12"/>
      <c r="BG36" s="12"/>
      <c r="BH36" s="12"/>
      <c r="BI36" s="1"/>
    </row>
    <row r="37" spans="2:92" ht="19.5" customHeight="1" x14ac:dyDescent="0.35"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12"/>
      <c r="BA37" s="12"/>
      <c r="BB37" s="12"/>
      <c r="BC37" s="12"/>
      <c r="BD37" s="12"/>
      <c r="BE37" s="12"/>
      <c r="BF37" s="12"/>
      <c r="BG37" s="12"/>
      <c r="BH37" s="12"/>
      <c r="BI37" s="1"/>
    </row>
    <row r="38" spans="2:92" ht="15.75" customHeight="1" x14ac:dyDescent="0.35"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15"/>
      <c r="BI38" s="1"/>
    </row>
    <row r="39" spans="2:92" ht="29.25" customHeight="1" x14ac:dyDescent="0.35">
      <c r="BH39"/>
      <c r="BI39" s="16"/>
      <c r="BJ39" s="10"/>
      <c r="BK39" s="10"/>
      <c r="BL39" s="10"/>
      <c r="BM39" s="10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</row>
    <row r="40" spans="2:92" ht="15.75" customHeight="1" x14ac:dyDescent="0.35">
      <c r="BH40"/>
      <c r="BI40" s="16"/>
      <c r="BJ40" s="10"/>
      <c r="BK40" s="10"/>
      <c r="BL40" s="10"/>
      <c r="BM40" s="1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</row>
    <row r="41" spans="2:92" ht="18" x14ac:dyDescent="0.35">
      <c r="BH41"/>
      <c r="BI41" s="16"/>
      <c r="BJ41" s="10"/>
      <c r="BK41" s="10"/>
      <c r="BL41" s="10"/>
      <c r="BM41" s="10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</row>
    <row r="42" spans="2:92" ht="18" x14ac:dyDescent="0.35">
      <c r="BH42"/>
      <c r="BI42" s="16"/>
      <c r="BJ42" s="10"/>
      <c r="BK42" s="10"/>
      <c r="BL42" s="10"/>
      <c r="BM42" s="10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</row>
    <row r="43" spans="2:92" ht="18" x14ac:dyDescent="0.35">
      <c r="BH43"/>
      <c r="BI43" s="16"/>
      <c r="BJ43" s="10"/>
      <c r="BK43" s="10"/>
      <c r="BL43" s="10"/>
      <c r="BM43" s="10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</row>
    <row r="44" spans="2:92" ht="15.75" customHeight="1" x14ac:dyDescent="0.35">
      <c r="BH44"/>
      <c r="BI44" s="16"/>
      <c r="BJ44" s="10"/>
      <c r="BK44" s="10"/>
      <c r="BL44" s="10"/>
      <c r="BM44" s="10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</row>
    <row r="45" spans="2:92" ht="15.75" customHeight="1" x14ac:dyDescent="0.35">
      <c r="BH45"/>
      <c r="BI45" s="16"/>
      <c r="BJ45" s="10"/>
      <c r="BK45" s="10"/>
      <c r="BL45" s="10"/>
      <c r="BM45" s="10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</row>
    <row r="46" spans="2:92" ht="15.75" customHeight="1" x14ac:dyDescent="0.35">
      <c r="BH46"/>
      <c r="BI46" s="1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</row>
    <row r="47" spans="2:92" ht="15.75" customHeight="1" x14ac:dyDescent="0.35">
      <c r="BH47"/>
      <c r="BI47" s="16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</row>
    <row r="48" spans="2:92" ht="15.75" customHeight="1" x14ac:dyDescent="0.35">
      <c r="BH48"/>
      <c r="BI48" s="16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</row>
    <row r="49" spans="60:92" ht="15.75" customHeight="1" x14ac:dyDescent="0.35">
      <c r="BH49"/>
      <c r="BI49" s="16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</row>
    <row r="50" spans="60:92" ht="15.75" customHeight="1" x14ac:dyDescent="0.35">
      <c r="BH50"/>
      <c r="BI50" s="16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</row>
    <row r="51" spans="60:92" ht="15.75" customHeight="1" x14ac:dyDescent="0.35">
      <c r="BH51"/>
      <c r="BI51" s="16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</row>
    <row r="52" spans="60:92" ht="15.75" customHeight="1" x14ac:dyDescent="0.35">
      <c r="BH52"/>
      <c r="BI52" s="16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</row>
    <row r="53" spans="60:92" ht="15.75" customHeight="1" x14ac:dyDescent="0.35">
      <c r="BH53"/>
      <c r="BI53" s="16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</row>
    <row r="54" spans="60:92" ht="15.75" customHeight="1" x14ac:dyDescent="0.35">
      <c r="BH54"/>
      <c r="BI54" s="16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</row>
    <row r="55" spans="60:92" ht="15.75" customHeight="1" x14ac:dyDescent="0.35">
      <c r="BH55"/>
      <c r="BI55" s="16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</row>
    <row r="56" spans="60:92" ht="15.75" customHeight="1" x14ac:dyDescent="0.35">
      <c r="BH56"/>
      <c r="BI56" s="1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</row>
    <row r="57" spans="60:92" ht="15.75" customHeight="1" x14ac:dyDescent="0.35">
      <c r="BH57"/>
      <c r="BI57" s="16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</row>
    <row r="58" spans="60:92" ht="15.75" customHeight="1" x14ac:dyDescent="0.35">
      <c r="BH58"/>
      <c r="BI58" s="16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</row>
    <row r="59" spans="60:92" ht="15.75" customHeight="1" x14ac:dyDescent="0.35">
      <c r="BH59"/>
      <c r="BI59" s="16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</row>
    <row r="60" spans="60:92" ht="15.75" customHeight="1" x14ac:dyDescent="0.35">
      <c r="BH60"/>
      <c r="BI60" s="16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</row>
    <row r="61" spans="60:92" ht="15.75" customHeight="1" x14ac:dyDescent="0.35">
      <c r="BH61"/>
      <c r="BI61" s="16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</row>
    <row r="62" spans="60:92" ht="15.75" customHeight="1" x14ac:dyDescent="0.35">
      <c r="BH62"/>
      <c r="BI62" s="16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</row>
    <row r="63" spans="60:92" ht="15.75" customHeight="1" x14ac:dyDescent="0.35">
      <c r="BH63"/>
      <c r="BI63" s="16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</row>
    <row r="64" spans="60:92" ht="15.75" customHeight="1" x14ac:dyDescent="0.35">
      <c r="BH64"/>
      <c r="BI64" s="16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</row>
    <row r="65" spans="60:92" ht="15.75" customHeight="1" x14ac:dyDescent="0.35">
      <c r="BH65"/>
      <c r="BI65" s="16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</row>
    <row r="66" spans="60:92" ht="15.75" customHeight="1" x14ac:dyDescent="0.35">
      <c r="BH66"/>
      <c r="BI66" s="1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</row>
    <row r="67" spans="60:92" ht="15.75" customHeight="1" x14ac:dyDescent="0.35">
      <c r="BH67"/>
      <c r="BI67" s="16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</row>
    <row r="68" spans="60:92" ht="15.75" customHeight="1" x14ac:dyDescent="0.35">
      <c r="BH68"/>
      <c r="BI68" s="16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</row>
    <row r="69" spans="60:92" ht="15.75" customHeight="1" x14ac:dyDescent="0.35">
      <c r="BH69"/>
      <c r="BI69" s="16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</row>
    <row r="70" spans="60:92" ht="15.75" customHeight="1" x14ac:dyDescent="0.35">
      <c r="BH70"/>
      <c r="BI70" s="16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</row>
    <row r="71" spans="60:92" ht="15.75" customHeight="1" x14ac:dyDescent="0.35">
      <c r="BH71"/>
      <c r="BI71" s="16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</row>
    <row r="72" spans="60:92" ht="15.75" customHeight="1" x14ac:dyDescent="0.35">
      <c r="BH72"/>
      <c r="BI72" s="16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</row>
    <row r="73" spans="60:92" ht="15.75" customHeight="1" x14ac:dyDescent="0.35">
      <c r="BH73"/>
      <c r="BI73" s="16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</row>
    <row r="74" spans="60:92" ht="15.75" customHeight="1" x14ac:dyDescent="0.35">
      <c r="BH74"/>
      <c r="BI74" s="16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</row>
    <row r="75" spans="60:92" ht="15.75" customHeight="1" x14ac:dyDescent="0.35">
      <c r="BH75"/>
      <c r="BI75" s="16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</row>
    <row r="76" spans="60:92" ht="15.75" customHeight="1" x14ac:dyDescent="0.35">
      <c r="BH76"/>
      <c r="BI76" s="1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</row>
    <row r="77" spans="60:92" ht="15.75" customHeight="1" x14ac:dyDescent="0.35">
      <c r="BH77"/>
      <c r="BI77" s="16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</row>
    <row r="78" spans="60:92" ht="15.75" customHeight="1" x14ac:dyDescent="0.35">
      <c r="BH78"/>
      <c r="BI78" s="16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</row>
    <row r="79" spans="60:92" ht="15.75" customHeight="1" x14ac:dyDescent="0.35">
      <c r="BH79"/>
      <c r="BI79" s="16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</row>
    <row r="80" spans="60:92" ht="15.75" customHeight="1" x14ac:dyDescent="0.35">
      <c r="BH80"/>
      <c r="BI80" s="16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</row>
    <row r="81" spans="60:92" ht="15.75" customHeight="1" x14ac:dyDescent="0.35">
      <c r="BH81"/>
      <c r="BI81" s="16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</row>
    <row r="82" spans="60:92" ht="15.75" customHeight="1" x14ac:dyDescent="0.35">
      <c r="BH82"/>
      <c r="BI82" s="16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</row>
    <row r="83" spans="60:92" ht="15.75" customHeight="1" x14ac:dyDescent="0.35">
      <c r="BH83"/>
      <c r="BI83" s="16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</row>
    <row r="84" spans="60:92" ht="15.75" customHeight="1" x14ac:dyDescent="0.35">
      <c r="BH84"/>
      <c r="BI84" s="16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</row>
    <row r="85" spans="60:92" ht="15.75" customHeight="1" x14ac:dyDescent="0.35">
      <c r="BH85"/>
      <c r="BI85" s="16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</row>
    <row r="86" spans="60:92" ht="15.75" customHeight="1" x14ac:dyDescent="0.35">
      <c r="BH86"/>
      <c r="BI86" s="1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</row>
    <row r="87" spans="60:92" ht="15.75" customHeight="1" x14ac:dyDescent="0.45">
      <c r="BK87" s="2"/>
      <c r="BL87" s="2"/>
    </row>
    <row r="88" spans="60:92" ht="15.75" customHeight="1" x14ac:dyDescent="0.45">
      <c r="BK88" s="2"/>
      <c r="BL88" s="2"/>
    </row>
    <row r="89" spans="60:92" ht="15.75" customHeight="1" x14ac:dyDescent="0.45">
      <c r="BK89" s="2"/>
      <c r="BL89" s="2"/>
    </row>
    <row r="90" spans="60:92" ht="15.75" customHeight="1" x14ac:dyDescent="0.45">
      <c r="BK90" s="2"/>
      <c r="BL90" s="2"/>
    </row>
    <row r="91" spans="60:92" ht="15.75" customHeight="1" x14ac:dyDescent="0.45">
      <c r="BK91" s="2"/>
      <c r="BL91" s="2"/>
    </row>
    <row r="92" spans="60:92" ht="15.75" customHeight="1" x14ac:dyDescent="0.45">
      <c r="BK92" s="2"/>
      <c r="BL92" s="2"/>
    </row>
    <row r="93" spans="60:92" ht="15.75" customHeight="1" x14ac:dyDescent="0.45">
      <c r="BK93" s="2"/>
      <c r="BL93" s="2"/>
    </row>
    <row r="94" spans="60:92" ht="15.75" customHeight="1" x14ac:dyDescent="0.45">
      <c r="BK94" s="2"/>
      <c r="BL94" s="2"/>
    </row>
    <row r="95" spans="60:92" ht="15.75" customHeight="1" x14ac:dyDescent="0.45">
      <c r="BK95" s="2"/>
      <c r="BL95" s="2"/>
    </row>
    <row r="96" spans="60:92" ht="15.75" customHeight="1" x14ac:dyDescent="0.45">
      <c r="BK96" s="2"/>
      <c r="BL96" s="2"/>
    </row>
    <row r="97" spans="63:64" ht="15.75" customHeight="1" x14ac:dyDescent="0.45">
      <c r="BK97" s="2"/>
      <c r="BL97" s="2"/>
    </row>
    <row r="98" spans="63:64" ht="15.75" customHeight="1" x14ac:dyDescent="0.45">
      <c r="BK98" s="2"/>
      <c r="BL98" s="2"/>
    </row>
    <row r="99" spans="63:64" ht="15.75" customHeight="1" x14ac:dyDescent="0.45">
      <c r="BK99" s="2"/>
      <c r="BL99" s="2"/>
    </row>
    <row r="100" spans="63:64" ht="15.75" customHeight="1" x14ac:dyDescent="0.45">
      <c r="BK100" s="2"/>
      <c r="BL100" s="2"/>
    </row>
    <row r="101" spans="63:64" ht="15.75" customHeight="1" x14ac:dyDescent="0.45">
      <c r="BK101" s="2"/>
      <c r="BL101" s="2"/>
    </row>
    <row r="102" spans="63:64" ht="15.75" customHeight="1" x14ac:dyDescent="0.45">
      <c r="BK102" s="2"/>
      <c r="BL102" s="2"/>
    </row>
    <row r="103" spans="63:64" ht="15.75" customHeight="1" x14ac:dyDescent="0.45">
      <c r="BK103" s="2"/>
      <c r="BL103" s="2"/>
    </row>
    <row r="104" spans="63:64" ht="15.75" customHeight="1" x14ac:dyDescent="0.45">
      <c r="BK104" s="2"/>
      <c r="BL104" s="2"/>
    </row>
    <row r="105" spans="63:64" ht="15.75" customHeight="1" x14ac:dyDescent="0.45">
      <c r="BK105" s="2"/>
      <c r="BL105" s="2"/>
    </row>
    <row r="106" spans="63:64" ht="15.75" customHeight="1" x14ac:dyDescent="0.45">
      <c r="BK106" s="2"/>
      <c r="BL106" s="2"/>
    </row>
    <row r="107" spans="63:64" ht="15.75" customHeight="1" x14ac:dyDescent="0.45">
      <c r="BK107" s="2"/>
      <c r="BL107" s="2"/>
    </row>
    <row r="108" spans="63:64" ht="15.75" customHeight="1" x14ac:dyDescent="0.45">
      <c r="BK108" s="2"/>
      <c r="BL108" s="2"/>
    </row>
    <row r="109" spans="63:64" ht="15.75" customHeight="1" x14ac:dyDescent="0.45">
      <c r="BK109" s="2"/>
      <c r="BL109" s="2"/>
    </row>
    <row r="110" spans="63:64" ht="15.75" customHeight="1" x14ac:dyDescent="0.45">
      <c r="BK110" s="2"/>
      <c r="BL110" s="2"/>
    </row>
    <row r="111" spans="63:64" ht="15.75" customHeight="1" x14ac:dyDescent="0.45">
      <c r="BK111" s="2"/>
      <c r="BL111" s="2"/>
    </row>
    <row r="112" spans="63:64" ht="15.75" customHeight="1" x14ac:dyDescent="0.45">
      <c r="BK112" s="2"/>
      <c r="BL112" s="2"/>
    </row>
    <row r="113" spans="63:64" ht="15.75" customHeight="1" x14ac:dyDescent="0.45">
      <c r="BK113" s="2"/>
      <c r="BL113" s="2"/>
    </row>
    <row r="114" spans="63:64" ht="15.75" customHeight="1" x14ac:dyDescent="0.45">
      <c r="BK114" s="2"/>
      <c r="BL114" s="2"/>
    </row>
    <row r="115" spans="63:64" ht="15.75" customHeight="1" x14ac:dyDescent="0.45">
      <c r="BK115" s="2"/>
      <c r="BL115" s="2"/>
    </row>
    <row r="116" spans="63:64" ht="15.75" customHeight="1" x14ac:dyDescent="0.45">
      <c r="BK116" s="2"/>
      <c r="BL116" s="2"/>
    </row>
    <row r="117" spans="63:64" ht="15.75" customHeight="1" x14ac:dyDescent="0.45">
      <c r="BK117" s="2"/>
      <c r="BL117" s="2"/>
    </row>
    <row r="118" spans="63:64" ht="15.75" customHeight="1" x14ac:dyDescent="0.45">
      <c r="BK118" s="2"/>
      <c r="BL118" s="2"/>
    </row>
    <row r="119" spans="63:64" ht="15.75" customHeight="1" x14ac:dyDescent="0.45">
      <c r="BK119" s="2"/>
      <c r="BL119" s="2"/>
    </row>
    <row r="120" spans="63:64" ht="15.75" customHeight="1" x14ac:dyDescent="0.45">
      <c r="BK120" s="2"/>
      <c r="BL120" s="2"/>
    </row>
    <row r="121" spans="63:64" ht="15.75" customHeight="1" x14ac:dyDescent="0.45">
      <c r="BK121" s="2"/>
      <c r="BL121" s="2"/>
    </row>
    <row r="122" spans="63:64" ht="15.75" customHeight="1" x14ac:dyDescent="0.45">
      <c r="BK122" s="2"/>
      <c r="BL122" s="2"/>
    </row>
    <row r="123" spans="63:64" ht="15.75" customHeight="1" x14ac:dyDescent="0.45">
      <c r="BK123" s="2"/>
      <c r="BL123" s="2"/>
    </row>
    <row r="124" spans="63:64" ht="15.75" customHeight="1" x14ac:dyDescent="0.45">
      <c r="BK124" s="2"/>
      <c r="BL124" s="2"/>
    </row>
    <row r="125" spans="63:64" ht="15.75" customHeight="1" x14ac:dyDescent="0.45">
      <c r="BK125" s="2"/>
      <c r="BL125" s="2"/>
    </row>
    <row r="126" spans="63:64" ht="15.75" customHeight="1" x14ac:dyDescent="0.45">
      <c r="BK126" s="2"/>
      <c r="BL126" s="2"/>
    </row>
    <row r="127" spans="63:64" ht="15.75" customHeight="1" x14ac:dyDescent="0.45">
      <c r="BK127" s="2"/>
      <c r="BL127" s="2"/>
    </row>
    <row r="128" spans="63:64" ht="15.75" customHeight="1" x14ac:dyDescent="0.45">
      <c r="BK128" s="2"/>
      <c r="BL128" s="2"/>
    </row>
    <row r="129" spans="63:64" ht="15.75" customHeight="1" x14ac:dyDescent="0.45">
      <c r="BK129" s="2"/>
      <c r="BL129" s="2"/>
    </row>
    <row r="130" spans="63:64" ht="15.75" customHeight="1" x14ac:dyDescent="0.45">
      <c r="BK130" s="2"/>
      <c r="BL130" s="2"/>
    </row>
    <row r="131" spans="63:64" ht="15.75" customHeight="1" x14ac:dyDescent="0.45">
      <c r="BK131" s="2"/>
      <c r="BL131" s="2"/>
    </row>
    <row r="132" spans="63:64" ht="15.75" customHeight="1" x14ac:dyDescent="0.45">
      <c r="BK132" s="2"/>
      <c r="BL132" s="2"/>
    </row>
    <row r="133" spans="63:64" ht="15.75" customHeight="1" x14ac:dyDescent="0.45">
      <c r="BK133" s="2"/>
      <c r="BL133" s="2"/>
    </row>
    <row r="134" spans="63:64" ht="15.75" customHeight="1" x14ac:dyDescent="0.45">
      <c r="BK134" s="2"/>
      <c r="BL134" s="2"/>
    </row>
    <row r="135" spans="63:64" ht="15.75" customHeight="1" x14ac:dyDescent="0.45">
      <c r="BK135" s="2"/>
      <c r="BL135" s="2"/>
    </row>
    <row r="136" spans="63:64" ht="15.75" customHeight="1" x14ac:dyDescent="0.45">
      <c r="BK136" s="2"/>
      <c r="BL136" s="2"/>
    </row>
    <row r="137" spans="63:64" ht="15.75" customHeight="1" x14ac:dyDescent="0.45">
      <c r="BK137" s="2"/>
      <c r="BL137" s="2"/>
    </row>
    <row r="138" spans="63:64" ht="15.75" customHeight="1" x14ac:dyDescent="0.45">
      <c r="BK138" s="2"/>
      <c r="BL138" s="2"/>
    </row>
    <row r="139" spans="63:64" ht="15.75" customHeight="1" x14ac:dyDescent="0.45">
      <c r="BK139" s="2"/>
      <c r="BL139" s="2"/>
    </row>
    <row r="140" spans="63:64" ht="15.75" customHeight="1" x14ac:dyDescent="0.45">
      <c r="BK140" s="2"/>
      <c r="BL140" s="2"/>
    </row>
    <row r="141" spans="63:64" ht="15.75" customHeight="1" x14ac:dyDescent="0.45">
      <c r="BK141" s="2"/>
      <c r="BL141" s="2"/>
    </row>
    <row r="142" spans="63:64" ht="15.75" customHeight="1" x14ac:dyDescent="0.45">
      <c r="BK142" s="2"/>
      <c r="BL142" s="2"/>
    </row>
    <row r="143" spans="63:64" ht="15.75" customHeight="1" x14ac:dyDescent="0.45">
      <c r="BK143" s="2"/>
      <c r="BL143" s="2"/>
    </row>
    <row r="144" spans="63:64" ht="15.75" customHeight="1" x14ac:dyDescent="0.45">
      <c r="BK144" s="2"/>
      <c r="BL144" s="2"/>
    </row>
    <row r="145" spans="63:64" ht="15.75" customHeight="1" x14ac:dyDescent="0.45">
      <c r="BK145" s="2"/>
      <c r="BL145" s="2"/>
    </row>
    <row r="146" spans="63:64" ht="15.75" customHeight="1" x14ac:dyDescent="0.45">
      <c r="BK146" s="2"/>
      <c r="BL146" s="2"/>
    </row>
    <row r="147" spans="63:64" ht="15.75" customHeight="1" x14ac:dyDescent="0.45">
      <c r="BK147" s="2"/>
      <c r="BL147" s="2"/>
    </row>
    <row r="148" spans="63:64" ht="15.75" customHeight="1" x14ac:dyDescent="0.45">
      <c r="BK148" s="2"/>
      <c r="BL148" s="2"/>
    </row>
    <row r="149" spans="63:64" ht="15.75" customHeight="1" x14ac:dyDescent="0.45">
      <c r="BK149" s="2"/>
      <c r="BL149" s="2"/>
    </row>
    <row r="150" spans="63:64" ht="15.75" customHeight="1" x14ac:dyDescent="0.45">
      <c r="BK150" s="2"/>
      <c r="BL150" s="2"/>
    </row>
    <row r="151" spans="63:64" ht="15.75" customHeight="1" x14ac:dyDescent="0.45">
      <c r="BK151" s="2"/>
      <c r="BL151" s="2"/>
    </row>
    <row r="152" spans="63:64" ht="15.75" customHeight="1" x14ac:dyDescent="0.45">
      <c r="BK152" s="2"/>
      <c r="BL152" s="2"/>
    </row>
    <row r="153" spans="63:64" ht="15.75" customHeight="1" x14ac:dyDescent="0.45">
      <c r="BK153" s="2"/>
      <c r="BL153" s="2"/>
    </row>
    <row r="154" spans="63:64" ht="15.75" customHeight="1" x14ac:dyDescent="0.45">
      <c r="BK154" s="2"/>
      <c r="BL154" s="2"/>
    </row>
    <row r="155" spans="63:64" ht="15.75" customHeight="1" x14ac:dyDescent="0.45">
      <c r="BK155" s="2"/>
      <c r="BL155" s="2"/>
    </row>
    <row r="156" spans="63:64" ht="15.75" customHeight="1" x14ac:dyDescent="0.45">
      <c r="BK156" s="2"/>
      <c r="BL156" s="2"/>
    </row>
    <row r="157" spans="63:64" ht="15.75" customHeight="1" x14ac:dyDescent="0.45">
      <c r="BK157" s="2"/>
      <c r="BL157" s="2"/>
    </row>
    <row r="158" spans="63:64" ht="15.75" customHeight="1" x14ac:dyDescent="0.45">
      <c r="BK158" s="2"/>
      <c r="BL158" s="2"/>
    </row>
    <row r="159" spans="63:64" ht="15.75" customHeight="1" x14ac:dyDescent="0.45">
      <c r="BK159" s="2"/>
      <c r="BL159" s="2"/>
    </row>
    <row r="160" spans="63:64" ht="15.75" customHeight="1" x14ac:dyDescent="0.45">
      <c r="BK160" s="2"/>
      <c r="BL160" s="2"/>
    </row>
    <row r="161" spans="63:64" ht="15.75" customHeight="1" x14ac:dyDescent="0.45">
      <c r="BK161" s="2"/>
      <c r="BL161" s="2"/>
    </row>
    <row r="162" spans="63:64" ht="15.75" customHeight="1" x14ac:dyDescent="0.45">
      <c r="BK162" s="2"/>
      <c r="BL162" s="2"/>
    </row>
    <row r="163" spans="63:64" ht="15.75" customHeight="1" x14ac:dyDescent="0.45">
      <c r="BK163" s="2"/>
      <c r="BL163" s="2"/>
    </row>
    <row r="164" spans="63:64" ht="15.75" customHeight="1" x14ac:dyDescent="0.45">
      <c r="BK164" s="2"/>
      <c r="BL164" s="2"/>
    </row>
    <row r="165" spans="63:64" ht="15.75" customHeight="1" x14ac:dyDescent="0.45">
      <c r="BK165" s="2"/>
      <c r="BL165" s="2"/>
    </row>
    <row r="166" spans="63:64" ht="15.75" customHeight="1" x14ac:dyDescent="0.45">
      <c r="BK166" s="2"/>
      <c r="BL166" s="2"/>
    </row>
    <row r="167" spans="63:64" ht="15.75" customHeight="1" x14ac:dyDescent="0.45">
      <c r="BK167" s="2"/>
      <c r="BL167" s="2"/>
    </row>
    <row r="168" spans="63:64" ht="15.75" customHeight="1" x14ac:dyDescent="0.45">
      <c r="BK168" s="2"/>
      <c r="BL168" s="2"/>
    </row>
    <row r="169" spans="63:64" ht="15.75" customHeight="1" x14ac:dyDescent="0.45">
      <c r="BK169" s="2"/>
      <c r="BL169" s="2"/>
    </row>
    <row r="170" spans="63:64" ht="15.75" customHeight="1" x14ac:dyDescent="0.45">
      <c r="BK170" s="2"/>
      <c r="BL170" s="2"/>
    </row>
    <row r="171" spans="63:64" ht="15.75" customHeight="1" x14ac:dyDescent="0.45">
      <c r="BK171" s="2"/>
      <c r="BL171" s="2"/>
    </row>
    <row r="172" spans="63:64" ht="15.75" customHeight="1" x14ac:dyDescent="0.45">
      <c r="BK172" s="2"/>
      <c r="BL172" s="2"/>
    </row>
    <row r="173" spans="63:64" ht="15.75" customHeight="1" x14ac:dyDescent="0.45">
      <c r="BK173" s="2"/>
      <c r="BL173" s="2"/>
    </row>
    <row r="174" spans="63:64" ht="15.75" customHeight="1" x14ac:dyDescent="0.45">
      <c r="BK174" s="2"/>
      <c r="BL174" s="2"/>
    </row>
    <row r="175" spans="63:64" ht="15.75" customHeight="1" x14ac:dyDescent="0.45">
      <c r="BK175" s="2"/>
      <c r="BL175" s="2"/>
    </row>
    <row r="176" spans="63:64" ht="15.75" customHeight="1" x14ac:dyDescent="0.45">
      <c r="BK176" s="2"/>
      <c r="BL176" s="2"/>
    </row>
    <row r="177" spans="63:64" ht="15.75" customHeight="1" x14ac:dyDescent="0.45">
      <c r="BK177" s="2"/>
      <c r="BL177" s="2"/>
    </row>
    <row r="178" spans="63:64" ht="15.75" customHeight="1" x14ac:dyDescent="0.45">
      <c r="BK178" s="2"/>
      <c r="BL178" s="2"/>
    </row>
    <row r="179" spans="63:64" ht="15.75" customHeight="1" x14ac:dyDescent="0.45">
      <c r="BK179" s="2"/>
      <c r="BL179" s="2"/>
    </row>
    <row r="180" spans="63:64" ht="15.75" customHeight="1" x14ac:dyDescent="0.45">
      <c r="BK180" s="2"/>
      <c r="BL180" s="2"/>
    </row>
    <row r="181" spans="63:64" ht="15.75" customHeight="1" x14ac:dyDescent="0.45">
      <c r="BK181" s="2"/>
      <c r="BL181" s="2"/>
    </row>
    <row r="182" spans="63:64" ht="15.75" customHeight="1" x14ac:dyDescent="0.45">
      <c r="BK182" s="2"/>
      <c r="BL182" s="2"/>
    </row>
    <row r="183" spans="63:64" ht="15.75" customHeight="1" x14ac:dyDescent="0.45">
      <c r="BK183" s="2"/>
      <c r="BL183" s="2"/>
    </row>
    <row r="184" spans="63:64" ht="15.75" customHeight="1" x14ac:dyDescent="0.45">
      <c r="BK184" s="2"/>
      <c r="BL184" s="2"/>
    </row>
    <row r="185" spans="63:64" ht="15.75" customHeight="1" x14ac:dyDescent="0.45">
      <c r="BK185" s="2"/>
      <c r="BL185" s="2"/>
    </row>
    <row r="186" spans="63:64" ht="15.75" customHeight="1" x14ac:dyDescent="0.45">
      <c r="BK186" s="2"/>
      <c r="BL186" s="2"/>
    </row>
    <row r="187" spans="63:64" ht="15.75" customHeight="1" x14ac:dyDescent="0.45">
      <c r="BK187" s="2"/>
      <c r="BL187" s="2"/>
    </row>
    <row r="188" spans="63:64" ht="15.75" customHeight="1" x14ac:dyDescent="0.45">
      <c r="BK188" s="2"/>
      <c r="BL188" s="2"/>
    </row>
    <row r="189" spans="63:64" ht="15.75" customHeight="1" x14ac:dyDescent="0.45">
      <c r="BK189" s="2"/>
      <c r="BL189" s="2"/>
    </row>
    <row r="190" spans="63:64" ht="15.75" customHeight="1" x14ac:dyDescent="0.45">
      <c r="BK190" s="2"/>
      <c r="BL190" s="2"/>
    </row>
    <row r="191" spans="63:64" ht="15.75" customHeight="1" x14ac:dyDescent="0.45">
      <c r="BK191" s="2"/>
      <c r="BL191" s="2"/>
    </row>
    <row r="192" spans="63:64" ht="15.75" customHeight="1" x14ac:dyDescent="0.45">
      <c r="BK192" s="2"/>
      <c r="BL192" s="2"/>
    </row>
    <row r="193" spans="63:64" ht="15.75" customHeight="1" x14ac:dyDescent="0.45">
      <c r="BK193" s="2"/>
      <c r="BL193" s="2"/>
    </row>
    <row r="194" spans="63:64" ht="15.75" customHeight="1" x14ac:dyDescent="0.45">
      <c r="BK194" s="2"/>
      <c r="BL194" s="2"/>
    </row>
    <row r="195" spans="63:64" ht="15.75" customHeight="1" x14ac:dyDescent="0.45">
      <c r="BK195" s="2"/>
      <c r="BL195" s="2"/>
    </row>
    <row r="196" spans="63:64" ht="15.75" customHeight="1" x14ac:dyDescent="0.45">
      <c r="BK196" s="2"/>
      <c r="BL196" s="2"/>
    </row>
    <row r="197" spans="63:64" ht="15.75" customHeight="1" x14ac:dyDescent="0.45">
      <c r="BK197" s="2"/>
      <c r="BL197" s="2"/>
    </row>
    <row r="198" spans="63:64" ht="15.75" customHeight="1" x14ac:dyDescent="0.45">
      <c r="BK198" s="2"/>
      <c r="BL198" s="2"/>
    </row>
    <row r="199" spans="63:64" ht="15.75" customHeight="1" x14ac:dyDescent="0.45">
      <c r="BK199" s="2"/>
      <c r="BL199" s="2"/>
    </row>
    <row r="200" spans="63:64" ht="15.75" customHeight="1" x14ac:dyDescent="0.45">
      <c r="BK200" s="2"/>
      <c r="BL200" s="2"/>
    </row>
    <row r="201" spans="63:64" ht="15.75" customHeight="1" x14ac:dyDescent="0.45">
      <c r="BK201" s="2"/>
      <c r="BL201" s="2"/>
    </row>
    <row r="202" spans="63:64" ht="15.75" customHeight="1" x14ac:dyDescent="0.45">
      <c r="BK202" s="2"/>
      <c r="BL202" s="2"/>
    </row>
    <row r="203" spans="63:64" ht="15.75" customHeight="1" x14ac:dyDescent="0.45">
      <c r="BK203" s="2"/>
      <c r="BL203" s="2"/>
    </row>
    <row r="204" spans="63:64" ht="15.75" customHeight="1" x14ac:dyDescent="0.45">
      <c r="BK204" s="2"/>
      <c r="BL204" s="2"/>
    </row>
    <row r="205" spans="63:64" ht="15.75" customHeight="1" x14ac:dyDescent="0.45">
      <c r="BK205" s="2"/>
      <c r="BL205" s="2"/>
    </row>
    <row r="206" spans="63:64" ht="15.75" customHeight="1" x14ac:dyDescent="0.45">
      <c r="BK206" s="2"/>
      <c r="BL206" s="2"/>
    </row>
    <row r="207" spans="63:64" ht="15.75" customHeight="1" x14ac:dyDescent="0.45">
      <c r="BK207" s="2"/>
      <c r="BL207" s="2"/>
    </row>
    <row r="208" spans="63:64" ht="15.75" customHeight="1" x14ac:dyDescent="0.45">
      <c r="BK208" s="2"/>
      <c r="BL208" s="2"/>
    </row>
    <row r="209" spans="63:64" ht="15.75" customHeight="1" x14ac:dyDescent="0.45">
      <c r="BK209" s="2"/>
      <c r="BL209" s="2"/>
    </row>
    <row r="210" spans="63:64" ht="15.75" customHeight="1" x14ac:dyDescent="0.45">
      <c r="BK210" s="2"/>
      <c r="BL210" s="2"/>
    </row>
    <row r="211" spans="63:64" ht="15.75" customHeight="1" x14ac:dyDescent="0.45">
      <c r="BK211" s="2"/>
      <c r="BL211" s="2"/>
    </row>
    <row r="212" spans="63:64" ht="15.75" customHeight="1" x14ac:dyDescent="0.45">
      <c r="BK212" s="2"/>
      <c r="BL212" s="2"/>
    </row>
    <row r="213" spans="63:64" ht="15.75" customHeight="1" x14ac:dyDescent="0.45">
      <c r="BK213" s="2"/>
      <c r="BL213" s="2"/>
    </row>
    <row r="214" spans="63:64" ht="15.75" customHeight="1" x14ac:dyDescent="0.45">
      <c r="BK214" s="2"/>
      <c r="BL214" s="2"/>
    </row>
    <row r="215" spans="63:64" ht="15.75" customHeight="1" x14ac:dyDescent="0.45">
      <c r="BK215" s="2"/>
      <c r="BL215" s="2"/>
    </row>
    <row r="216" spans="63:64" ht="15.75" customHeight="1" x14ac:dyDescent="0.45">
      <c r="BK216" s="2"/>
      <c r="BL216" s="2"/>
    </row>
    <row r="217" spans="63:64" ht="15.75" customHeight="1" x14ac:dyDescent="0.45">
      <c r="BK217" s="2"/>
      <c r="BL217" s="2"/>
    </row>
    <row r="218" spans="63:64" ht="15.75" customHeight="1" x14ac:dyDescent="0.45">
      <c r="BK218" s="2"/>
      <c r="BL218" s="2"/>
    </row>
    <row r="219" spans="63:64" ht="15.75" customHeight="1" x14ac:dyDescent="0.45">
      <c r="BK219" s="2"/>
      <c r="BL219" s="2"/>
    </row>
    <row r="220" spans="63:64" ht="15.75" customHeight="1" x14ac:dyDescent="0.45">
      <c r="BK220" s="2"/>
      <c r="BL220" s="2"/>
    </row>
    <row r="221" spans="63:64" ht="15.75" customHeight="1" x14ac:dyDescent="0.45">
      <c r="BK221" s="2"/>
      <c r="BL221" s="2"/>
    </row>
    <row r="222" spans="63:64" ht="15.75" customHeight="1" x14ac:dyDescent="0.45">
      <c r="BK222" s="2"/>
      <c r="BL222" s="2"/>
    </row>
    <row r="223" spans="63:64" ht="15.75" customHeight="1" x14ac:dyDescent="0.45">
      <c r="BK223" s="2"/>
      <c r="BL223" s="2"/>
    </row>
    <row r="224" spans="63:64" ht="15.75" customHeight="1" x14ac:dyDescent="0.45">
      <c r="BK224" s="2"/>
      <c r="BL224" s="2"/>
    </row>
    <row r="225" spans="63:64" ht="15.75" customHeight="1" x14ac:dyDescent="0.45">
      <c r="BK225" s="2"/>
      <c r="BL225" s="2"/>
    </row>
    <row r="226" spans="63:64" ht="15.75" customHeight="1" x14ac:dyDescent="0.45">
      <c r="BK226" s="2"/>
      <c r="BL226" s="2"/>
    </row>
    <row r="227" spans="63:64" ht="15.75" customHeight="1" x14ac:dyDescent="0.45">
      <c r="BK227" s="2"/>
      <c r="BL227" s="2"/>
    </row>
    <row r="228" spans="63:64" ht="15.75" customHeight="1" x14ac:dyDescent="0.45">
      <c r="BK228" s="2"/>
      <c r="BL228" s="2"/>
    </row>
    <row r="229" spans="63:64" ht="15.75" customHeight="1" x14ac:dyDescent="0.45">
      <c r="BK229" s="2"/>
      <c r="BL229" s="2"/>
    </row>
    <row r="230" spans="63:64" ht="15.75" customHeight="1" x14ac:dyDescent="0.45">
      <c r="BK230" s="2"/>
      <c r="BL230" s="2"/>
    </row>
    <row r="231" spans="63:64" ht="15.75" customHeight="1" x14ac:dyDescent="0.45">
      <c r="BK231" s="2"/>
      <c r="BL231" s="2"/>
    </row>
    <row r="232" spans="63:64" ht="15.75" customHeight="1" x14ac:dyDescent="0.45">
      <c r="BK232" s="2"/>
      <c r="BL232" s="2"/>
    </row>
    <row r="233" spans="63:64" ht="15.75" customHeight="1" x14ac:dyDescent="0.45">
      <c r="BK233" s="2"/>
      <c r="BL233" s="2"/>
    </row>
    <row r="234" spans="63:64" ht="15.75" customHeight="1" x14ac:dyDescent="0.45">
      <c r="BK234" s="2"/>
      <c r="BL234" s="2"/>
    </row>
    <row r="235" spans="63:64" x14ac:dyDescent="0.45">
      <c r="BK235" s="2"/>
      <c r="BL235" s="2"/>
    </row>
    <row r="236" spans="63:64" ht="15.75" customHeight="1" x14ac:dyDescent="0.45">
      <c r="BK236" s="2"/>
      <c r="BL236" s="2"/>
    </row>
    <row r="237" spans="63:64" ht="15.75" customHeight="1" x14ac:dyDescent="0.45">
      <c r="BK237" s="2"/>
      <c r="BL237" s="2"/>
    </row>
    <row r="238" spans="63:64" ht="15.75" customHeight="1" x14ac:dyDescent="0.45"/>
    <row r="239" spans="63:64" ht="15.75" customHeight="1" x14ac:dyDescent="0.45"/>
    <row r="240" spans="63:64" ht="15.75" customHeight="1" x14ac:dyDescent="0.45"/>
    <row r="241" ht="15.75" customHeight="1" x14ac:dyDescent="0.45"/>
    <row r="242" ht="15.75" customHeight="1" x14ac:dyDescent="0.45"/>
    <row r="243" ht="15.75" customHeight="1" x14ac:dyDescent="0.45"/>
    <row r="244" ht="15.75" customHeight="1" x14ac:dyDescent="0.45"/>
    <row r="245" ht="15.75" customHeight="1" x14ac:dyDescent="0.45"/>
    <row r="246" ht="15.75" customHeight="1" x14ac:dyDescent="0.45"/>
    <row r="247" ht="15.75" customHeight="1" x14ac:dyDescent="0.45"/>
    <row r="248" ht="15.75" customHeight="1" x14ac:dyDescent="0.45"/>
    <row r="249" ht="15.75" customHeight="1" x14ac:dyDescent="0.45"/>
    <row r="250" ht="15.75" customHeight="1" x14ac:dyDescent="0.45"/>
    <row r="251" ht="15.75" customHeight="1" x14ac:dyDescent="0.45"/>
    <row r="252" ht="15.75" customHeight="1" x14ac:dyDescent="0.45"/>
    <row r="253" ht="15.75" customHeight="1" x14ac:dyDescent="0.45"/>
    <row r="254" ht="23.25" customHeight="1" x14ac:dyDescent="0.45"/>
    <row r="255" ht="15" customHeight="1" x14ac:dyDescent="0.45"/>
    <row r="256" ht="15.75" customHeight="1" x14ac:dyDescent="0.45"/>
    <row r="257" ht="15" customHeight="1" x14ac:dyDescent="0.45"/>
    <row r="258" ht="15.75" customHeight="1" x14ac:dyDescent="0.45"/>
    <row r="259" ht="15" customHeight="1" x14ac:dyDescent="0.45"/>
    <row r="260" ht="15.75" customHeight="1" x14ac:dyDescent="0.45"/>
    <row r="261" ht="15" customHeight="1" x14ac:dyDescent="0.45"/>
    <row r="262" ht="15.75" customHeight="1" x14ac:dyDescent="0.45"/>
    <row r="263" ht="15" customHeight="1" x14ac:dyDescent="0.45"/>
    <row r="264" ht="15.75" customHeight="1" x14ac:dyDescent="0.45"/>
    <row r="265" ht="15" customHeight="1" x14ac:dyDescent="0.45"/>
    <row r="266" ht="15.75" customHeight="1" x14ac:dyDescent="0.45"/>
    <row r="267" ht="15" customHeight="1" x14ac:dyDescent="0.45"/>
    <row r="268" ht="15.75" customHeight="1" x14ac:dyDescent="0.45"/>
    <row r="269" ht="15" customHeight="1" x14ac:dyDescent="0.45"/>
    <row r="270" ht="15.75" customHeight="1" x14ac:dyDescent="0.45"/>
    <row r="271" ht="15" customHeight="1" x14ac:dyDescent="0.45"/>
    <row r="272" ht="15.75" customHeight="1" x14ac:dyDescent="0.45"/>
    <row r="273" ht="15" customHeight="1" x14ac:dyDescent="0.45"/>
    <row r="274" ht="15.75" customHeight="1" x14ac:dyDescent="0.45"/>
    <row r="275" ht="15" customHeight="1" x14ac:dyDescent="0.45"/>
    <row r="276" ht="15.75" customHeight="1" x14ac:dyDescent="0.45"/>
    <row r="277" ht="15" customHeight="1" x14ac:dyDescent="0.45"/>
    <row r="278" ht="15.75" customHeight="1" x14ac:dyDescent="0.45"/>
    <row r="279" ht="15" customHeight="1" x14ac:dyDescent="0.45"/>
    <row r="280" ht="15.75" customHeight="1" x14ac:dyDescent="0.45"/>
    <row r="281" ht="15" customHeight="1" x14ac:dyDescent="0.45"/>
    <row r="282" ht="15.75" customHeight="1" x14ac:dyDescent="0.45"/>
    <row r="283" ht="15" customHeight="1" x14ac:dyDescent="0.45"/>
    <row r="284" ht="15.75" customHeight="1" x14ac:dyDescent="0.45"/>
    <row r="285" ht="15" customHeight="1" x14ac:dyDescent="0.45"/>
    <row r="286" ht="15.75" customHeight="1" x14ac:dyDescent="0.45"/>
  </sheetData>
  <mergeCells count="1">
    <mergeCell ref="CR6:CR8"/>
  </mergeCells>
  <conditionalFormatting sqref="CR6:CR8">
    <cfRule type="containsText" dxfId="241" priority="7" operator="containsText" text="பிழை">
      <formula>NOT(ISERROR(SEARCH("பிழை",CR6)))</formula>
    </cfRule>
    <cfRule type="cellIs" dxfId="240" priority="8" operator="equal">
      <formula>"சரி"</formula>
    </cfRule>
  </conditionalFormatting>
  <conditionalFormatting sqref="CU15:CU20">
    <cfRule type="notContainsText" dxfId="239" priority="3" operator="notContains" text="சரி">
      <formula>ISERROR(SEARCH("சரி",CU15))</formula>
    </cfRule>
    <cfRule type="containsText" dxfId="238" priority="4" operator="containsText" text="சரி">
      <formula>NOT(ISERROR(SEARCH("சரி",CU15)))</formula>
    </cfRule>
  </conditionalFormatting>
  <conditionalFormatting sqref="CU15:CU21">
    <cfRule type="notContainsText" dxfId="237" priority="5" operator="notContains" text="சரி">
      <formula>ISERROR(SEARCH("சரி",CU15))</formula>
    </cfRule>
    <cfRule type="containsText" dxfId="236" priority="6" operator="containsText" text="சரி">
      <formula>NOT(ISERROR(SEARCH("சரி",CU15)))</formula>
    </cfRule>
  </conditionalFormatting>
  <conditionalFormatting sqref="CU22">
    <cfRule type="notContainsText" dxfId="235" priority="1" operator="notContains" text="சரி">
      <formula>ISERROR(SEARCH("சரி",CU22))</formula>
    </cfRule>
    <cfRule type="containsText" dxfId="234" priority="2" operator="containsText" text="சரி">
      <formula>NOT(ISERROR(SEARCH("சரி",CU22)))</formula>
    </cfRule>
  </conditionalFormatting>
  <pageMargins left="0.7" right="0.7" top="0.75" bottom="0.75" header="0.3" footer="0.3"/>
  <pageSetup scale="63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00B050"/>
  </sheetPr>
  <dimension ref="A1:DQ290"/>
  <sheetViews>
    <sheetView view="pageBreakPreview" topLeftCell="BI1" zoomScale="85" zoomScaleNormal="85" zoomScaleSheetLayoutView="85" workbookViewId="0">
      <selection activeCell="CP11" sqref="CP11"/>
    </sheetView>
  </sheetViews>
  <sheetFormatPr defaultColWidth="9.109375" defaultRowHeight="20.399999999999999" x14ac:dyDescent="0.45"/>
  <cols>
    <col min="1" max="22" width="8.109375" style="1" hidden="1" customWidth="1"/>
    <col min="23" max="27" width="5.109375" style="1" hidden="1" customWidth="1"/>
    <col min="28" max="31" width="2.5546875" style="1" hidden="1" customWidth="1"/>
    <col min="32" max="37" width="8.109375" style="1" hidden="1" customWidth="1"/>
    <col min="38" max="38" width="2.5546875" style="1" hidden="1" customWidth="1"/>
    <col min="39" max="39" width="2.44140625" style="1" hidden="1" customWidth="1"/>
    <col min="40" max="40" width="2.5546875" style="1" hidden="1" customWidth="1"/>
    <col min="41" max="41" width="2.44140625" style="1" hidden="1" customWidth="1"/>
    <col min="42" max="51" width="2.5546875" style="1" hidden="1" customWidth="1"/>
    <col min="52" max="56" width="8.109375" style="1" hidden="1" customWidth="1"/>
    <col min="57" max="57" width="11.109375" style="1" hidden="1" customWidth="1"/>
    <col min="58" max="60" width="9.109375" style="1" hidden="1" customWidth="1"/>
    <col min="61" max="61" width="25.6640625" style="17" bestFit="1" customWidth="1"/>
    <col min="62" max="63" width="4" style="1" hidden="1" customWidth="1"/>
    <col min="64" max="64" width="4.5546875" style="1" hidden="1" customWidth="1"/>
    <col min="65" max="65" width="3" style="1" hidden="1" customWidth="1"/>
    <col min="66" max="71" width="2.6640625" style="1" hidden="1" customWidth="1"/>
    <col min="72" max="81" width="4.33203125" style="1" hidden="1" customWidth="1"/>
    <col min="82" max="85" width="17.44140625" style="1" customWidth="1"/>
    <col min="86" max="86" width="7.6640625" style="1" hidden="1" customWidth="1"/>
    <col min="87" max="92" width="4.44140625" style="1" hidden="1" customWidth="1"/>
    <col min="93" max="93" width="21.5546875" style="1" hidden="1" customWidth="1"/>
    <col min="94" max="94" width="15.5546875" style="1" bestFit="1" customWidth="1"/>
    <col min="95" max="95" width="9.109375" style="1" hidden="1" customWidth="1"/>
    <col min="96" max="96" width="16.33203125" style="1" bestFit="1" customWidth="1"/>
    <col min="97" max="97" width="23.88671875" style="1" bestFit="1" customWidth="1"/>
    <col min="98" max="98" width="26" style="1" bestFit="1" customWidth="1"/>
    <col min="99" max="99" width="9.109375" style="1"/>
    <col min="100" max="100" width="7.109375" style="1" customWidth="1"/>
    <col min="101" max="101" width="9.109375" style="82" customWidth="1"/>
    <col min="102" max="102" width="9.109375" style="82"/>
    <col min="103" max="103" width="10.88671875" style="82" bestFit="1" customWidth="1"/>
    <col min="104" max="121" width="9.109375" style="82"/>
    <col min="122" max="16384" width="9.109375" style="1"/>
  </cols>
  <sheetData>
    <row r="1" spans="1:121" ht="32.4" x14ac:dyDescent="0.7">
      <c r="BI1" s="63" t="s">
        <v>367</v>
      </c>
      <c r="BJ1" s="64"/>
      <c r="BK1" s="64"/>
      <c r="BL1" s="64"/>
      <c r="BM1" s="64"/>
      <c r="BN1" s="64"/>
      <c r="BO1" s="64"/>
      <c r="BP1" s="64"/>
      <c r="BQ1" s="64"/>
      <c r="BR1" s="64"/>
      <c r="BS1" s="64"/>
      <c r="BT1" s="64"/>
      <c r="BU1" s="64"/>
      <c r="BV1" s="64"/>
      <c r="BW1" s="64"/>
      <c r="BX1" s="64"/>
      <c r="BY1" s="64"/>
      <c r="BZ1" s="64"/>
      <c r="CA1" s="64"/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4"/>
      <c r="CU1" s="64"/>
      <c r="CV1" s="65"/>
    </row>
    <row r="2" spans="1:121" ht="25.8" x14ac:dyDescent="0.55000000000000004">
      <c r="BI2" s="66"/>
      <c r="BJ2" s="67"/>
      <c r="BK2" s="67"/>
      <c r="BL2" s="67"/>
      <c r="BM2" s="67"/>
      <c r="BN2" s="67"/>
      <c r="BO2" s="67"/>
      <c r="BP2" s="67"/>
      <c r="BQ2" s="67"/>
      <c r="BR2" s="67"/>
      <c r="BS2" s="67"/>
      <c r="BT2" s="67"/>
      <c r="BU2" s="67"/>
      <c r="BV2" s="67"/>
      <c r="BW2" s="67"/>
      <c r="BX2" s="67"/>
      <c r="BY2" s="67"/>
      <c r="BZ2" s="67"/>
      <c r="CA2" s="67"/>
      <c r="CB2" s="67"/>
      <c r="CC2" s="67"/>
      <c r="CD2" s="67"/>
      <c r="CE2" s="67"/>
      <c r="CF2" s="67"/>
      <c r="CG2" s="67"/>
      <c r="CH2" s="67"/>
      <c r="CI2" s="67"/>
      <c r="CJ2" s="67"/>
      <c r="CK2" s="67"/>
      <c r="CL2" s="67"/>
      <c r="CM2" s="67"/>
      <c r="CN2" s="67"/>
      <c r="CO2" s="67"/>
      <c r="CP2" s="67"/>
      <c r="CQ2" s="67"/>
      <c r="CR2" s="67"/>
      <c r="CS2" s="67"/>
      <c r="CT2" s="67"/>
      <c r="CU2" s="68" t="s">
        <v>346</v>
      </c>
      <c r="CV2" s="69"/>
    </row>
    <row r="3" spans="1:121" ht="16.8" x14ac:dyDescent="0.35">
      <c r="BI3" s="44"/>
      <c r="BJ3" s="25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7"/>
      <c r="BX3" s="28"/>
      <c r="BY3" s="28"/>
      <c r="BZ3" s="28"/>
      <c r="CA3" s="28"/>
      <c r="CB3" s="28"/>
      <c r="CC3" s="28"/>
      <c r="CD3" s="25"/>
      <c r="CE3" s="25"/>
      <c r="CF3" s="25"/>
      <c r="CG3" s="25"/>
      <c r="CH3" s="25"/>
      <c r="CI3" s="25"/>
      <c r="CJ3" s="25"/>
      <c r="CK3" s="25"/>
      <c r="CL3" s="25"/>
      <c r="CM3" s="25"/>
      <c r="CN3" s="25"/>
      <c r="CO3" s="25"/>
      <c r="CP3" s="25"/>
      <c r="CQ3" s="25"/>
      <c r="CR3" s="25"/>
      <c r="CS3" s="25"/>
      <c r="CT3" s="25"/>
      <c r="CU3" s="25"/>
      <c r="CV3" s="45"/>
    </row>
    <row r="4" spans="1:121" s="17" customFormat="1" x14ac:dyDescent="0.45">
      <c r="BI4" s="77" t="s">
        <v>348</v>
      </c>
      <c r="BJ4" s="78"/>
      <c r="BK4" s="78"/>
      <c r="BL4" s="78"/>
      <c r="BM4" s="78"/>
      <c r="BN4" s="78"/>
      <c r="BO4" s="78"/>
      <c r="BP4" s="78"/>
      <c r="BQ4" s="78"/>
      <c r="BR4" s="78"/>
      <c r="BS4" s="78"/>
      <c r="BT4" s="78"/>
      <c r="BU4" s="78"/>
      <c r="BV4" s="78"/>
      <c r="BW4" s="78"/>
      <c r="BX4" s="78"/>
      <c r="BY4" s="78"/>
      <c r="BZ4" s="78"/>
      <c r="CA4" s="78"/>
      <c r="CB4" s="78"/>
      <c r="CC4" s="78"/>
      <c r="CD4" s="78"/>
      <c r="CE4" s="78"/>
      <c r="CF4" s="78"/>
      <c r="CG4" s="78"/>
      <c r="CH4" s="78"/>
      <c r="CI4" s="78"/>
      <c r="CJ4" s="78"/>
      <c r="CK4" s="78"/>
      <c r="CL4" s="78"/>
      <c r="CM4" s="78"/>
      <c r="CN4" s="78"/>
      <c r="CO4" s="78"/>
      <c r="CP4" s="78"/>
      <c r="CQ4" s="78"/>
      <c r="CR4" s="78"/>
      <c r="CS4" s="78"/>
      <c r="CT4" s="78"/>
      <c r="CU4" s="78"/>
      <c r="CV4" s="79"/>
      <c r="CW4" s="87"/>
      <c r="CX4" s="87"/>
      <c r="CY4" s="87"/>
      <c r="CZ4" s="87"/>
      <c r="DA4" s="87"/>
      <c r="DB4" s="87"/>
      <c r="DC4" s="87"/>
      <c r="DD4" s="87"/>
      <c r="DE4" s="87"/>
      <c r="DF4" s="87"/>
      <c r="DG4" s="87"/>
      <c r="DH4" s="87"/>
      <c r="DI4" s="87"/>
      <c r="DJ4" s="87"/>
      <c r="DK4" s="87"/>
      <c r="DL4" s="87"/>
      <c r="DM4" s="87"/>
      <c r="DN4" s="87"/>
      <c r="DO4" s="87"/>
      <c r="DP4" s="87"/>
      <c r="DQ4" s="87"/>
    </row>
    <row r="5" spans="1:121" ht="16.8" x14ac:dyDescent="0.35">
      <c r="BI5" s="48"/>
      <c r="BJ5" s="31"/>
      <c r="BK5" s="32"/>
      <c r="BL5" s="32"/>
      <c r="BM5" s="32"/>
      <c r="BN5" s="32"/>
      <c r="BO5" s="32"/>
      <c r="BP5" s="32"/>
      <c r="BQ5" s="32"/>
      <c r="BR5" s="32"/>
      <c r="BS5" s="32"/>
      <c r="BT5" s="32"/>
      <c r="BU5" s="32"/>
      <c r="BV5" s="32"/>
      <c r="BW5" s="33"/>
      <c r="CD5" s="31"/>
      <c r="CE5" s="31"/>
      <c r="CF5" s="31"/>
      <c r="CG5" s="31"/>
      <c r="CH5" s="31"/>
      <c r="CI5" s="31"/>
      <c r="CJ5" s="31"/>
      <c r="CK5" s="31"/>
      <c r="CL5" s="31"/>
      <c r="CM5" s="31"/>
      <c r="CN5" s="31"/>
      <c r="CO5" s="31"/>
      <c r="CP5" s="31"/>
      <c r="CQ5" s="31"/>
      <c r="CR5" s="31"/>
      <c r="CS5" s="31"/>
      <c r="CT5" s="31"/>
      <c r="CU5" s="31"/>
      <c r="CV5" s="49"/>
    </row>
    <row r="6" spans="1:121" s="29" customFormat="1" ht="16.8" x14ac:dyDescent="0.35">
      <c r="BI6" s="50"/>
      <c r="BJ6" s="34"/>
      <c r="BK6" s="35"/>
      <c r="BL6" s="35"/>
      <c r="BM6" s="35"/>
      <c r="BN6" s="35"/>
      <c r="BO6" s="35"/>
      <c r="BP6" s="35"/>
      <c r="BQ6" s="35"/>
      <c r="BR6" s="35"/>
      <c r="BS6" s="35"/>
      <c r="BT6" s="35"/>
      <c r="BU6" s="35"/>
      <c r="BV6" s="35"/>
      <c r="BW6" s="36"/>
      <c r="CD6" s="76" t="s">
        <v>357</v>
      </c>
      <c r="CE6" s="76" t="s">
        <v>519</v>
      </c>
      <c r="CF6" s="76" t="s">
        <v>359</v>
      </c>
      <c r="CG6" s="76" t="s">
        <v>360</v>
      </c>
      <c r="CH6" s="34"/>
      <c r="CI6" s="34"/>
      <c r="CJ6" s="34"/>
      <c r="CK6" s="34"/>
      <c r="CL6" s="34"/>
      <c r="CM6" s="34"/>
      <c r="CN6" s="34"/>
      <c r="CO6" s="34"/>
      <c r="CP6" s="31"/>
      <c r="CQ6" s="34"/>
      <c r="CR6" s="212" t="str">
        <f>IF((CU15&amp;CU16&amp;CU17&amp;CU18&amp;CU19&amp;CU20&amp;CU21&amp;CU22&amp;CU23&amp;CU24&amp;CU25)="சரிசரிசரிசரிசரிசரிசரிசரிசரிசரிசரி","சரி","பிழை")</f>
        <v>சரி</v>
      </c>
      <c r="CS6" s="34"/>
      <c r="CT6" s="34"/>
      <c r="CU6" s="34"/>
      <c r="CV6" s="51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</row>
    <row r="7" spans="1:121" s="29" customFormat="1" ht="16.8" x14ac:dyDescent="0.35">
      <c r="BI7" s="50"/>
      <c r="BJ7" s="34"/>
      <c r="BK7" s="37"/>
      <c r="BL7" s="37"/>
      <c r="BM7" s="37"/>
      <c r="BN7" s="37"/>
      <c r="BO7" s="37"/>
      <c r="BP7" s="37"/>
      <c r="BQ7" s="37"/>
      <c r="BR7" s="37"/>
      <c r="BS7" s="37"/>
      <c r="BT7" s="37"/>
      <c r="BU7" s="37"/>
      <c r="BV7" s="37"/>
      <c r="BW7" s="36"/>
      <c r="CD7" s="34"/>
      <c r="CE7" s="34"/>
      <c r="CF7" s="34"/>
      <c r="CG7" s="34"/>
      <c r="CH7" s="34"/>
      <c r="CI7" s="34"/>
      <c r="CJ7" s="34"/>
      <c r="CK7" s="34"/>
      <c r="CL7" s="34"/>
      <c r="CM7" s="34"/>
      <c r="CN7" s="34"/>
      <c r="CO7" s="34"/>
      <c r="CP7" s="31"/>
      <c r="CQ7" s="34"/>
      <c r="CR7" s="212"/>
      <c r="CS7" s="34"/>
      <c r="CT7" s="34"/>
      <c r="CU7" s="34"/>
      <c r="CV7" s="51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</row>
    <row r="8" spans="1:121" s="29" customFormat="1" ht="16.8" x14ac:dyDescent="0.35">
      <c r="BI8" s="50"/>
      <c r="BJ8" s="34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6"/>
      <c r="CD8" s="76" t="s">
        <v>361</v>
      </c>
      <c r="CE8" s="76" t="s">
        <v>358</v>
      </c>
      <c r="CF8" s="76" t="s">
        <v>362</v>
      </c>
      <c r="CG8" s="76" t="s">
        <v>363</v>
      </c>
      <c r="CH8" s="34"/>
      <c r="CI8" s="34"/>
      <c r="CJ8" s="34"/>
      <c r="CK8" s="34"/>
      <c r="CL8" s="34"/>
      <c r="CM8" s="34"/>
      <c r="CN8" s="34"/>
      <c r="CO8" s="34"/>
      <c r="CP8" s="31"/>
      <c r="CQ8" s="34"/>
      <c r="CR8" s="212"/>
      <c r="CS8" s="34"/>
      <c r="CT8" s="34"/>
      <c r="CU8" s="34"/>
      <c r="CV8" s="51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</row>
    <row r="9" spans="1:121" ht="16.8" x14ac:dyDescent="0.35">
      <c r="BI9" s="48"/>
      <c r="BJ9" s="31"/>
      <c r="BK9" s="38"/>
      <c r="BL9" s="38"/>
      <c r="BM9" s="38"/>
      <c r="BN9" s="38"/>
      <c r="BO9" s="38"/>
      <c r="BP9" s="38"/>
      <c r="BQ9" s="38"/>
      <c r="BR9" s="38"/>
      <c r="BS9" s="38"/>
      <c r="BT9" s="38"/>
      <c r="BU9" s="38"/>
      <c r="BV9" s="38"/>
      <c r="BW9" s="39"/>
      <c r="CD9" s="31"/>
      <c r="CE9" s="31"/>
      <c r="CF9" s="31"/>
      <c r="CG9" s="31"/>
      <c r="CH9" s="31"/>
      <c r="CI9" s="31"/>
      <c r="CJ9" s="31"/>
      <c r="CK9" s="31"/>
      <c r="CL9" s="31"/>
      <c r="CM9" s="31"/>
      <c r="CN9" s="31"/>
      <c r="CO9" s="31"/>
      <c r="CP9" s="31"/>
      <c r="CQ9" s="31"/>
      <c r="CR9" s="31"/>
      <c r="CS9" s="31"/>
      <c r="CT9" s="31"/>
      <c r="CU9" s="31"/>
      <c r="CV9" s="49"/>
    </row>
    <row r="10" spans="1:121" ht="16.8" x14ac:dyDescent="0.35">
      <c r="BI10" s="48"/>
      <c r="BJ10" s="31"/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9"/>
      <c r="CD10" s="76" t="s">
        <v>364</v>
      </c>
      <c r="CE10" s="76" t="s">
        <v>365</v>
      </c>
      <c r="CF10" s="76" t="s">
        <v>366</v>
      </c>
      <c r="CG10" s="31"/>
      <c r="CH10" s="31"/>
      <c r="CI10" s="31"/>
      <c r="CJ10" s="31"/>
      <c r="CK10" s="31"/>
      <c r="CL10" s="31"/>
      <c r="CM10" s="31"/>
      <c r="CN10" s="31"/>
      <c r="CO10" s="31"/>
      <c r="CP10" s="31"/>
      <c r="CQ10" s="31"/>
      <c r="CR10" s="31"/>
      <c r="CS10" s="31"/>
      <c r="CT10" s="31"/>
      <c r="CU10" s="31"/>
      <c r="CV10" s="49"/>
    </row>
    <row r="11" spans="1:121" ht="16.8" x14ac:dyDescent="0.35">
      <c r="BI11" s="48"/>
      <c r="BJ11" s="31"/>
      <c r="BK11" s="31"/>
      <c r="BL11" s="31"/>
      <c r="BM11" s="31"/>
      <c r="BN11" s="31"/>
      <c r="BO11" s="31"/>
      <c r="BP11" s="31"/>
      <c r="BQ11" s="31"/>
      <c r="BR11" s="31"/>
      <c r="BS11" s="31"/>
      <c r="BT11" s="31"/>
      <c r="BU11" s="31"/>
      <c r="BV11" s="31"/>
      <c r="BW11" s="31"/>
      <c r="BX11" s="31"/>
      <c r="BY11" s="31"/>
      <c r="BZ11" s="31"/>
      <c r="CA11" s="31"/>
      <c r="CB11" s="31"/>
      <c r="CC11" s="31"/>
      <c r="CD11" s="31"/>
      <c r="CE11" s="31"/>
      <c r="CF11" s="31"/>
      <c r="CG11" s="31"/>
      <c r="CH11" s="31"/>
      <c r="CI11" s="31"/>
      <c r="CJ11" s="31"/>
      <c r="CK11" s="31"/>
      <c r="CL11" s="31"/>
      <c r="CM11" s="31"/>
      <c r="CN11" s="31"/>
      <c r="CO11" s="31"/>
      <c r="CP11" s="31"/>
      <c r="CQ11" s="31"/>
      <c r="CR11" s="31"/>
      <c r="CS11" s="31"/>
      <c r="CT11" s="31"/>
      <c r="CU11" s="31"/>
      <c r="CV11" s="49"/>
    </row>
    <row r="12" spans="1:121" ht="16.8" x14ac:dyDescent="0.35">
      <c r="BI12" s="48"/>
      <c r="BJ12" s="31"/>
      <c r="BK12" s="31"/>
      <c r="BL12" s="31"/>
      <c r="BM12" s="31"/>
      <c r="BN12" s="31"/>
      <c r="BO12" s="31"/>
      <c r="BP12" s="31"/>
      <c r="BQ12" s="31"/>
      <c r="BR12" s="31"/>
      <c r="BS12" s="31"/>
      <c r="BT12" s="31"/>
      <c r="BU12" s="31"/>
      <c r="BV12" s="31"/>
      <c r="BW12" s="31"/>
      <c r="BX12" s="31"/>
      <c r="BY12" s="31"/>
      <c r="BZ12" s="31"/>
      <c r="CA12" s="31"/>
      <c r="CB12" s="31"/>
      <c r="CC12" s="31"/>
      <c r="CD12" s="31"/>
      <c r="CE12" s="31"/>
      <c r="CF12" s="31"/>
      <c r="CG12" s="31"/>
      <c r="CH12" s="31"/>
      <c r="CI12" s="31"/>
      <c r="CJ12" s="31"/>
      <c r="CK12" s="31"/>
      <c r="CL12" s="31"/>
      <c r="CM12" s="31"/>
      <c r="CN12" s="31"/>
      <c r="CO12" s="31"/>
      <c r="CP12" s="31"/>
      <c r="CQ12" s="31"/>
      <c r="CR12" s="31"/>
      <c r="CS12" s="31"/>
      <c r="CT12" s="31"/>
      <c r="CU12" s="31"/>
      <c r="CV12" s="49"/>
    </row>
    <row r="13" spans="1:121" s="41" customFormat="1" x14ac:dyDescent="0.45">
      <c r="BI13" s="70" t="s">
        <v>347</v>
      </c>
      <c r="BJ13" s="71"/>
      <c r="BK13" s="71"/>
      <c r="BL13" s="71"/>
      <c r="BM13" s="71"/>
      <c r="BN13" s="71"/>
      <c r="BO13" s="71"/>
      <c r="BP13" s="71"/>
      <c r="BQ13" s="71"/>
      <c r="BR13" s="71"/>
      <c r="BS13" s="71"/>
      <c r="BT13" s="71"/>
      <c r="BU13" s="71"/>
      <c r="BV13" s="71"/>
      <c r="BW13" s="71"/>
      <c r="BX13" s="71"/>
      <c r="BY13" s="71"/>
      <c r="BZ13" s="71"/>
      <c r="CA13" s="71"/>
      <c r="CB13" s="71"/>
      <c r="CC13" s="71"/>
      <c r="CD13" s="71"/>
      <c r="CE13" s="71"/>
      <c r="CF13" s="71"/>
      <c r="CG13" s="71"/>
      <c r="CH13" s="71"/>
      <c r="CI13" s="71"/>
      <c r="CJ13" s="71"/>
      <c r="CK13" s="71"/>
      <c r="CL13" s="71"/>
      <c r="CM13" s="71"/>
      <c r="CN13" s="71"/>
      <c r="CO13" s="71"/>
      <c r="CP13" s="71"/>
      <c r="CQ13" s="71"/>
      <c r="CR13" s="71"/>
      <c r="CS13" s="71"/>
      <c r="CT13" s="71"/>
      <c r="CU13" s="71"/>
      <c r="CV13" s="72"/>
      <c r="CW13" s="89"/>
      <c r="CX13" s="89"/>
      <c r="CY13" s="89"/>
      <c r="CZ13" s="89"/>
      <c r="DA13" s="89"/>
      <c r="DB13" s="89"/>
      <c r="DC13" s="89"/>
      <c r="DD13" s="89"/>
      <c r="DE13" s="89"/>
      <c r="DF13" s="89"/>
      <c r="DG13" s="89"/>
      <c r="DH13" s="89"/>
      <c r="DI13" s="89"/>
      <c r="DJ13" s="89"/>
      <c r="DK13" s="89"/>
      <c r="DL13" s="89"/>
      <c r="DM13" s="89"/>
      <c r="DN13" s="89"/>
      <c r="DO13" s="89"/>
      <c r="DP13" s="89"/>
      <c r="DQ13" s="89"/>
    </row>
    <row r="14" spans="1:121" s="41" customFormat="1" ht="16.8" x14ac:dyDescent="0.35">
      <c r="BI14" s="73" t="s">
        <v>349</v>
      </c>
      <c r="BJ14" s="74"/>
      <c r="BK14" s="74"/>
      <c r="BL14" s="74"/>
      <c r="BM14" s="74"/>
      <c r="BN14" s="74"/>
      <c r="BO14" s="74"/>
      <c r="BP14" s="74"/>
      <c r="BQ14" s="74"/>
      <c r="BR14" s="74"/>
      <c r="BS14" s="74"/>
      <c r="BT14" s="74"/>
      <c r="BU14" s="74"/>
      <c r="BV14" s="74"/>
      <c r="BW14" s="74"/>
      <c r="BX14" s="74"/>
      <c r="BY14" s="74"/>
      <c r="BZ14" s="74"/>
      <c r="CA14" s="74"/>
      <c r="CB14" s="74"/>
      <c r="CC14" s="74"/>
      <c r="CD14" s="74" t="s">
        <v>350</v>
      </c>
      <c r="CE14" s="74" t="s">
        <v>351</v>
      </c>
      <c r="CF14" s="74" t="s">
        <v>352</v>
      </c>
      <c r="CG14" s="74" t="s">
        <v>353</v>
      </c>
      <c r="CH14" s="74"/>
      <c r="CI14" s="74"/>
      <c r="CJ14" s="74"/>
      <c r="CK14" s="74"/>
      <c r="CL14" s="74"/>
      <c r="CM14" s="74"/>
      <c r="CN14" s="74"/>
      <c r="CO14" s="74"/>
      <c r="CP14" s="74" t="s">
        <v>354</v>
      </c>
      <c r="CQ14" s="74"/>
      <c r="CR14" s="74" t="s">
        <v>355</v>
      </c>
      <c r="CS14" s="74" t="s">
        <v>355</v>
      </c>
      <c r="CT14" s="74" t="s">
        <v>356</v>
      </c>
      <c r="CU14" s="74"/>
      <c r="CV14" s="75"/>
      <c r="CW14" s="89"/>
      <c r="CX14" s="89"/>
      <c r="CY14" s="89"/>
      <c r="CZ14" s="89"/>
      <c r="DA14" s="89"/>
      <c r="DB14" s="89"/>
      <c r="DC14" s="89"/>
      <c r="DD14" s="89"/>
      <c r="DE14" s="89"/>
      <c r="DF14" s="89"/>
      <c r="DG14" s="89"/>
      <c r="DH14" s="89"/>
      <c r="DI14" s="89"/>
      <c r="DJ14" s="89"/>
      <c r="DK14" s="89"/>
      <c r="DL14" s="89"/>
      <c r="DM14" s="89"/>
      <c r="DN14" s="89"/>
      <c r="DO14" s="89"/>
      <c r="DP14" s="89"/>
      <c r="DQ14" s="89"/>
    </row>
    <row r="15" spans="1:121" ht="16.8" x14ac:dyDescent="0.35">
      <c r="A15" s="119"/>
      <c r="B15" s="12">
        <f>IFERROR(VLOOKUP((LEFT(L15,4)),BASE!$E$12:$F$23,1,0),IFERROR(VLOOKUP((LEFT(L15,3)),BASE!$E$12:$F$23,1,0),IFERROR(VLOOKUP((LEFT(L15,2)),BASE!$E$12:$F$23,1,0),IFERROR(VLOOKUP((LEFT(L15,1)),BASE!$E$12:$F$23,1,0),100))))</f>
        <v>100</v>
      </c>
      <c r="C15" s="12">
        <f>IFERROR(VLOOKUP((LEFT(M15,4)),BASE!$E$12:$F$23,1,0),IFERROR(VLOOKUP((LEFT(M15,3)),BASE!$E$12:$F$23,1,0),IFERROR(VLOOKUP((LEFT(M15,2)),BASE!$E$12:$F$23,1,0),IFERROR(VLOOKUP((LEFT(M15,1)),BASE!$E$12:$F$23,1,0),100))))</f>
        <v>100</v>
      </c>
      <c r="D15" s="12">
        <f>IFERROR(VLOOKUP((LEFT(N15,4)),BASE!$E$12:$F$23,1,0),IFERROR(VLOOKUP((LEFT(N15,3)),BASE!$E$12:$F$23,1,0),IFERROR(VLOOKUP((LEFT(N15,2)),BASE!$E$12:$F$23,1,0),IFERROR(VLOOKUP((LEFT(N15,1)),BASE!$E$12:$F$23,1,0),100))))</f>
        <v>100</v>
      </c>
      <c r="E15" s="12">
        <f>IFERROR(VLOOKUP((LEFT(O15,4)),BASE!$E$12:$F$23,1,0),IFERROR(VLOOKUP((LEFT(O15,3)),BASE!$E$12:$F$23,1,0),IFERROR(VLOOKUP((LEFT(O15,2)),BASE!$E$12:$F$23,1,0),IFERROR(VLOOKUP((LEFT(O15,1)),BASE!$E$12:$F$23,1,0),100))))</f>
        <v>100</v>
      </c>
      <c r="F15" s="12">
        <f>IFERROR(VLOOKUP((LEFT(P15,4)),BASE!$E$12:$F$23,1,0),IFERROR(VLOOKUP((LEFT(P15,3)),BASE!$E$12:$F$23,1,0),IFERROR(VLOOKUP((LEFT(P15,2)),BASE!$E$12:$F$23,1,0),IFERROR(VLOOKUP((LEFT(P15,1)),BASE!$E$12:$F$23,1,0),100))))</f>
        <v>100</v>
      </c>
      <c r="G15" s="12">
        <f>IFERROR(VLOOKUP((LEFT(Q15,4)),BASE!$E$12:$F$23,1,0),IFERROR(VLOOKUP((LEFT(Q15,3)),BASE!$E$12:$F$23,1,0),IFERROR(VLOOKUP((LEFT(Q15,2)),BASE!$E$12:$F$23,1,0),IFERROR(VLOOKUP((LEFT(Q15,1)),BASE!$E$12:$F$23,1,0),100))))</f>
        <v>100</v>
      </c>
      <c r="H15" s="12">
        <f>IFERROR(VLOOKUP((LEFT(R15,4)),BASE!$E$12:$F$23,1,0),IFERROR(VLOOKUP((LEFT(R15,3)),BASE!$E$12:$F$23,1,0),IFERROR(VLOOKUP((LEFT(R15,2)),BASE!$E$12:$F$23,1,0),IFERROR(VLOOKUP((LEFT(R15,1)),BASE!$E$12:$F$23,1,0),100))))</f>
        <v>100</v>
      </c>
      <c r="I15" s="12">
        <f>IFERROR(VLOOKUP((LEFT(S15,4)),BASE!$E$12:$F$23,1,0),IFERROR(VLOOKUP((LEFT(S15,3)),BASE!$E$12:$F$23,1,0),IFERROR(VLOOKUP((LEFT(S15,2)),BASE!$E$12:$F$23,1,0),IFERROR(VLOOKUP((LEFT(S15,1)),BASE!$E$12:$F$23,1,0),100))))</f>
        <v>100</v>
      </c>
      <c r="J15" s="12" t="str">
        <f>IFERROR(VLOOKUP((LEFT(T15,4)),BASE!$E$12:$F$24,1,0),IFERROR(VLOOKUP((LEFT(T15,3)),BASE!$E$12:$F$24,1,0),IFERROR(VLOOKUP((LEFT(T15,2)),BASE!$E$12:$F$24,1,0),IFERROR(VLOOKUP((LEFT(T15,1)),BASE!$E$12:$F$24,1,0),100))))</f>
        <v>no</v>
      </c>
      <c r="K15" s="12" t="str">
        <f>IFERROR(VLOOKUP((LEFT(U15,4)),BASE!$E$12:$F$23,1,0),IFERROR(VLOOKUP((LEFT(U15,3)),BASE!$E$12:$F$23,1,0),IFERROR(VLOOKUP((LEFT(U15,2)),BASE!$E$12:$F$23,1,0),IFERROR(VLOOKUP((LEFT(U15,1)),BASE!$E$12:$F$23,1,0),100))))</f>
        <v>ko</v>
      </c>
      <c r="L15" s="14" t="str">
        <f t="shared" ref="L15:T15" si="0">MID(M15,LEN(C15)+1,(LEN(M15)))</f>
        <v/>
      </c>
      <c r="M15" s="14" t="str">
        <f t="shared" si="0"/>
        <v/>
      </c>
      <c r="N15" s="14" t="str">
        <f t="shared" si="0"/>
        <v/>
      </c>
      <c r="O15" s="14" t="str">
        <f t="shared" si="0"/>
        <v/>
      </c>
      <c r="P15" s="14" t="str">
        <f t="shared" si="0"/>
        <v/>
      </c>
      <c r="Q15" s="14" t="str">
        <f t="shared" si="0"/>
        <v/>
      </c>
      <c r="R15" s="14" t="str">
        <f t="shared" si="0"/>
        <v/>
      </c>
      <c r="S15" s="14" t="str">
        <f t="shared" si="0"/>
        <v/>
      </c>
      <c r="T15" s="14" t="str">
        <f t="shared" si="0"/>
        <v>no</v>
      </c>
      <c r="U15" s="14" t="str">
        <f t="shared" ref="U15:U24" si="1">AO15&amp;AN15&amp;AM15&amp;AL15&amp;AK15&amp;AJ15&amp;AI15&amp;AH15&amp;AG15&amp;AF15</f>
        <v>kono</v>
      </c>
      <c r="V15" s="13">
        <f>IFERROR(VLOOKUP(LEFT(AZ15,2),BASE!$C$96:$E$342,3,0),IFERROR(VLOOKUP(LEFT(AZ15,1),BASE!$C$96:$E$342,3,0),100))</f>
        <v>100</v>
      </c>
      <c r="W15" s="13">
        <f>IFERROR(VLOOKUP(LEFT(BA15,2),BASE!$C$96:$E$342,3,0),IFERROR(VLOOKUP(LEFT(BA15,1),BASE!$C$96:$E$342,3,0),100))</f>
        <v>100</v>
      </c>
      <c r="X15" s="13">
        <f>IFERROR(VLOOKUP(LEFT(BB15,2),BASE!$C$96:$E$342,3,0),IFERROR(VLOOKUP(LEFT(BB15,1),BASE!$C$96:$E$342,3,0),100))</f>
        <v>100</v>
      </c>
      <c r="Y15" s="13">
        <f>IFERROR(VLOOKUP(LEFT(BC15,2),BASE!$C$96:$E$342,3,0),IFERROR(VLOOKUP(LEFT(BC15,1),BASE!$C$96:$E$342,3,0),100))</f>
        <v>100</v>
      </c>
      <c r="Z15" s="13">
        <f>IFERROR(VLOOKUP(LEFT(BD15,2),BASE!$C$96:$E$342,3,0),IFERROR(VLOOKUP(LEFT(BD15,1),BASE!$C$96:$E$342,3,0),100))</f>
        <v>100</v>
      </c>
      <c r="AA15" s="13">
        <f>IFERROR(VLOOKUP(LEFT(BE15,2),BASE!$C$96:$E$342,3,0),IFERROR(VLOOKUP(LEFT(BE15,1),BASE!$C$96:$E$342,3,0),100))</f>
        <v>100</v>
      </c>
      <c r="AB15" s="13">
        <f>IFERROR(VLOOKUP(LEFT(BF15,2),BASE!$C$96:$E$342,3,0),IFERROR(VLOOKUP(LEFT(BF15,1),BASE!$C$96:$E$342,3,0),100))</f>
        <v>2</v>
      </c>
      <c r="AC15" s="13">
        <f>IFERROR(VLOOKUP(LEFT(BG15,2),BASE!$C$96:$E$342,3,0),IFERROR(VLOOKUP(LEFT(BG15,1),BASE!$C$96:$E$342,3,0),100))</f>
        <v>2</v>
      </c>
      <c r="AD15" s="13">
        <f>IFERROR(VLOOKUP(LEFT(BH15,2),BASE!$C$96:$E$342,3,0),IFERROR(VLOOKUP(LEFT(BH15,1),BASE!$C$96:$E$342,3,0),100))</f>
        <v>2</v>
      </c>
      <c r="AE15" s="13">
        <f>IFERROR(VLOOKUP(LEFT(BI15,2),BASE!$C$96:$E$342,3,0),IFERROR(VLOOKUP(LEFT(BI15,1),BASE!$C$96:$E$342,3,0),100))</f>
        <v>1</v>
      </c>
      <c r="AF15" s="187" t="str">
        <f>IF(AND(BS15=BR15,AG15="o"),"A", (IFERROR(VLOOKUP(LEFT(AZ15,2),BASE!$C$346:$D$592,2,0),IFERROR(VLOOKUP(LEFT(AZ15,1),BASE!$C$346:$D$5922,2,0),AZ15))))</f>
        <v/>
      </c>
      <c r="AG15" s="187" t="str">
        <f>IF(AND(BR15=BQ15,AH15="o"),"A", (IFERROR(VLOOKUP(LEFT(BA15,2),BASE!$C$346:$D$592,2,0),IFERROR(VLOOKUP(LEFT(BA15,1),BASE!$C$346:$D$592,2,0),BA15))))</f>
        <v/>
      </c>
      <c r="AH15" s="187" t="str">
        <f>IF(AND(BQ15=BP15,AI15="o"),"A", (IFERROR(VLOOKUP(LEFT(BB15,2),BASE!$C$346:$D$592,2,0),IFERROR(VLOOKUP(LEFT(BB15,1),BASE!$C$346:$D$592,2,0),BB15))))</f>
        <v/>
      </c>
      <c r="AI15" s="187" t="str">
        <f>IF(AND(BP15=BO15,AJ15="o"),"A", (IFERROR(VLOOKUP(LEFT(BC15,2),BASE!$C$346:$D$592,2,0),IFERROR(VLOOKUP(LEFT(BC15,1),BASE!$C$346:$D$592,2,0),BC15))))</f>
        <v/>
      </c>
      <c r="AJ15" s="187" t="str">
        <f>IF(AND(BO15=BN15,AK15="o"),"A", (IFERROR(VLOOKUP(LEFT(BD15,2),BASE!$C$346:$D$592,2,0),IFERROR(VLOOKUP(LEFT(BD15,1),BASE!$C$346:$D$592,2,0),BD15))))</f>
        <v/>
      </c>
      <c r="AK15" s="187" t="str">
        <f>IF(AND(BN15=BM15,AL15="o"),"A", (IFERROR(VLOOKUP(LEFT(BE15,2),BASE!$C$346:$D$592,2,0),IFERROR(VLOOKUP(LEFT(BE15,1),BASE!$C$346:$D$592,2,0),BE15))))</f>
        <v/>
      </c>
      <c r="AL15" s="187" t="str">
        <f>IF(AND(BM15=BL15,AM15="o"),"A", (IFERROR(VLOOKUP(LEFT(BF15,2),BASE!$C$346:$D$592,2,0),IFERROR(VLOOKUP(LEFT(BF15,1),BASE!$C$346:$D$592,2,0),BF15))))</f>
        <v>o</v>
      </c>
      <c r="AM15" s="187" t="str">
        <f>IF(AND(BL15=BK15,AN15="o"),"A",(IFERROR(VLOOKUP(LEFT(BG15,2),BASE!$C$346:$D$592,2,0),IFERROR(VLOOKUP(LEFT(BG15,1),BASE!$C$346:$D$592,2,0),BG15))))</f>
        <v>n</v>
      </c>
      <c r="AN15" s="187" t="str">
        <f>(IFERROR(VLOOKUP(LEFT(BH15,2),BASE!$C$346:$D$592,2,0),IFERROR(VLOOKUP(LEFT(BH15,1),BASE!$C$346:$D$592,2,0),BH15)))</f>
        <v>o</v>
      </c>
      <c r="AO15" s="187" t="str">
        <f>(IFERROR(VLOOKUP(LEFT(BI15,2),BASE!$C$96:$D$342,2,0),IFERROR(VLOOKUP(LEFT(BI15,1),BASE!$C$96:$D$342,2,0),BI15)))</f>
        <v>k</v>
      </c>
      <c r="AP15" s="5">
        <f t="shared" ref="AP15:AX15" si="2">AQ15</f>
        <v>7</v>
      </c>
      <c r="AQ15" s="5">
        <f t="shared" si="2"/>
        <v>7</v>
      </c>
      <c r="AR15" s="5">
        <f t="shared" si="2"/>
        <v>7</v>
      </c>
      <c r="AS15" s="5">
        <f t="shared" si="2"/>
        <v>7</v>
      </c>
      <c r="AT15" s="5">
        <f t="shared" si="2"/>
        <v>7</v>
      </c>
      <c r="AU15" s="5">
        <f t="shared" si="2"/>
        <v>7</v>
      </c>
      <c r="AV15" s="5">
        <f t="shared" si="2"/>
        <v>7</v>
      </c>
      <c r="AW15" s="5">
        <f t="shared" si="2"/>
        <v>7</v>
      </c>
      <c r="AX15" s="5">
        <f t="shared" si="2"/>
        <v>7</v>
      </c>
      <c r="AY15" s="5">
        <f t="shared" ref="AY15:AY24" si="3">LEN(BI15)</f>
        <v>7</v>
      </c>
      <c r="AZ15" s="12" t="str">
        <f t="shared" ref="AZ15:BH15" si="4">MID(BA15,W15+1,AQ15)</f>
        <v/>
      </c>
      <c r="BA15" s="12" t="str">
        <f t="shared" si="4"/>
        <v/>
      </c>
      <c r="BB15" s="12" t="str">
        <f t="shared" si="4"/>
        <v/>
      </c>
      <c r="BC15" s="12" t="str">
        <f t="shared" si="4"/>
        <v/>
      </c>
      <c r="BD15" s="12" t="str">
        <f t="shared" si="4"/>
        <v/>
      </c>
      <c r="BE15" s="12" t="str">
        <f t="shared" si="4"/>
        <v/>
      </c>
      <c r="BF15" s="12" t="str">
        <f t="shared" si="4"/>
        <v>ர்</v>
      </c>
      <c r="BG15" s="12" t="str">
        <f t="shared" si="4"/>
        <v>லார்</v>
      </c>
      <c r="BH15" s="43" t="str">
        <f t="shared" si="4"/>
        <v>ல்லார்</v>
      </c>
      <c r="BI15" s="57" t="str">
        <f>CD6</f>
        <v>நல்லார்</v>
      </c>
      <c r="BJ15" s="58" t="str">
        <f>IFERROR(VLOOKUP(LEFT(BI15,2),BASE!$C$96:$F$342,1,0),IFERROR(VLOOKUP(LEFT(BI15,1),BASE!$C$96:$F$342,1,0),BI15))</f>
        <v>ந</v>
      </c>
      <c r="BK15" s="58" t="str">
        <f>IFERROR(VLOOKUP(LEFT(BH15,2),BASE!$C$96:$D$342,1,0),IFERROR(VLOOKUP(LEFT(BH15,1),BASE!$C$96:$D$342,1,0),BH15))</f>
        <v>ல்</v>
      </c>
      <c r="BL15" s="58" t="str">
        <f>IFERROR(VLOOKUP(LEFT(BG15,2),BASE!$C$96:$D$342,1,0),IFERROR(VLOOKUP(LEFT(BG15,1),BASE!$C$96:$D$342,1,0),BG15))</f>
        <v>லா</v>
      </c>
      <c r="BM15" s="58" t="str">
        <f>IFERROR(VLOOKUP(LEFT(BF15,2),BASE!$C$96:$D$342,1,0),IFERROR(VLOOKUP(LEFT(BF15,1),BASE!$C$96:$D$342,1,0),BF15))</f>
        <v>ர்</v>
      </c>
      <c r="BN15" s="58" t="str">
        <f>IFERROR(VLOOKUP(LEFT(BE15,2),BASE!$C$96:$D$342,1,0),IFERROR(VLOOKUP(LEFT(BE15,1),BASE!$C$96:$D$342,1,0),BE15))</f>
        <v/>
      </c>
      <c r="BO15" s="58" t="str">
        <f>IFERROR(VLOOKUP(LEFT(BD15,2),BASE!$C$96:$D$342,1,0),IFERROR(VLOOKUP(LEFT(BD15,1),BASE!$C$96:$D$342,1,0),BD15))</f>
        <v/>
      </c>
      <c r="BP15" s="58" t="str">
        <f>IFERROR(VLOOKUP(LEFT(BC15,2),BASE!$C$96:$D$342,1,0),IFERROR(VLOOKUP(LEFT(BC15,1),BASE!$C$96:$D$342,1,0),BC15))</f>
        <v/>
      </c>
      <c r="BQ15" s="58" t="str">
        <f>IFERROR(VLOOKUP(LEFT(BB15,2),BASE!$C$96:$D$342,1,0),IFERROR(VLOOKUP(LEFT(BB15,1),BASE!$C$96:$D$342,1,0),BB15))</f>
        <v/>
      </c>
      <c r="BR15" s="58" t="str">
        <f>IFERROR(VLOOKUP(LEFT(BA15,2),BASE!$C$96:$D$342,1,0),IFERROR(VLOOKUP(LEFT(BA15,1),BASE!$C$96:$D$342,1,0),BA15))</f>
        <v/>
      </c>
      <c r="BS15" s="58" t="str">
        <f>IFERROR(VLOOKUP(LEFT(AZ15,2),BASE!$C$96:$D$342,1,0),IFERROR(VLOOKUP(LEFT(AZ15,1),BASE!$C$96:$D$342,1,0),AZ15))</f>
        <v/>
      </c>
      <c r="BT15" s="186" t="str">
        <f>(IFERROR(VLOOKUP(LEFT(BI15,2),BASE!$C$96:$F$342,4,0),IFERROR(VLOOKUP(LEFT(BI15,1),BASE!$C$96:$F$342,4,0),BI15)))</f>
        <v>கு</v>
      </c>
      <c r="BU15" s="186" t="str">
        <f>(IFERROR(VLOOKUP(LEFT(BH15,2),BASE!$C$346:$F$592,4,0),IFERROR(VLOOKUP(LEFT(BH15,1),BASE!$C$346:$F$592,4,0),BH15)))</f>
        <v>ஒ</v>
      </c>
      <c r="BV15" s="186" t="str">
        <f>(IFERROR(VLOOKUP(LEFT(BG15,2),BASE!$C$346:$F$592,4,0),IFERROR(VLOOKUP(LEFT(BG15,1),BASE!$C$346:$F$592,4,0),BG15)))</f>
        <v>நெ</v>
      </c>
      <c r="BW15" s="186" t="str">
        <f>(IFERROR(VLOOKUP(LEFT(BF15,2),BASE!$C$346:$F$592,4,0),IFERROR(VLOOKUP(LEFT(BF15,1),BASE!$C$346:$F$592,4,0),BF15)))</f>
        <v>ஒ</v>
      </c>
      <c r="BX15" s="186" t="str">
        <f>(IFERROR(VLOOKUP(LEFT(BE15,2),BASE!$C$346:$F$592,4,0),IFERROR(VLOOKUP(LEFT(BE15,1),BASE!$C$346:$F$592,4,0),BE15)))</f>
        <v/>
      </c>
      <c r="BY15" s="186" t="str">
        <f>(IFERROR(VLOOKUP(LEFT(BD15,2),BASE!$C$346:$F$592,4,0),IFERROR(VLOOKUP(LEFT(BD15,1),BASE!$C$346:$F$592,4,0),BD15)))</f>
        <v/>
      </c>
      <c r="BZ15" s="186" t="str">
        <f>(IFERROR(VLOOKUP(LEFT(BC15,2),BASE!$C$346:$F$592,4,0),IFERROR(VLOOKUP(LEFT(BC15,1),BASE!$C$346:$F$592,4,0),BC15)))</f>
        <v/>
      </c>
      <c r="CA15" s="186" t="str">
        <f>(IFERROR(VLOOKUP(LEFT(BB15,2),BASE!$C$346:$F$592,4,0),IFERROR(VLOOKUP(LEFT(BB15,1),BASE!$C$346:$F$592,4,0),BB15)))</f>
        <v/>
      </c>
      <c r="CB15" s="186" t="str">
        <f>(IFERROR(VLOOKUP(LEFT(BA15,2),BASE!$C$346:$F$592,4,0),IFERROR(VLOOKUP(LEFT(BA15,1),BASE!$C$346:$F$592,4,0),BA15)))</f>
        <v/>
      </c>
      <c r="CC15" s="186" t="str">
        <f>(IFERROR(VLOOKUP(LEFT(AZ15,2),BASE!$C$346:$F$592,4,0),IFERROR(VLOOKUP(LEFT(AZ15,1),BASE!$C$346:$F$592,4,0),AZ15)))</f>
        <v/>
      </c>
      <c r="CD15" s="58" t="str">
        <f t="shared" ref="CD15:CD24" si="5">BT15&amp;BU15&amp;BV15&amp;BW15&amp;BX15&amp;BY15&amp;BZ15&amp;CA15&amp;CB15&amp;CC15</f>
        <v>குஒநெஒ</v>
      </c>
      <c r="CE15" s="58" t="str">
        <f>IFERROR(VLOOKUP((LEFT(U15,4)),BASE!$E$12:$F$23,2,0),IFERROR(VLOOKUP((LEFT(U15,3)),BASE!$E$12:$F$23,2,0),IFERROR(VLOOKUP((LEFT(U15,2)),BASE!$E$12:$F$23,2,0),IFERROR(VLOOKUP((LEFT(U15,1)),BASE!$E$12:$F$23,2,0),U15))))</f>
        <v>நேர்</v>
      </c>
      <c r="CF15" s="58" t="str">
        <f>IFERROR(VLOOKUP((LEFT(T15,4)),BASE!$E$12:$F$24,2,0),IFERROR(VLOOKUP((LEFT(T15,3)),BASE!$E$12:$F$24,2,0),IFERROR(VLOOKUP((LEFT(T15,2)),BASE!$E$12:$F$24,2,0),IFERROR(VLOOKUP((LEFT(T15,1)),BASE!$E$12:$F$24,2,0),T15))))</f>
        <v>நேர்</v>
      </c>
      <c r="CG15" s="58" t="str">
        <f>IFERROR(VLOOKUP((LEFT(S15,4)),BASE!$E$12:$F$23,2,0),IFERROR(VLOOKUP((LEFT(S15,3)),BASE!$E$12:$F$23,2,0),IFERROR(VLOOKUP((LEFT(S15,2)),BASE!$E$12:$F$23,2,0),IFERROR(VLOOKUP((LEFT(S15,1)),BASE!$E$12:$F$23,2,0),S15))))</f>
        <v/>
      </c>
      <c r="CH15" s="58" t="str">
        <f>IFERROR(VLOOKUP((LEFT(R15,4)),BASE!$E$12:$F$23,2,0),IFERROR(VLOOKUP((LEFT(R15,3)),BASE!$E$12:$F$23,2,0),IFERROR(VLOOKUP((LEFT(R15,2)),BASE!$E$12:$F$23,2,0),IFERROR(VLOOKUP((LEFT(R15,1)),BASE!$E$12:$F$23,2,0),R15))))</f>
        <v/>
      </c>
      <c r="CI15" s="58" t="str">
        <f>IFERROR(VLOOKUP((LEFT(Q15,4)),BASE!$E$12:$F$23,2,0),IFERROR(VLOOKUP((LEFT(Q15,3)),BASE!$E$12:$F$23,2,0),IFERROR(VLOOKUP((LEFT(Q15,2)),BASE!$E$12:$F$23,2,0),IFERROR(VLOOKUP((LEFT(Q15,1)),BASE!$E$12:$F$23,2,0),Q15))))</f>
        <v/>
      </c>
      <c r="CJ15" s="58" t="str">
        <f>IFERROR(VLOOKUP((LEFT(P15,4)),BASE!$E$12:$F$23,2,0),IFERROR(VLOOKUP((LEFT(P15,3)),BASE!$E$12:$F$23,2,0),IFERROR(VLOOKUP((LEFT(P15,2)),BASE!$E$12:$F$23,2,0),IFERROR(VLOOKUP((LEFT(P15,1)),BASE!$E$12:$F$23,2,0),P15))))</f>
        <v/>
      </c>
      <c r="CK15" s="58" t="str">
        <f>IFERROR(VLOOKUP((LEFT(O15,4)),BASE!$E$12:$F$23,2,0),IFERROR(VLOOKUP((LEFT(O15,3)),BASE!$E$12:$F$23,2,0),IFERROR(VLOOKUP((LEFT(O15,2)),BASE!$E$12:$F$23,2,0),IFERROR(VLOOKUP((LEFT(O15,1)),BASE!$E$12:$F$23,2,0),O15))))</f>
        <v/>
      </c>
      <c r="CL15" s="58" t="str">
        <f>IFERROR(VLOOKUP((LEFT(N15,4)),BASE!$E$12:$F$23,2,0),IFERROR(VLOOKUP((LEFT(N15,3)),BASE!$E$12:$F$23,2,0),IFERROR(VLOOKUP((LEFT(N15,2)),BASE!$E$12:$F$23,2,0),IFERROR(VLOOKUP((LEFT(N15,1)),BASE!$E$12:$F$23,2,0),N15))))</f>
        <v/>
      </c>
      <c r="CM15" s="58" t="str">
        <f>IFERROR(VLOOKUP((LEFT(M15,4)),BASE!$E$12:$F$23,2,0),IFERROR(VLOOKUP((LEFT(M15,3)),BASE!$E$12:$F$23,2,0),IFERROR(VLOOKUP((LEFT(M15,2)),BASE!$E$12:$F$23,2,0),IFERROR(VLOOKUP((LEFT(M15,1)),BASE!$E$12:$F$23,2,0),M15))))</f>
        <v/>
      </c>
      <c r="CN15" s="58" t="str">
        <f>IFERROR(VLOOKUP((LEFT(L15,4)),BASE!$E$12:$F$23,2,0),IFERROR(VLOOKUP((LEFT(L15,3)),BASE!$E$12:$F$23,2,0),IFERROR(VLOOKUP((LEFT(L15,2)),BASE!$E$12:$F$23,2,0),IFERROR(VLOOKUP((LEFT(L15,1)),BASE!$E$12:$F$23,2,0),L15))))</f>
        <v/>
      </c>
      <c r="CO15" s="58" t="str">
        <f t="shared" ref="CO15:CO24" si="6">CE15&amp;CF15&amp;CG15&amp;CH15</f>
        <v>நேர்நேர்</v>
      </c>
      <c r="CP15" s="58" t="str">
        <f>VLOOKUP(CO15,BASE!$E$25:$F$79,2,0)</f>
        <v>தேமா</v>
      </c>
      <c r="CQ15" s="58" t="str">
        <f>VLOOKUP(CO15,BASE!$E$25:$G$79,3,0)&amp;CE16</f>
        <v>மாநிரை</v>
      </c>
      <c r="CR15" s="58" t="str">
        <f>VLOOKUP(CQ15,BASE!$E$86:$G$93,2,0)</f>
        <v>மாமுன் நிரை</v>
      </c>
      <c r="CS15" s="58" t="str">
        <f>VLOOKUP(CQ15,BASE!$E$86:$G$93,3,0)</f>
        <v>இயற்சீர் வெண்டளை</v>
      </c>
      <c r="CT15" s="58" t="str">
        <f t="shared" ref="CT15:CT24" si="7">IF((OR(CH15="நிரை",CH15="நேர்")),"மூவசைக்கு மிகக்கூடாது","மூவசைக்கு மிகவில்லை")</f>
        <v>மூவசைக்கு மிகவில்லை</v>
      </c>
      <c r="CU15" s="58" t="str">
        <f t="shared" ref="CU15:CU24" si="8">IF((OR(CS15="இயற்சீர் வெண்டளை",CS15="வெண்சீர் வெண்டளை")),"சரி","தளை தட்டுகிறது")</f>
        <v>சரி</v>
      </c>
      <c r="CV15" s="193"/>
    </row>
    <row r="16" spans="1:121" ht="19.5" customHeight="1" x14ac:dyDescent="0.35">
      <c r="A16" s="119"/>
      <c r="B16" s="12">
        <f>IFERROR(VLOOKUP((LEFT(L16,4)),BASE!$E$12:$F$23,1,0),IFERROR(VLOOKUP((LEFT(L16,3)),BASE!$E$12:$F$23,1,0),IFERROR(VLOOKUP((LEFT(L16,2)),BASE!$E$12:$F$23,1,0),IFERROR(VLOOKUP((LEFT(L16,1)),BASE!$E$12:$F$23,1,0),100))))</f>
        <v>100</v>
      </c>
      <c r="C16" s="12">
        <f>IFERROR(VLOOKUP((LEFT(M16,4)),BASE!$E$12:$F$23,1,0),IFERROR(VLOOKUP((LEFT(M16,3)),BASE!$E$12:$F$23,1,0),IFERROR(VLOOKUP((LEFT(M16,2)),BASE!$E$12:$F$23,1,0),IFERROR(VLOOKUP((LEFT(M16,1)),BASE!$E$12:$F$23,1,0),100))))</f>
        <v>100</v>
      </c>
      <c r="D16" s="12">
        <f>IFERROR(VLOOKUP((LEFT(N16,4)),BASE!$E$12:$F$23,1,0),IFERROR(VLOOKUP((LEFT(N16,3)),BASE!$E$12:$F$23,1,0),IFERROR(VLOOKUP((LEFT(N16,2)),BASE!$E$12:$F$23,1,0),IFERROR(VLOOKUP((LEFT(N16,1)),BASE!$E$12:$F$23,1,0),100))))</f>
        <v>100</v>
      </c>
      <c r="E16" s="12">
        <f>IFERROR(VLOOKUP((LEFT(O16,4)),BASE!$E$12:$F$23,1,0),IFERROR(VLOOKUP((LEFT(O16,3)),BASE!$E$12:$F$23,1,0),IFERROR(VLOOKUP((LEFT(O16,2)),BASE!$E$12:$F$23,1,0),IFERROR(VLOOKUP((LEFT(O16,1)),BASE!$E$12:$F$23,1,0),100))))</f>
        <v>100</v>
      </c>
      <c r="F16" s="12">
        <f>IFERROR(VLOOKUP((LEFT(P16,4)),BASE!$E$12:$F$23,1,0),IFERROR(VLOOKUP((LEFT(P16,3)),BASE!$E$12:$F$23,1,0),IFERROR(VLOOKUP((LEFT(P16,2)),BASE!$E$12:$F$23,1,0),IFERROR(VLOOKUP((LEFT(P16,1)),BASE!$E$12:$F$23,1,0),100))))</f>
        <v>100</v>
      </c>
      <c r="G16" s="12">
        <f>IFERROR(VLOOKUP((LEFT(Q16,4)),BASE!$E$12:$F$23,1,0),IFERROR(VLOOKUP((LEFT(Q16,3)),BASE!$E$12:$F$23,1,0),IFERROR(VLOOKUP((LEFT(Q16,2)),BASE!$E$12:$F$23,1,0),IFERROR(VLOOKUP((LEFT(Q16,1)),BASE!$E$12:$F$23,1,0),100))))</f>
        <v>100</v>
      </c>
      <c r="H16" s="12">
        <f>IFERROR(VLOOKUP((LEFT(R16,4)),BASE!$E$12:$F$23,1,0),IFERROR(VLOOKUP((LEFT(R16,3)),BASE!$E$12:$F$23,1,0),IFERROR(VLOOKUP((LEFT(R16,2)),BASE!$E$12:$F$23,1,0),IFERROR(VLOOKUP((LEFT(R16,1)),BASE!$E$12:$F$23,1,0),100))))</f>
        <v>100</v>
      </c>
      <c r="I16" s="12">
        <f>IFERROR(VLOOKUP((LEFT(S16,4)),BASE!$E$12:$F$23,1,0),IFERROR(VLOOKUP((LEFT(S16,3)),BASE!$E$12:$F$23,1,0),IFERROR(VLOOKUP((LEFT(S16,2)),BASE!$E$12:$F$23,1,0),IFERROR(VLOOKUP((LEFT(S16,1)),BASE!$E$12:$F$23,1,0),100))))</f>
        <v>100</v>
      </c>
      <c r="J16" s="12" t="str">
        <f>IFERROR(VLOOKUP((LEFT(T16,4)),BASE!$E$12:$F$24,1,0),IFERROR(VLOOKUP((LEFT(T16,3)),BASE!$E$12:$F$24,1,0),IFERROR(VLOOKUP((LEFT(T16,2)),BASE!$E$12:$F$24,1,0),IFERROR(VLOOKUP((LEFT(T16,1)),BASE!$E$12:$F$24,1,0),100))))</f>
        <v>no</v>
      </c>
      <c r="K16" s="12" t="str">
        <f>IFERROR(VLOOKUP((LEFT(U16,4)),BASE!$E$12:$F$23,1,0),IFERROR(VLOOKUP((LEFT(U16,3)),BASE!$E$12:$F$23,1,0),IFERROR(VLOOKUP((LEFT(U16,2)),BASE!$E$12:$F$23,1,0),IFERROR(VLOOKUP((LEFT(U16,1)),BASE!$E$12:$F$23,1,0),100))))</f>
        <v>kk</v>
      </c>
      <c r="L16" s="14" t="str">
        <f t="shared" ref="L16:L25" si="9">MID(M16,LEN(C16)+1,(LEN(M16)))</f>
        <v/>
      </c>
      <c r="M16" s="14" t="str">
        <f t="shared" ref="M16:M25" si="10">MID(N16,LEN(D16)+1,(LEN(N16)))</f>
        <v/>
      </c>
      <c r="N16" s="14" t="str">
        <f t="shared" ref="N16:N25" si="11">MID(O16,LEN(E16)+1,(LEN(O16)))</f>
        <v/>
      </c>
      <c r="O16" s="14" t="str">
        <f t="shared" ref="O16:O25" si="12">MID(P16,LEN(F16)+1,(LEN(P16)))</f>
        <v/>
      </c>
      <c r="P16" s="14" t="str">
        <f t="shared" ref="P16:P25" si="13">MID(Q16,LEN(G16)+1,(LEN(Q16)))</f>
        <v/>
      </c>
      <c r="Q16" s="14" t="str">
        <f t="shared" ref="Q16:Q25" si="14">MID(R16,LEN(H16)+1,(LEN(R16)))</f>
        <v/>
      </c>
      <c r="R16" s="14" t="str">
        <f t="shared" ref="R16:R25" si="15">MID(S16,LEN(I16)+1,(LEN(S16)))</f>
        <v/>
      </c>
      <c r="S16" s="14" t="str">
        <f t="shared" ref="S16:S25" si="16">MID(T16,LEN(J16)+1,(LEN(T16)))</f>
        <v/>
      </c>
      <c r="T16" s="14" t="str">
        <f t="shared" ref="T16:T25" si="17">MID(U16,LEN(K16)+1,(LEN(U16)))</f>
        <v>no</v>
      </c>
      <c r="U16" s="14" t="str">
        <f t="shared" si="1"/>
        <v>kkno</v>
      </c>
      <c r="V16" s="13">
        <f>IFERROR(VLOOKUP(LEFT(AZ16,2),BASE!$C$96:$E$342,3,0),IFERROR(VLOOKUP(LEFT(AZ16,1),BASE!$C$96:$E$342,3,0),100))</f>
        <v>100</v>
      </c>
      <c r="W16" s="13">
        <f>IFERROR(VLOOKUP(LEFT(BA16,2),BASE!$C$96:$E$342,3,0),IFERROR(VLOOKUP(LEFT(BA16,1),BASE!$C$96:$E$342,3,0),100))</f>
        <v>100</v>
      </c>
      <c r="X16" s="13">
        <f>IFERROR(VLOOKUP(LEFT(BB16,2),BASE!$C$96:$E$342,3,0),IFERROR(VLOOKUP(LEFT(BB16,1),BASE!$C$96:$E$342,3,0),100))</f>
        <v>100</v>
      </c>
      <c r="Y16" s="13">
        <f>IFERROR(VLOOKUP(LEFT(BC16,2),BASE!$C$96:$E$342,3,0),IFERROR(VLOOKUP(LEFT(BC16,1),BASE!$C$96:$E$342,3,0),100))</f>
        <v>100</v>
      </c>
      <c r="Z16" s="13">
        <f>IFERROR(VLOOKUP(LEFT(BD16,2),BASE!$C$96:$E$342,3,0),IFERROR(VLOOKUP(LEFT(BD16,1),BASE!$C$96:$E$342,3,0),100))</f>
        <v>100</v>
      </c>
      <c r="AA16" s="13">
        <f>IFERROR(VLOOKUP(LEFT(BE16,2),BASE!$C$96:$E$342,3,0),IFERROR(VLOOKUP(LEFT(BE16,1),BASE!$C$96:$E$342,3,0),100))</f>
        <v>100</v>
      </c>
      <c r="AB16" s="13">
        <f>IFERROR(VLOOKUP(LEFT(BF16,2),BASE!$C$96:$E$342,3,0),IFERROR(VLOOKUP(LEFT(BF16,1),BASE!$C$96:$E$342,3,0),100))</f>
        <v>2</v>
      </c>
      <c r="AC16" s="13">
        <f>IFERROR(VLOOKUP(LEFT(BG16,2),BASE!$C$96:$E$342,3,0),IFERROR(VLOOKUP(LEFT(BG16,1),BASE!$C$96:$E$342,3,0),100))</f>
        <v>2</v>
      </c>
      <c r="AD16" s="13">
        <f>IFERROR(VLOOKUP(LEFT(BH16,2),BASE!$C$96:$E$342,3,0),IFERROR(VLOOKUP(LEFT(BH16,1),BASE!$C$96:$E$342,3,0),100))</f>
        <v>1</v>
      </c>
      <c r="AE16" s="13">
        <f>IFERROR(VLOOKUP(LEFT(BI16,2),BASE!$C$96:$E$342,3,0),IFERROR(VLOOKUP(LEFT(BI16,1),BASE!$C$96:$E$342,3,0),100))</f>
        <v>1</v>
      </c>
      <c r="AF16" s="187" t="str">
        <f>IF(AND(BS16=BR16,AG16="o"),"A", (IFERROR(VLOOKUP(LEFT(AZ16,2),BASE!$C$346:$D$592,2,0),IFERROR(VLOOKUP(LEFT(AZ16,1),BASE!$C$346:$D$5922,2,0),AZ16))))</f>
        <v/>
      </c>
      <c r="AG16" s="187" t="str">
        <f>IF(AND(BR16=BQ16,AH16="o"),"A", (IFERROR(VLOOKUP(LEFT(BA16,2),BASE!$C$346:$D$592,2,0),IFERROR(VLOOKUP(LEFT(BA16,1),BASE!$C$346:$D$592,2,0),BA16))))</f>
        <v/>
      </c>
      <c r="AH16" s="187" t="str">
        <f>IF(AND(BQ16=BP16,AI16="o"),"A", (IFERROR(VLOOKUP(LEFT(BB16,2),BASE!$C$346:$D$592,2,0),IFERROR(VLOOKUP(LEFT(BB16,1),BASE!$C$346:$D$592,2,0),BB16))))</f>
        <v/>
      </c>
      <c r="AI16" s="187" t="str">
        <f>IF(AND(BP16=BO16,AJ16="o"),"A", (IFERROR(VLOOKUP(LEFT(BC16,2),BASE!$C$346:$D$592,2,0),IFERROR(VLOOKUP(LEFT(BC16,1),BASE!$C$346:$D$592,2,0),BC16))))</f>
        <v/>
      </c>
      <c r="AJ16" s="187" t="str">
        <f>IF(AND(BO16=BN16,AK16="o"),"A", (IFERROR(VLOOKUP(LEFT(BD16,2),BASE!$C$346:$D$592,2,0),IFERROR(VLOOKUP(LEFT(BD16,1),BASE!$C$346:$D$592,2,0),BD16))))</f>
        <v/>
      </c>
      <c r="AK16" s="187" t="str">
        <f>IF(AND(BN16=BM16,AL16="o"),"A", (IFERROR(VLOOKUP(LEFT(BE16,2),BASE!$C$346:$D$592,2,0),IFERROR(VLOOKUP(LEFT(BE16,1),BASE!$C$346:$D$592,2,0),BE16))))</f>
        <v/>
      </c>
      <c r="AL16" s="187" t="str">
        <f>IF(AND(BM16=BL16,AM16="o"),"A", (IFERROR(VLOOKUP(LEFT(BF16,2),BASE!$C$346:$D$592,2,0),IFERROR(VLOOKUP(LEFT(BF16,1),BASE!$C$346:$D$592,2,0),BF16))))</f>
        <v>o</v>
      </c>
      <c r="AM16" s="187" t="str">
        <f>IF(AND(BL16=BK16,AN16="o"),"A",(IFERROR(VLOOKUP(LEFT(BG16,2),BASE!$C$346:$D$592,2,0),IFERROR(VLOOKUP(LEFT(BG16,1),BASE!$C$346:$D$592,2,0),BG16))))</f>
        <v>n</v>
      </c>
      <c r="AN16" s="187" t="str">
        <f>(IFERROR(VLOOKUP(LEFT(BH16,2),BASE!$C$346:$D$592,2,0),IFERROR(VLOOKUP(LEFT(BH16,1),BASE!$C$346:$D$592,2,0),BH16)))</f>
        <v>k</v>
      </c>
      <c r="AO16" s="187" t="str">
        <f>(IFERROR(VLOOKUP(LEFT(BI16,2),BASE!$C$96:$D$342,2,0),IFERROR(VLOOKUP(LEFT(BI16,1),BASE!$C$96:$D$342,2,0),BI16)))</f>
        <v>k</v>
      </c>
      <c r="AP16" s="5">
        <f t="shared" ref="AP16:AP25" si="18">AQ16</f>
        <v>6</v>
      </c>
      <c r="AQ16" s="5">
        <f t="shared" ref="AQ16:AQ25" si="19">AR16</f>
        <v>6</v>
      </c>
      <c r="AR16" s="5">
        <f t="shared" ref="AR16:AR25" si="20">AS16</f>
        <v>6</v>
      </c>
      <c r="AS16" s="5">
        <f t="shared" ref="AS16:AS25" si="21">AT16</f>
        <v>6</v>
      </c>
      <c r="AT16" s="5">
        <f t="shared" ref="AT16:AT25" si="22">AU16</f>
        <v>6</v>
      </c>
      <c r="AU16" s="5">
        <f t="shared" ref="AU16:AU25" si="23">AV16</f>
        <v>6</v>
      </c>
      <c r="AV16" s="5">
        <f t="shared" ref="AV16:AV25" si="24">AW16</f>
        <v>6</v>
      </c>
      <c r="AW16" s="5">
        <f t="shared" ref="AW16:AW25" si="25">AX16</f>
        <v>6</v>
      </c>
      <c r="AX16" s="5">
        <f t="shared" ref="AX16:AX25" si="26">AY16</f>
        <v>6</v>
      </c>
      <c r="AY16" s="5">
        <f t="shared" si="3"/>
        <v>6</v>
      </c>
      <c r="AZ16" s="12" t="str">
        <f t="shared" ref="AZ16:AZ25" si="27">MID(BA16,W16+1,AQ16)</f>
        <v/>
      </c>
      <c r="BA16" s="12" t="str">
        <f t="shared" ref="BA16:BA25" si="28">MID(BB16,X16+1,AR16)</f>
        <v/>
      </c>
      <c r="BB16" s="12" t="str">
        <f t="shared" ref="BB16:BB25" si="29">MID(BC16,Y16+1,AS16)</f>
        <v/>
      </c>
      <c r="BC16" s="12" t="str">
        <f t="shared" ref="BC16:BC25" si="30">MID(BD16,Z16+1,AT16)</f>
        <v/>
      </c>
      <c r="BD16" s="12" t="str">
        <f t="shared" ref="BD16:BD25" si="31">MID(BE16,AA16+1,AU16)</f>
        <v/>
      </c>
      <c r="BE16" s="12" t="str">
        <f t="shared" ref="BE16:BE25" si="32">MID(BF16,AB16+1,AV16)</f>
        <v/>
      </c>
      <c r="BF16" s="12" t="str">
        <f t="shared" ref="BF16:BF25" si="33">MID(BG16,AC16+1,AW16)</f>
        <v>ல்</v>
      </c>
      <c r="BG16" s="12" t="str">
        <f t="shared" ref="BG16:BG25" si="34">MID(BH16,AD16+1,AX16)</f>
        <v>வால்</v>
      </c>
      <c r="BH16" s="43" t="str">
        <f t="shared" ref="BH16:BH25" si="35">MID(BI16,AE16+1,AY16)</f>
        <v>ரவால்</v>
      </c>
      <c r="BI16" s="57" t="str">
        <f>CE6</f>
        <v>வரவால்</v>
      </c>
      <c r="BJ16" s="58" t="str">
        <f>IFERROR(VLOOKUP(LEFT(BI16,2),BASE!$C$96:$F$342,1,0),IFERROR(VLOOKUP(LEFT(BI16,1),BASE!$C$96:$F$342,1,0),BI16))</f>
        <v>வ</v>
      </c>
      <c r="BK16" s="58" t="str">
        <f>IFERROR(VLOOKUP(LEFT(BH16,2),BASE!$C$96:$D$342,1,0),IFERROR(VLOOKUP(LEFT(BH16,1),BASE!$C$96:$D$342,1,0),BH16))</f>
        <v>ர</v>
      </c>
      <c r="BL16" s="58" t="str">
        <f>IFERROR(VLOOKUP(LEFT(BG16,2),BASE!$C$96:$D$342,1,0),IFERROR(VLOOKUP(LEFT(BG16,1),BASE!$C$96:$D$342,1,0),BG16))</f>
        <v>வா</v>
      </c>
      <c r="BM16" s="58" t="str">
        <f>IFERROR(VLOOKUP(LEFT(BF16,2),BASE!$C$96:$D$342,1,0),IFERROR(VLOOKUP(LEFT(BF16,1),BASE!$C$96:$D$342,1,0),BF16))</f>
        <v>ல்</v>
      </c>
      <c r="BN16" s="58" t="str">
        <f>IFERROR(VLOOKUP(LEFT(BE16,2),BASE!$C$96:$D$342,1,0),IFERROR(VLOOKUP(LEFT(BE16,1),BASE!$C$96:$D$342,1,0),BE16))</f>
        <v/>
      </c>
      <c r="BO16" s="58" t="str">
        <f>IFERROR(VLOOKUP(LEFT(BD16,2),BASE!$C$96:$D$342,1,0),IFERROR(VLOOKUP(LEFT(BD16,1),BASE!$C$96:$D$342,1,0),BD16))</f>
        <v/>
      </c>
      <c r="BP16" s="58" t="str">
        <f>IFERROR(VLOOKUP(LEFT(BC16,2),BASE!$C$96:$D$342,1,0),IFERROR(VLOOKUP(LEFT(BC16,1),BASE!$C$96:$D$342,1,0),BC16))</f>
        <v/>
      </c>
      <c r="BQ16" s="58" t="str">
        <f>IFERROR(VLOOKUP(LEFT(BB16,2),BASE!$C$96:$D$342,1,0),IFERROR(VLOOKUP(LEFT(BB16,1),BASE!$C$96:$D$342,1,0),BB16))</f>
        <v/>
      </c>
      <c r="BR16" s="58" t="str">
        <f>IFERROR(VLOOKUP(LEFT(BA16,2),BASE!$C$96:$D$342,1,0),IFERROR(VLOOKUP(LEFT(BA16,1),BASE!$C$96:$D$342,1,0),BA16))</f>
        <v/>
      </c>
      <c r="BS16" s="58" t="str">
        <f>IFERROR(VLOOKUP(LEFT(AZ16,2),BASE!$C$96:$D$342,1,0),IFERROR(VLOOKUP(LEFT(AZ16,1),BASE!$C$96:$D$342,1,0),AZ16))</f>
        <v/>
      </c>
      <c r="BT16" s="186" t="str">
        <f>(IFERROR(VLOOKUP(LEFT(BI16,2),BASE!$C$96:$F$342,4,0),IFERROR(VLOOKUP(LEFT(BI16,1),BASE!$C$96:$F$342,4,0),BI16)))</f>
        <v>கு</v>
      </c>
      <c r="BU16" s="186" t="str">
        <f>(IFERROR(VLOOKUP(LEFT(BH16,2),BASE!$C$346:$F$592,4,0),IFERROR(VLOOKUP(LEFT(BH16,1),BASE!$C$346:$F$592,4,0),BH16)))</f>
        <v>கு</v>
      </c>
      <c r="BV16" s="186" t="str">
        <f>(IFERROR(VLOOKUP(LEFT(BG16,2),BASE!$C$346:$F$592,4,0),IFERROR(VLOOKUP(LEFT(BG16,1),BASE!$C$346:$F$592,4,0),BG16)))</f>
        <v>நெ</v>
      </c>
      <c r="BW16" s="186" t="str">
        <f>(IFERROR(VLOOKUP(LEFT(BF16,2),BASE!$C$346:$F$592,4,0),IFERROR(VLOOKUP(LEFT(BF16,1),BASE!$C$346:$F$592,4,0),BF16)))</f>
        <v>ஒ</v>
      </c>
      <c r="BX16" s="186" t="str">
        <f>(IFERROR(VLOOKUP(LEFT(BE16,2),BASE!$C$346:$F$592,4,0),IFERROR(VLOOKUP(LEFT(BE16,1),BASE!$C$346:$F$592,4,0),BE16)))</f>
        <v/>
      </c>
      <c r="BY16" s="186" t="str">
        <f>(IFERROR(VLOOKUP(LEFT(BD16,2),BASE!$C$346:$F$592,4,0),IFERROR(VLOOKUP(LEFT(BD16,1),BASE!$C$346:$F$592,4,0),BD16)))</f>
        <v/>
      </c>
      <c r="BZ16" s="186" t="str">
        <f>(IFERROR(VLOOKUP(LEFT(BC16,2),BASE!$C$346:$F$592,4,0),IFERROR(VLOOKUP(LEFT(BC16,1),BASE!$C$346:$F$592,4,0),BC16)))</f>
        <v/>
      </c>
      <c r="CA16" s="186" t="str">
        <f>(IFERROR(VLOOKUP(LEFT(BB16,2),BASE!$C$346:$F$592,4,0),IFERROR(VLOOKUP(LEFT(BB16,1),BASE!$C$346:$F$592,4,0),BB16)))</f>
        <v/>
      </c>
      <c r="CB16" s="186" t="str">
        <f>(IFERROR(VLOOKUP(LEFT(BA16,2),BASE!$C$346:$F$592,4,0),IFERROR(VLOOKUP(LEFT(BA16,1),BASE!$C$346:$F$592,4,0),BA16)))</f>
        <v/>
      </c>
      <c r="CC16" s="186" t="str">
        <f>(IFERROR(VLOOKUP(LEFT(AZ16,2),BASE!$C$346:$F$592,4,0),IFERROR(VLOOKUP(LEFT(AZ16,1),BASE!$C$346:$F$592,4,0),AZ16)))</f>
        <v/>
      </c>
      <c r="CD16" s="58" t="str">
        <f t="shared" si="5"/>
        <v>குகுநெஒ</v>
      </c>
      <c r="CE16" s="58" t="str">
        <f>IFERROR(VLOOKUP((LEFT(U16,4)),BASE!$E$12:$F$23,2,0),IFERROR(VLOOKUP((LEFT(U16,3)),BASE!$E$12:$F$23,2,0),IFERROR(VLOOKUP((LEFT(U16,2)),BASE!$E$12:$F$23,2,0),IFERROR(VLOOKUP((LEFT(U16,1)),BASE!$E$12:$F$23,2,0),U16))))</f>
        <v>நிரை</v>
      </c>
      <c r="CF16" s="58" t="str">
        <f>IFERROR(VLOOKUP((LEFT(T16,4)),BASE!$E$12:$F$24,2,0),IFERROR(VLOOKUP((LEFT(T16,3)),BASE!$E$12:$F$24,2,0),IFERROR(VLOOKUP((LEFT(T16,2)),BASE!$E$12:$F$24,2,0),IFERROR(VLOOKUP((LEFT(T16,1)),BASE!$E$12:$F$24,2,0),T16))))</f>
        <v>நேர்</v>
      </c>
      <c r="CG16" s="58" t="str">
        <f>IFERROR(VLOOKUP((LEFT(S16,4)),BASE!$E$12:$F$23,2,0),IFERROR(VLOOKUP((LEFT(S16,3)),BASE!$E$12:$F$23,2,0),IFERROR(VLOOKUP((LEFT(S16,2)),BASE!$E$12:$F$23,2,0),IFERROR(VLOOKUP((LEFT(S16,1)),BASE!$E$12:$F$23,2,0),S16))))</f>
        <v/>
      </c>
      <c r="CH16" s="58" t="str">
        <f>IFERROR(VLOOKUP((LEFT(R16,4)),BASE!$E$12:$F$23,2,0),IFERROR(VLOOKUP((LEFT(R16,3)),BASE!$E$12:$F$23,2,0),IFERROR(VLOOKUP((LEFT(R16,2)),BASE!$E$12:$F$23,2,0),IFERROR(VLOOKUP((LEFT(R16,1)),BASE!$E$12:$F$23,2,0),R16))))</f>
        <v/>
      </c>
      <c r="CI16" s="58" t="str">
        <f>IFERROR(VLOOKUP((LEFT(Q16,4)),BASE!$E$12:$F$23,2,0),IFERROR(VLOOKUP((LEFT(Q16,3)),BASE!$E$12:$F$23,2,0),IFERROR(VLOOKUP((LEFT(Q16,2)),BASE!$E$12:$F$23,2,0),IFERROR(VLOOKUP((LEFT(Q16,1)),BASE!$E$12:$F$23,2,0),Q16))))</f>
        <v/>
      </c>
      <c r="CJ16" s="58" t="str">
        <f>IFERROR(VLOOKUP((LEFT(P16,4)),BASE!$E$12:$F$23,2,0),IFERROR(VLOOKUP((LEFT(P16,3)),BASE!$E$12:$F$23,2,0),IFERROR(VLOOKUP((LEFT(P16,2)),BASE!$E$12:$F$23,2,0),IFERROR(VLOOKUP((LEFT(P16,1)),BASE!$E$12:$F$23,2,0),P16))))</f>
        <v/>
      </c>
      <c r="CK16" s="58" t="str">
        <f>IFERROR(VLOOKUP((LEFT(O16,4)),BASE!$E$12:$F$23,2,0),IFERROR(VLOOKUP((LEFT(O16,3)),BASE!$E$12:$F$23,2,0),IFERROR(VLOOKUP((LEFT(O16,2)),BASE!$E$12:$F$23,2,0),IFERROR(VLOOKUP((LEFT(O16,1)),BASE!$E$12:$F$23,2,0),O16))))</f>
        <v/>
      </c>
      <c r="CL16" s="58" t="str">
        <f>IFERROR(VLOOKUP((LEFT(N16,4)),BASE!$E$12:$F$23,2,0),IFERROR(VLOOKUP((LEFT(N16,3)),BASE!$E$12:$F$23,2,0),IFERROR(VLOOKUP((LEFT(N16,2)),BASE!$E$12:$F$23,2,0),IFERROR(VLOOKUP((LEFT(N16,1)),BASE!$E$12:$F$23,2,0),N16))))</f>
        <v/>
      </c>
      <c r="CM16" s="58" t="str">
        <f>IFERROR(VLOOKUP((LEFT(M16,4)),BASE!$E$12:$F$23,2,0),IFERROR(VLOOKUP((LEFT(M16,3)),BASE!$E$12:$F$23,2,0),IFERROR(VLOOKUP((LEFT(M16,2)),BASE!$E$12:$F$23,2,0),IFERROR(VLOOKUP((LEFT(M16,1)),BASE!$E$12:$F$23,2,0),M16))))</f>
        <v/>
      </c>
      <c r="CN16" s="58" t="str">
        <f>IFERROR(VLOOKUP((LEFT(L16,4)),BASE!$E$12:$F$23,2,0),IFERROR(VLOOKUP((LEFT(L16,3)),BASE!$E$12:$F$23,2,0),IFERROR(VLOOKUP((LEFT(L16,2)),BASE!$E$12:$F$23,2,0),IFERROR(VLOOKUP((LEFT(L16,1)),BASE!$E$12:$F$23,2,0),L16))))</f>
        <v/>
      </c>
      <c r="CO16" s="58" t="str">
        <f t="shared" si="6"/>
        <v>நிரைநேர்</v>
      </c>
      <c r="CP16" s="58" t="str">
        <f>VLOOKUP(CO16,BASE!$E$25:$F$79,2,0)</f>
        <v>புளிமா</v>
      </c>
      <c r="CQ16" s="58" t="str">
        <f>VLOOKUP(CO16,BASE!$E$25:$G$79,3,0)&amp;CE17</f>
        <v>மாநிரை</v>
      </c>
      <c r="CR16" s="58" t="str">
        <f>VLOOKUP(CQ16,BASE!$E$86:$G$93,2,0)</f>
        <v>மாமுன் நிரை</v>
      </c>
      <c r="CS16" s="58" t="str">
        <f>VLOOKUP(CQ16,BASE!$E$86:$G$93,3,0)</f>
        <v>இயற்சீர் வெண்டளை</v>
      </c>
      <c r="CT16" s="58" t="str">
        <f t="shared" si="7"/>
        <v>மூவசைக்கு மிகவில்லை</v>
      </c>
      <c r="CU16" s="58" t="str">
        <f t="shared" si="8"/>
        <v>சரி</v>
      </c>
      <c r="CV16" s="193"/>
    </row>
    <row r="17" spans="1:100" ht="19.5" customHeight="1" x14ac:dyDescent="0.35">
      <c r="A17" s="119"/>
      <c r="B17" s="12">
        <f>IFERROR(VLOOKUP((LEFT(L17,4)),BASE!$E$12:$F$23,1,0),IFERROR(VLOOKUP((LEFT(L17,3)),BASE!$E$12:$F$23,1,0),IFERROR(VLOOKUP((LEFT(L17,2)),BASE!$E$12:$F$23,1,0),IFERROR(VLOOKUP((LEFT(L17,1)),BASE!$E$12:$F$23,1,0),100))))</f>
        <v>100</v>
      </c>
      <c r="C17" s="12">
        <f>IFERROR(VLOOKUP((LEFT(M17,4)),BASE!$E$12:$F$23,1,0),IFERROR(VLOOKUP((LEFT(M17,3)),BASE!$E$12:$F$23,1,0),IFERROR(VLOOKUP((LEFT(M17,2)),BASE!$E$12:$F$23,1,0),IFERROR(VLOOKUP((LEFT(M17,1)),BASE!$E$12:$F$23,1,0),100))))</f>
        <v>100</v>
      </c>
      <c r="D17" s="12">
        <f>IFERROR(VLOOKUP((LEFT(N17,4)),BASE!$E$12:$F$23,1,0),IFERROR(VLOOKUP((LEFT(N17,3)),BASE!$E$12:$F$23,1,0),IFERROR(VLOOKUP((LEFT(N17,2)),BASE!$E$12:$F$23,1,0),IFERROR(VLOOKUP((LEFT(N17,1)),BASE!$E$12:$F$23,1,0),100))))</f>
        <v>100</v>
      </c>
      <c r="E17" s="12">
        <f>IFERROR(VLOOKUP((LEFT(O17,4)),BASE!$E$12:$F$23,1,0),IFERROR(VLOOKUP((LEFT(O17,3)),BASE!$E$12:$F$23,1,0),IFERROR(VLOOKUP((LEFT(O17,2)),BASE!$E$12:$F$23,1,0),IFERROR(VLOOKUP((LEFT(O17,1)),BASE!$E$12:$F$23,1,0),100))))</f>
        <v>100</v>
      </c>
      <c r="F17" s="12">
        <f>IFERROR(VLOOKUP((LEFT(P17,4)),BASE!$E$12:$F$23,1,0),IFERROR(VLOOKUP((LEFT(P17,3)),BASE!$E$12:$F$23,1,0),IFERROR(VLOOKUP((LEFT(P17,2)),BASE!$E$12:$F$23,1,0),IFERROR(VLOOKUP((LEFT(P17,1)),BASE!$E$12:$F$23,1,0),100))))</f>
        <v>100</v>
      </c>
      <c r="G17" s="12">
        <f>IFERROR(VLOOKUP((LEFT(Q17,4)),BASE!$E$12:$F$23,1,0),IFERROR(VLOOKUP((LEFT(Q17,3)),BASE!$E$12:$F$23,1,0),IFERROR(VLOOKUP((LEFT(Q17,2)),BASE!$E$12:$F$23,1,0),IFERROR(VLOOKUP((LEFT(Q17,1)),BASE!$E$12:$F$23,1,0),100))))</f>
        <v>100</v>
      </c>
      <c r="H17" s="12">
        <f>IFERROR(VLOOKUP((LEFT(R17,4)),BASE!$E$12:$F$23,1,0),IFERROR(VLOOKUP((LEFT(R17,3)),BASE!$E$12:$F$23,1,0),IFERROR(VLOOKUP((LEFT(R17,2)),BASE!$E$12:$F$23,1,0),IFERROR(VLOOKUP((LEFT(R17,1)),BASE!$E$12:$F$23,1,0),100))))</f>
        <v>100</v>
      </c>
      <c r="I17" s="12" t="str">
        <f>IFERROR(VLOOKUP((LEFT(S17,4)),BASE!$E$12:$F$23,1,0),IFERROR(VLOOKUP((LEFT(S17,3)),BASE!$E$12:$F$23,1,0),IFERROR(VLOOKUP((LEFT(S17,2)),BASE!$E$12:$F$23,1,0),IFERROR(VLOOKUP((LEFT(S17,1)),BASE!$E$12:$F$23,1,0),100))))</f>
        <v>ko</v>
      </c>
      <c r="J17" s="12" t="str">
        <f>IFERROR(VLOOKUP((LEFT(T17,4)),BASE!$E$12:$F$24,1,0),IFERROR(VLOOKUP((LEFT(T17,3)),BASE!$E$12:$F$24,1,0),IFERROR(VLOOKUP((LEFT(T17,2)),BASE!$E$12:$F$24,1,0),IFERROR(VLOOKUP((LEFT(T17,1)),BASE!$E$12:$F$24,1,0),100))))</f>
        <v>kk</v>
      </c>
      <c r="K17" s="12" t="str">
        <f>IFERROR(VLOOKUP((LEFT(U17,4)),BASE!$E$12:$F$23,1,0),IFERROR(VLOOKUP((LEFT(U17,3)),BASE!$E$12:$F$23,1,0),IFERROR(VLOOKUP((LEFT(U17,2)),BASE!$E$12:$F$23,1,0),IFERROR(VLOOKUP((LEFT(U17,1)),BASE!$E$12:$F$23,1,0),100))))</f>
        <v>kko</v>
      </c>
      <c r="L17" s="14" t="str">
        <f t="shared" si="9"/>
        <v/>
      </c>
      <c r="M17" s="14" t="str">
        <f t="shared" si="10"/>
        <v/>
      </c>
      <c r="N17" s="14" t="str">
        <f t="shared" si="11"/>
        <v/>
      </c>
      <c r="O17" s="14" t="str">
        <f t="shared" si="12"/>
        <v/>
      </c>
      <c r="P17" s="14" t="str">
        <f t="shared" si="13"/>
        <v/>
      </c>
      <c r="Q17" s="14" t="str">
        <f t="shared" si="14"/>
        <v/>
      </c>
      <c r="R17" s="14" t="str">
        <f t="shared" si="15"/>
        <v/>
      </c>
      <c r="S17" s="14" t="str">
        <f t="shared" si="16"/>
        <v>ko</v>
      </c>
      <c r="T17" s="14" t="str">
        <f t="shared" si="17"/>
        <v>kkko</v>
      </c>
      <c r="U17" s="14" t="str">
        <f t="shared" si="1"/>
        <v>kkokkko</v>
      </c>
      <c r="V17" s="13">
        <f>IFERROR(VLOOKUP(LEFT(AZ17,2),BASE!$C$96:$E$342,3,0),IFERROR(VLOOKUP(LEFT(AZ17,1),BASE!$C$96:$E$342,3,0),100))</f>
        <v>100</v>
      </c>
      <c r="W17" s="13">
        <f>IFERROR(VLOOKUP(LEFT(BA17,2),BASE!$C$96:$E$342,3,0),IFERROR(VLOOKUP(LEFT(BA17,1),BASE!$C$96:$E$342,3,0),100))</f>
        <v>100</v>
      </c>
      <c r="X17" s="13">
        <f>IFERROR(VLOOKUP(LEFT(BB17,2),BASE!$C$96:$E$342,3,0),IFERROR(VLOOKUP(LEFT(BB17,1),BASE!$C$96:$E$342,3,0),100))</f>
        <v>100</v>
      </c>
      <c r="Y17" s="13">
        <f>IFERROR(VLOOKUP(LEFT(BC17,2),BASE!$C$96:$E$342,3,0),IFERROR(VLOOKUP(LEFT(BC17,1),BASE!$C$96:$E$342,3,0),100))</f>
        <v>2</v>
      </c>
      <c r="Z17" s="13">
        <f>IFERROR(VLOOKUP(LEFT(BD17,2),BASE!$C$96:$E$342,3,0),IFERROR(VLOOKUP(LEFT(BD17,1),BASE!$C$96:$E$342,3,0),100))</f>
        <v>2</v>
      </c>
      <c r="AA17" s="13">
        <f>IFERROR(VLOOKUP(LEFT(BE17,2),BASE!$C$96:$E$342,3,0),IFERROR(VLOOKUP(LEFT(BE17,1),BASE!$C$96:$E$342,3,0),100))</f>
        <v>2</v>
      </c>
      <c r="AB17" s="13">
        <f>IFERROR(VLOOKUP(LEFT(BF17,2),BASE!$C$96:$E$342,3,0),IFERROR(VLOOKUP(LEFT(BF17,1),BASE!$C$96:$E$342,3,0),100))</f>
        <v>2</v>
      </c>
      <c r="AC17" s="13">
        <f>IFERROR(VLOOKUP(LEFT(BG17,2),BASE!$C$96:$E$342,3,0),IFERROR(VLOOKUP(LEFT(BG17,1),BASE!$C$96:$E$342,3,0),100))</f>
        <v>2</v>
      </c>
      <c r="AD17" s="13">
        <f>IFERROR(VLOOKUP(LEFT(BH17,2),BASE!$C$96:$E$342,3,0),IFERROR(VLOOKUP(LEFT(BH17,1),BASE!$C$96:$E$342,3,0),100))</f>
        <v>1</v>
      </c>
      <c r="AE17" s="13">
        <f>IFERROR(VLOOKUP(LEFT(BI17,2),BASE!$C$96:$E$342,3,0),IFERROR(VLOOKUP(LEFT(BI17,1),BASE!$C$96:$E$342,3,0),100))</f>
        <v>1</v>
      </c>
      <c r="AF17" s="187" t="str">
        <f>IF(AND(BS17=BR17,AG17="o"),"A", (IFERROR(VLOOKUP(LEFT(AZ17,2),BASE!$C$346:$D$592,2,0),IFERROR(VLOOKUP(LEFT(AZ17,1),BASE!$C$346:$D$5922,2,0),AZ17))))</f>
        <v/>
      </c>
      <c r="AG17" s="187" t="str">
        <f>IF(AND(BR17=BQ17,AH17="o"),"A", (IFERROR(VLOOKUP(LEFT(BA17,2),BASE!$C$346:$D$592,2,0),IFERROR(VLOOKUP(LEFT(BA17,1),BASE!$C$346:$D$592,2,0),BA17))))</f>
        <v/>
      </c>
      <c r="AH17" s="187" t="str">
        <f>IF(AND(BQ17=BP17,AI17="o"),"A", (IFERROR(VLOOKUP(LEFT(BB17,2),BASE!$C$346:$D$592,2,0),IFERROR(VLOOKUP(LEFT(BB17,1),BASE!$C$346:$D$592,2,0),BB17))))</f>
        <v/>
      </c>
      <c r="AI17" s="187" t="str">
        <f>IF(AND(BP17=BO17,AJ17="o"),"A", (IFERROR(VLOOKUP(LEFT(BC17,2),BASE!$C$346:$D$592,2,0),IFERROR(VLOOKUP(LEFT(BC17,1),BASE!$C$346:$D$592,2,0),BC17))))</f>
        <v>o</v>
      </c>
      <c r="AJ17" s="187" t="str">
        <f>IF(AND(BO17=BN17,AK17="o"),"A", (IFERROR(VLOOKUP(LEFT(BD17,2),BASE!$C$346:$D$592,2,0),IFERROR(VLOOKUP(LEFT(BD17,1),BASE!$C$346:$D$592,2,0),BD17))))</f>
        <v>k</v>
      </c>
      <c r="AK17" s="187" t="str">
        <f>IF(AND(BN17=BM17,AL17="o"),"A", (IFERROR(VLOOKUP(LEFT(BE17,2),BASE!$C$346:$D$592,2,0),IFERROR(VLOOKUP(LEFT(BE17,1),BASE!$C$346:$D$592,2,0),BE17))))</f>
        <v>k</v>
      </c>
      <c r="AL17" s="187" t="str">
        <f>IF(AND(BM17=BL17,AM17="o"),"A", (IFERROR(VLOOKUP(LEFT(BF17,2),BASE!$C$346:$D$592,2,0),IFERROR(VLOOKUP(LEFT(BF17,1),BASE!$C$346:$D$592,2,0),BF17))))</f>
        <v>k</v>
      </c>
      <c r="AM17" s="187" t="str">
        <f>IF(AND(BL17=BK17,AN17="o"),"A",(IFERROR(VLOOKUP(LEFT(BG17,2),BASE!$C$346:$D$592,2,0),IFERROR(VLOOKUP(LEFT(BG17,1),BASE!$C$346:$D$592,2,0),BG17))))</f>
        <v>o</v>
      </c>
      <c r="AN17" s="187" t="str">
        <f>(IFERROR(VLOOKUP(LEFT(BH17,2),BASE!$C$346:$D$592,2,0),IFERROR(VLOOKUP(LEFT(BH17,1),BASE!$C$346:$D$592,2,0),BH17)))</f>
        <v>k</v>
      </c>
      <c r="AO17" s="187" t="str">
        <f>(IFERROR(VLOOKUP(LEFT(BI17,2),BASE!$C$96:$D$342,2,0),IFERROR(VLOOKUP(LEFT(BI17,1),BASE!$C$96:$D$342,2,0),BI17)))</f>
        <v>k</v>
      </c>
      <c r="AP17" s="5">
        <f t="shared" si="18"/>
        <v>12</v>
      </c>
      <c r="AQ17" s="5">
        <f t="shared" si="19"/>
        <v>12</v>
      </c>
      <c r="AR17" s="5">
        <f t="shared" si="20"/>
        <v>12</v>
      </c>
      <c r="AS17" s="5">
        <f t="shared" si="21"/>
        <v>12</v>
      </c>
      <c r="AT17" s="5">
        <f t="shared" si="22"/>
        <v>12</v>
      </c>
      <c r="AU17" s="5">
        <f t="shared" si="23"/>
        <v>12</v>
      </c>
      <c r="AV17" s="5">
        <f t="shared" si="24"/>
        <v>12</v>
      </c>
      <c r="AW17" s="5">
        <f t="shared" si="25"/>
        <v>12</v>
      </c>
      <c r="AX17" s="5">
        <f t="shared" si="26"/>
        <v>12</v>
      </c>
      <c r="AY17" s="5">
        <f t="shared" si="3"/>
        <v>12</v>
      </c>
      <c r="AZ17" s="12" t="str">
        <f t="shared" si="27"/>
        <v/>
      </c>
      <c r="BA17" s="12" t="str">
        <f t="shared" si="28"/>
        <v/>
      </c>
      <c r="BB17" s="12" t="str">
        <f t="shared" si="29"/>
        <v/>
      </c>
      <c r="BC17" s="12" t="str">
        <f t="shared" si="30"/>
        <v>ம்</v>
      </c>
      <c r="BD17" s="12" t="str">
        <f t="shared" si="31"/>
        <v>கும்</v>
      </c>
      <c r="BE17" s="12" t="str">
        <f t="shared" si="32"/>
        <v>ருகும்</v>
      </c>
      <c r="BF17" s="12" t="str">
        <f t="shared" si="33"/>
        <v>பெருகும்</v>
      </c>
      <c r="BG17" s="12" t="str">
        <f t="shared" si="34"/>
        <v>ம்பெருகும்</v>
      </c>
      <c r="BH17" s="43" t="str">
        <f t="shared" si="35"/>
        <v>லம்பெருகும்</v>
      </c>
      <c r="BI17" s="57" t="str">
        <f>CF6</f>
        <v>நலம்பெருகும்</v>
      </c>
      <c r="BJ17" s="58" t="str">
        <f>IFERROR(VLOOKUP(LEFT(BI17,2),BASE!$C$96:$F$342,1,0),IFERROR(VLOOKUP(LEFT(BI17,1),BASE!$C$96:$F$342,1,0),BI17))</f>
        <v>ந</v>
      </c>
      <c r="BK17" s="58" t="str">
        <f>IFERROR(VLOOKUP(LEFT(BH17,2),BASE!$C$96:$D$342,1,0),IFERROR(VLOOKUP(LEFT(BH17,1),BASE!$C$96:$D$342,1,0),BH17))</f>
        <v>ல</v>
      </c>
      <c r="BL17" s="58" t="str">
        <f>IFERROR(VLOOKUP(LEFT(BG17,2),BASE!$C$96:$D$342,1,0),IFERROR(VLOOKUP(LEFT(BG17,1),BASE!$C$96:$D$342,1,0),BG17))</f>
        <v>ம்</v>
      </c>
      <c r="BM17" s="58" t="str">
        <f>IFERROR(VLOOKUP(LEFT(BF17,2),BASE!$C$96:$D$342,1,0),IFERROR(VLOOKUP(LEFT(BF17,1),BASE!$C$96:$D$342,1,0),BF17))</f>
        <v>பெ</v>
      </c>
      <c r="BN17" s="58" t="str">
        <f>IFERROR(VLOOKUP(LEFT(BE17,2),BASE!$C$96:$D$342,1,0),IFERROR(VLOOKUP(LEFT(BE17,1),BASE!$C$96:$D$342,1,0),BE17))</f>
        <v>ரு</v>
      </c>
      <c r="BO17" s="58" t="str">
        <f>IFERROR(VLOOKUP(LEFT(BD17,2),BASE!$C$96:$D$342,1,0),IFERROR(VLOOKUP(LEFT(BD17,1),BASE!$C$96:$D$342,1,0),BD17))</f>
        <v>கு</v>
      </c>
      <c r="BP17" s="58" t="str">
        <f>IFERROR(VLOOKUP(LEFT(BC17,2),BASE!$C$96:$D$342,1,0),IFERROR(VLOOKUP(LEFT(BC17,1),BASE!$C$96:$D$342,1,0),BC17))</f>
        <v>ம்</v>
      </c>
      <c r="BQ17" s="58" t="str">
        <f>IFERROR(VLOOKUP(LEFT(BB17,2),BASE!$C$96:$D$342,1,0),IFERROR(VLOOKUP(LEFT(BB17,1),BASE!$C$96:$D$342,1,0),BB17))</f>
        <v/>
      </c>
      <c r="BR17" s="58" t="str">
        <f>IFERROR(VLOOKUP(LEFT(BA17,2),BASE!$C$96:$D$342,1,0),IFERROR(VLOOKUP(LEFT(BA17,1),BASE!$C$96:$D$342,1,0),BA17))</f>
        <v/>
      </c>
      <c r="BS17" s="58" t="str">
        <f>IFERROR(VLOOKUP(LEFT(AZ17,2),BASE!$C$96:$D$342,1,0),IFERROR(VLOOKUP(LEFT(AZ17,1),BASE!$C$96:$D$342,1,0),AZ17))</f>
        <v/>
      </c>
      <c r="BT17" s="186" t="str">
        <f>(IFERROR(VLOOKUP(LEFT(BI17,2),BASE!$C$96:$F$342,4,0),IFERROR(VLOOKUP(LEFT(BI17,1),BASE!$C$96:$F$342,4,0),BI17)))</f>
        <v>கு</v>
      </c>
      <c r="BU17" s="186" t="str">
        <f>(IFERROR(VLOOKUP(LEFT(BH17,2),BASE!$C$346:$F$592,4,0),IFERROR(VLOOKUP(LEFT(BH17,1),BASE!$C$346:$F$592,4,0),BH17)))</f>
        <v>கு</v>
      </c>
      <c r="BV17" s="186" t="str">
        <f>(IFERROR(VLOOKUP(LEFT(BG17,2),BASE!$C$346:$F$592,4,0),IFERROR(VLOOKUP(LEFT(BG17,1),BASE!$C$346:$F$592,4,0),BG17)))</f>
        <v>ஒ</v>
      </c>
      <c r="BW17" s="186" t="str">
        <f>(IFERROR(VLOOKUP(LEFT(BF17,2),BASE!$C$346:$F$592,4,0),IFERROR(VLOOKUP(LEFT(BF17,1),BASE!$C$346:$F$592,4,0),BF17)))</f>
        <v>கு</v>
      </c>
      <c r="BX17" s="186" t="str">
        <f>(IFERROR(VLOOKUP(LEFT(BE17,2),BASE!$C$346:$F$592,4,0),IFERROR(VLOOKUP(LEFT(BE17,1),BASE!$C$346:$F$592,4,0),BE17)))</f>
        <v>கு</v>
      </c>
      <c r="BY17" s="186" t="str">
        <f>(IFERROR(VLOOKUP(LEFT(BD17,2),BASE!$C$346:$F$592,4,0),IFERROR(VLOOKUP(LEFT(BD17,1),BASE!$C$346:$F$592,4,0),BD17)))</f>
        <v>கு</v>
      </c>
      <c r="BZ17" s="186" t="str">
        <f>(IFERROR(VLOOKUP(LEFT(BC17,2),BASE!$C$346:$F$592,4,0),IFERROR(VLOOKUP(LEFT(BC17,1),BASE!$C$346:$F$592,4,0),BC17)))</f>
        <v>ஒ</v>
      </c>
      <c r="CA17" s="186" t="str">
        <f>(IFERROR(VLOOKUP(LEFT(BB17,2),BASE!$C$346:$F$592,4,0),IFERROR(VLOOKUP(LEFT(BB17,1),BASE!$C$346:$F$592,4,0),BB17)))</f>
        <v/>
      </c>
      <c r="CB17" s="186" t="str">
        <f>(IFERROR(VLOOKUP(LEFT(BA17,2),BASE!$C$346:$F$592,4,0),IFERROR(VLOOKUP(LEFT(BA17,1),BASE!$C$346:$F$592,4,0),BA17)))</f>
        <v/>
      </c>
      <c r="CC17" s="186" t="str">
        <f>(IFERROR(VLOOKUP(LEFT(AZ17,2),BASE!$C$346:$F$592,4,0),IFERROR(VLOOKUP(LEFT(AZ17,1),BASE!$C$346:$F$592,4,0),AZ17)))</f>
        <v/>
      </c>
      <c r="CD17" s="58" t="str">
        <f t="shared" si="5"/>
        <v>குகுஒகுகுகுஒ</v>
      </c>
      <c r="CE17" s="58" t="str">
        <f>IFERROR(VLOOKUP((LEFT(U17,4)),BASE!$E$12:$F$23,2,0),IFERROR(VLOOKUP((LEFT(U17,3)),BASE!$E$12:$F$23,2,0),IFERROR(VLOOKUP((LEFT(U17,2)),BASE!$E$12:$F$23,2,0),IFERROR(VLOOKUP((LEFT(U17,1)),BASE!$E$12:$F$23,2,0),U17))))</f>
        <v>நிரை</v>
      </c>
      <c r="CF17" s="58" t="str">
        <f>IFERROR(VLOOKUP((LEFT(T17,4)),BASE!$E$12:$F$24,2,0),IFERROR(VLOOKUP((LEFT(T17,3)),BASE!$E$12:$F$24,2,0),IFERROR(VLOOKUP((LEFT(T17,2)),BASE!$E$12:$F$24,2,0),IFERROR(VLOOKUP((LEFT(T17,1)),BASE!$E$12:$F$24,2,0),T17))))</f>
        <v>நிரை</v>
      </c>
      <c r="CG17" s="58" t="str">
        <f>IFERROR(VLOOKUP((LEFT(S17,4)),BASE!$E$12:$F$23,2,0),IFERROR(VLOOKUP((LEFT(S17,3)),BASE!$E$12:$F$23,2,0),IFERROR(VLOOKUP((LEFT(S17,2)),BASE!$E$12:$F$23,2,0),IFERROR(VLOOKUP((LEFT(S17,1)),BASE!$E$12:$F$23,2,0),S17))))</f>
        <v>நேர்</v>
      </c>
      <c r="CH17" s="58" t="str">
        <f>IFERROR(VLOOKUP((LEFT(R17,4)),BASE!$E$12:$F$23,2,0),IFERROR(VLOOKUP((LEFT(R17,3)),BASE!$E$12:$F$23,2,0),IFERROR(VLOOKUP((LEFT(R17,2)),BASE!$E$12:$F$23,2,0),IFERROR(VLOOKUP((LEFT(R17,1)),BASE!$E$12:$F$23,2,0),R17))))</f>
        <v/>
      </c>
      <c r="CI17" s="58" t="str">
        <f>IFERROR(VLOOKUP((LEFT(Q17,4)),BASE!$E$12:$F$23,2,0),IFERROR(VLOOKUP((LEFT(Q17,3)),BASE!$E$12:$F$23,2,0),IFERROR(VLOOKUP((LEFT(Q17,2)),BASE!$E$12:$F$23,2,0),IFERROR(VLOOKUP((LEFT(Q17,1)),BASE!$E$12:$F$23,2,0),Q17))))</f>
        <v/>
      </c>
      <c r="CJ17" s="58" t="str">
        <f>IFERROR(VLOOKUP((LEFT(P17,4)),BASE!$E$12:$F$23,2,0),IFERROR(VLOOKUP((LEFT(P17,3)),BASE!$E$12:$F$23,2,0),IFERROR(VLOOKUP((LEFT(P17,2)),BASE!$E$12:$F$23,2,0),IFERROR(VLOOKUP((LEFT(P17,1)),BASE!$E$12:$F$23,2,0),P17))))</f>
        <v/>
      </c>
      <c r="CK17" s="58" t="str">
        <f>IFERROR(VLOOKUP((LEFT(O17,4)),BASE!$E$12:$F$23,2,0),IFERROR(VLOOKUP((LEFT(O17,3)),BASE!$E$12:$F$23,2,0),IFERROR(VLOOKUP((LEFT(O17,2)),BASE!$E$12:$F$23,2,0),IFERROR(VLOOKUP((LEFT(O17,1)),BASE!$E$12:$F$23,2,0),O17))))</f>
        <v/>
      </c>
      <c r="CL17" s="58" t="str">
        <f>IFERROR(VLOOKUP((LEFT(N17,4)),BASE!$E$12:$F$23,2,0),IFERROR(VLOOKUP((LEFT(N17,3)),BASE!$E$12:$F$23,2,0),IFERROR(VLOOKUP((LEFT(N17,2)),BASE!$E$12:$F$23,2,0),IFERROR(VLOOKUP((LEFT(N17,1)),BASE!$E$12:$F$23,2,0),N17))))</f>
        <v/>
      </c>
      <c r="CM17" s="58" t="str">
        <f>IFERROR(VLOOKUP((LEFT(M17,4)),BASE!$E$12:$F$23,2,0),IFERROR(VLOOKUP((LEFT(M17,3)),BASE!$E$12:$F$23,2,0),IFERROR(VLOOKUP((LEFT(M17,2)),BASE!$E$12:$F$23,2,0),IFERROR(VLOOKUP((LEFT(M17,1)),BASE!$E$12:$F$23,2,0),M17))))</f>
        <v/>
      </c>
      <c r="CN17" s="58" t="str">
        <f>IFERROR(VLOOKUP((LEFT(L17,4)),BASE!$E$12:$F$23,2,0),IFERROR(VLOOKUP((LEFT(L17,3)),BASE!$E$12:$F$23,2,0),IFERROR(VLOOKUP((LEFT(L17,2)),BASE!$E$12:$F$23,2,0),IFERROR(VLOOKUP((LEFT(L17,1)),BASE!$E$12:$F$23,2,0),L17))))</f>
        <v/>
      </c>
      <c r="CO17" s="58" t="str">
        <f t="shared" si="6"/>
        <v>நிரைநிரைநேர்</v>
      </c>
      <c r="CP17" s="58" t="str">
        <f>VLOOKUP(CO17,BASE!$E$25:$F$79,2,0)</f>
        <v>கருவிளங்காய்</v>
      </c>
      <c r="CQ17" s="58" t="str">
        <f>VLOOKUP(CO17,BASE!$E$25:$G$79,3,0)&amp;CE18</f>
        <v>காய்நேர்</v>
      </c>
      <c r="CR17" s="58" t="str">
        <f>VLOOKUP(CQ17,BASE!$E$86:$G$93,2,0)</f>
        <v>காய் முன் நேர்</v>
      </c>
      <c r="CS17" s="58" t="str">
        <f>VLOOKUP(CQ17,BASE!$E$86:$G$93,3,0)</f>
        <v>வெண்சீர் வெண்டளை</v>
      </c>
      <c r="CT17" s="58" t="str">
        <f t="shared" si="7"/>
        <v>மூவசைக்கு மிகவில்லை</v>
      </c>
      <c r="CU17" s="58" t="str">
        <f t="shared" si="8"/>
        <v>சரி</v>
      </c>
      <c r="CV17" s="193"/>
    </row>
    <row r="18" spans="1:100" ht="19.5" customHeight="1" x14ac:dyDescent="0.35">
      <c r="A18" s="119"/>
      <c r="B18" s="12">
        <f>IFERROR(VLOOKUP((LEFT(L18,4)),BASE!$E$12:$F$23,1,0),IFERROR(VLOOKUP((LEFT(L18,3)),BASE!$E$12:$F$23,1,0),IFERROR(VLOOKUP((LEFT(L18,2)),BASE!$E$12:$F$23,1,0),IFERROR(VLOOKUP((LEFT(L18,1)),BASE!$E$12:$F$23,1,0),100))))</f>
        <v>100</v>
      </c>
      <c r="C18" s="12">
        <f>IFERROR(VLOOKUP((LEFT(M18,4)),BASE!$E$12:$F$23,1,0),IFERROR(VLOOKUP((LEFT(M18,3)),BASE!$E$12:$F$23,1,0),IFERROR(VLOOKUP((LEFT(M18,2)),BASE!$E$12:$F$23,1,0),IFERROR(VLOOKUP((LEFT(M18,1)),BASE!$E$12:$F$23,1,0),100))))</f>
        <v>100</v>
      </c>
      <c r="D18" s="12">
        <f>IFERROR(VLOOKUP((LEFT(N18,4)),BASE!$E$12:$F$23,1,0),IFERROR(VLOOKUP((LEFT(N18,3)),BASE!$E$12:$F$23,1,0),IFERROR(VLOOKUP((LEFT(N18,2)),BASE!$E$12:$F$23,1,0),IFERROR(VLOOKUP((LEFT(N18,1)),BASE!$E$12:$F$23,1,0),100))))</f>
        <v>100</v>
      </c>
      <c r="E18" s="12">
        <f>IFERROR(VLOOKUP((LEFT(O18,4)),BASE!$E$12:$F$23,1,0),IFERROR(VLOOKUP((LEFT(O18,3)),BASE!$E$12:$F$23,1,0),IFERROR(VLOOKUP((LEFT(O18,2)),BASE!$E$12:$F$23,1,0),IFERROR(VLOOKUP((LEFT(O18,1)),BASE!$E$12:$F$23,1,0),100))))</f>
        <v>100</v>
      </c>
      <c r="F18" s="12">
        <f>IFERROR(VLOOKUP((LEFT(P18,4)),BASE!$E$12:$F$23,1,0),IFERROR(VLOOKUP((LEFT(P18,3)),BASE!$E$12:$F$23,1,0),IFERROR(VLOOKUP((LEFT(P18,2)),BASE!$E$12:$F$23,1,0),IFERROR(VLOOKUP((LEFT(P18,1)),BASE!$E$12:$F$23,1,0),100))))</f>
        <v>100</v>
      </c>
      <c r="G18" s="12">
        <f>IFERROR(VLOOKUP((LEFT(Q18,4)),BASE!$E$12:$F$23,1,0),IFERROR(VLOOKUP((LEFT(Q18,3)),BASE!$E$12:$F$23,1,0),IFERROR(VLOOKUP((LEFT(Q18,2)),BASE!$E$12:$F$23,1,0),IFERROR(VLOOKUP((LEFT(Q18,1)),BASE!$E$12:$F$23,1,0),100))))</f>
        <v>100</v>
      </c>
      <c r="H18" s="12">
        <f>IFERROR(VLOOKUP((LEFT(R18,4)),BASE!$E$12:$F$23,1,0),IFERROR(VLOOKUP((LEFT(R18,3)),BASE!$E$12:$F$23,1,0),IFERROR(VLOOKUP((LEFT(R18,2)),BASE!$E$12:$F$23,1,0),IFERROR(VLOOKUP((LEFT(R18,1)),BASE!$E$12:$F$23,1,0),100))))</f>
        <v>100</v>
      </c>
      <c r="I18" s="12" t="str">
        <f>IFERROR(VLOOKUP((LEFT(S18,4)),BASE!$E$12:$F$23,1,0),IFERROR(VLOOKUP((LEFT(S18,3)),BASE!$E$12:$F$23,1,0),IFERROR(VLOOKUP((LEFT(S18,2)),BASE!$E$12:$F$23,1,0),IFERROR(VLOOKUP((LEFT(S18,1)),BASE!$E$12:$F$23,1,0),100))))</f>
        <v>ko</v>
      </c>
      <c r="J18" s="12" t="str">
        <f>IFERROR(VLOOKUP((LEFT(T18,4)),BASE!$E$12:$F$24,1,0),IFERROR(VLOOKUP((LEFT(T18,3)),BASE!$E$12:$F$24,1,0),IFERROR(VLOOKUP((LEFT(T18,2)),BASE!$E$12:$F$24,1,0),IFERROR(VLOOKUP((LEFT(T18,1)),BASE!$E$12:$F$24,1,0),100))))</f>
        <v>n</v>
      </c>
      <c r="K18" s="12" t="str">
        <f>IFERROR(VLOOKUP((LEFT(U18,4)),BASE!$E$12:$F$23,1,0),IFERROR(VLOOKUP((LEFT(U18,3)),BASE!$E$12:$F$23,1,0),IFERROR(VLOOKUP((LEFT(U18,2)),BASE!$E$12:$F$23,1,0),IFERROR(VLOOKUP((LEFT(U18,1)),BASE!$E$12:$F$23,1,0),100))))</f>
        <v>n</v>
      </c>
      <c r="L18" s="14" t="str">
        <f t="shared" si="9"/>
        <v/>
      </c>
      <c r="M18" s="14" t="str">
        <f t="shared" si="10"/>
        <v/>
      </c>
      <c r="N18" s="14" t="str">
        <f t="shared" si="11"/>
        <v/>
      </c>
      <c r="O18" s="14" t="str">
        <f t="shared" si="12"/>
        <v/>
      </c>
      <c r="P18" s="14" t="str">
        <f t="shared" si="13"/>
        <v/>
      </c>
      <c r="Q18" s="14" t="str">
        <f t="shared" si="14"/>
        <v/>
      </c>
      <c r="R18" s="14" t="str">
        <f t="shared" si="15"/>
        <v/>
      </c>
      <c r="S18" s="14" t="str">
        <f t="shared" si="16"/>
        <v>ko</v>
      </c>
      <c r="T18" s="14" t="str">
        <f t="shared" si="17"/>
        <v>nko</v>
      </c>
      <c r="U18" s="14" t="str">
        <f t="shared" si="1"/>
        <v>nnko</v>
      </c>
      <c r="V18" s="13">
        <f>IFERROR(VLOOKUP(LEFT(AZ18,2),BASE!$C$96:$E$342,3,0),IFERROR(VLOOKUP(LEFT(AZ18,1),BASE!$C$96:$E$342,3,0),100))</f>
        <v>100</v>
      </c>
      <c r="W18" s="13">
        <f>IFERROR(VLOOKUP(LEFT(BA18,2),BASE!$C$96:$E$342,3,0),IFERROR(VLOOKUP(LEFT(BA18,1),BASE!$C$96:$E$342,3,0),100))</f>
        <v>100</v>
      </c>
      <c r="X18" s="13">
        <f>IFERROR(VLOOKUP(LEFT(BB18,2),BASE!$C$96:$E$342,3,0),IFERROR(VLOOKUP(LEFT(BB18,1),BASE!$C$96:$E$342,3,0),100))</f>
        <v>100</v>
      </c>
      <c r="Y18" s="13">
        <f>IFERROR(VLOOKUP(LEFT(BC18,2),BASE!$C$96:$E$342,3,0),IFERROR(VLOOKUP(LEFT(BC18,1),BASE!$C$96:$E$342,3,0),100))</f>
        <v>100</v>
      </c>
      <c r="Z18" s="13">
        <f>IFERROR(VLOOKUP(LEFT(BD18,2),BASE!$C$96:$E$342,3,0),IFERROR(VLOOKUP(LEFT(BD18,1),BASE!$C$96:$E$342,3,0),100))</f>
        <v>100</v>
      </c>
      <c r="AA18" s="13">
        <f>IFERROR(VLOOKUP(LEFT(BE18,2),BASE!$C$96:$E$342,3,0),IFERROR(VLOOKUP(LEFT(BE18,1),BASE!$C$96:$E$342,3,0),100))</f>
        <v>100</v>
      </c>
      <c r="AB18" s="13">
        <f>IFERROR(VLOOKUP(LEFT(BF18,2),BASE!$C$96:$E$342,3,0),IFERROR(VLOOKUP(LEFT(BF18,1),BASE!$C$96:$E$342,3,0),100))</f>
        <v>2</v>
      </c>
      <c r="AC18" s="13">
        <f>IFERROR(VLOOKUP(LEFT(BG18,2),BASE!$C$96:$E$342,3,0),IFERROR(VLOOKUP(LEFT(BG18,1),BASE!$C$96:$E$342,3,0),100))</f>
        <v>2</v>
      </c>
      <c r="AD18" s="13">
        <f>IFERROR(VLOOKUP(LEFT(BH18,2),BASE!$C$96:$E$342,3,0),IFERROR(VLOOKUP(LEFT(BH18,1),BASE!$C$96:$E$342,3,0),100))</f>
        <v>2</v>
      </c>
      <c r="AE18" s="13">
        <f>IFERROR(VLOOKUP(LEFT(BI18,2),BASE!$C$96:$E$342,3,0),IFERROR(VLOOKUP(LEFT(BI18,1),BASE!$C$96:$E$342,3,0),100))</f>
        <v>2</v>
      </c>
      <c r="AF18" s="187" t="str">
        <f>IF(AND(BS18=BR18,AG18="o"),"A", (IFERROR(VLOOKUP(LEFT(AZ18,2),BASE!$C$346:$D$592,2,0),IFERROR(VLOOKUP(LEFT(AZ18,1),BASE!$C$346:$D$5922,2,0),AZ18))))</f>
        <v/>
      </c>
      <c r="AG18" s="187" t="str">
        <f>IF(AND(BR18=BQ18,AH18="o"),"A", (IFERROR(VLOOKUP(LEFT(BA18,2),BASE!$C$346:$D$592,2,0),IFERROR(VLOOKUP(LEFT(BA18,1),BASE!$C$346:$D$592,2,0),BA18))))</f>
        <v/>
      </c>
      <c r="AH18" s="187" t="str">
        <f>IF(AND(BQ18=BP18,AI18="o"),"A", (IFERROR(VLOOKUP(LEFT(BB18,2),BASE!$C$346:$D$592,2,0),IFERROR(VLOOKUP(LEFT(BB18,1),BASE!$C$346:$D$592,2,0),BB18))))</f>
        <v/>
      </c>
      <c r="AI18" s="187" t="str">
        <f>IF(AND(BP18=BO18,AJ18="o"),"A", (IFERROR(VLOOKUP(LEFT(BC18,2),BASE!$C$346:$D$592,2,0),IFERROR(VLOOKUP(LEFT(BC18,1),BASE!$C$346:$D$592,2,0),BC18))))</f>
        <v/>
      </c>
      <c r="AJ18" s="187" t="str">
        <f>IF(AND(BO18=BN18,AK18="o"),"A", (IFERROR(VLOOKUP(LEFT(BD18,2),BASE!$C$346:$D$592,2,0),IFERROR(VLOOKUP(LEFT(BD18,1),BASE!$C$346:$D$592,2,0),BD18))))</f>
        <v/>
      </c>
      <c r="AK18" s="187" t="str">
        <f>IF(AND(BN18=BM18,AL18="o"),"A", (IFERROR(VLOOKUP(LEFT(BE18,2),BASE!$C$346:$D$592,2,0),IFERROR(VLOOKUP(LEFT(BE18,1),BASE!$C$346:$D$592,2,0),BE18))))</f>
        <v/>
      </c>
      <c r="AL18" s="187" t="str">
        <f>IF(AND(BM18=BL18,AM18="o"),"A", (IFERROR(VLOOKUP(LEFT(BF18,2),BASE!$C$346:$D$592,2,0),IFERROR(VLOOKUP(LEFT(BF18,1),BASE!$C$346:$D$592,2,0),BF18))))</f>
        <v>o</v>
      </c>
      <c r="AM18" s="187" t="str">
        <f>IF(AND(BL18=BK18,AN18="o"),"A",(IFERROR(VLOOKUP(LEFT(BG18,2),BASE!$C$346:$D$592,2,0),IFERROR(VLOOKUP(LEFT(BG18,1),BASE!$C$346:$D$592,2,0),BG18))))</f>
        <v>k</v>
      </c>
      <c r="AN18" s="187" t="str">
        <f>(IFERROR(VLOOKUP(LEFT(BH18,2),BASE!$C$346:$D$592,2,0),IFERROR(VLOOKUP(LEFT(BH18,1),BASE!$C$346:$D$592,2,0),BH18)))</f>
        <v>n</v>
      </c>
      <c r="AO18" s="187" t="str">
        <f>(IFERROR(VLOOKUP(LEFT(BI18,2),BASE!$C$96:$D$342,2,0),IFERROR(VLOOKUP(LEFT(BI18,1),BASE!$C$96:$D$342,2,0),BI18)))</f>
        <v>n</v>
      </c>
      <c r="AP18" s="5">
        <f t="shared" si="18"/>
        <v>8</v>
      </c>
      <c r="AQ18" s="5">
        <f t="shared" si="19"/>
        <v>8</v>
      </c>
      <c r="AR18" s="5">
        <f t="shared" si="20"/>
        <v>8</v>
      </c>
      <c r="AS18" s="5">
        <f t="shared" si="21"/>
        <v>8</v>
      </c>
      <c r="AT18" s="5">
        <f t="shared" si="22"/>
        <v>8</v>
      </c>
      <c r="AU18" s="5">
        <f t="shared" si="23"/>
        <v>8</v>
      </c>
      <c r="AV18" s="5">
        <f t="shared" si="24"/>
        <v>8</v>
      </c>
      <c r="AW18" s="5">
        <f t="shared" si="25"/>
        <v>8</v>
      </c>
      <c r="AX18" s="5">
        <f t="shared" si="26"/>
        <v>8</v>
      </c>
      <c r="AY18" s="5">
        <f t="shared" si="3"/>
        <v>8</v>
      </c>
      <c r="AZ18" s="12" t="str">
        <f t="shared" si="27"/>
        <v/>
      </c>
      <c r="BA18" s="12" t="str">
        <f t="shared" si="28"/>
        <v/>
      </c>
      <c r="BB18" s="12" t="str">
        <f t="shared" si="29"/>
        <v/>
      </c>
      <c r="BC18" s="12" t="str">
        <f t="shared" si="30"/>
        <v/>
      </c>
      <c r="BD18" s="12" t="str">
        <f t="shared" si="31"/>
        <v/>
      </c>
      <c r="BE18" s="12" t="str">
        <f t="shared" si="32"/>
        <v/>
      </c>
      <c r="BF18" s="12" t="str">
        <f t="shared" si="33"/>
        <v>ம்</v>
      </c>
      <c r="BG18" s="12" t="str">
        <f t="shared" si="34"/>
        <v>றும்</v>
      </c>
      <c r="BH18" s="43" t="str">
        <f t="shared" si="35"/>
        <v>டோறும்</v>
      </c>
      <c r="BI18" s="57" t="str">
        <f>CG6</f>
        <v>நாடோறும்</v>
      </c>
      <c r="BJ18" s="58" t="str">
        <f>IFERROR(VLOOKUP(LEFT(BI18,2),BASE!$C$96:$F$342,1,0),IFERROR(VLOOKUP(LEFT(BI18,1),BASE!$C$96:$F$342,1,0),BI18))</f>
        <v>நா</v>
      </c>
      <c r="BK18" s="58" t="str">
        <f>IFERROR(VLOOKUP(LEFT(BH18,2),BASE!$C$96:$D$342,1,0),IFERROR(VLOOKUP(LEFT(BH18,1),BASE!$C$96:$D$342,1,0),BH18))</f>
        <v>டோ</v>
      </c>
      <c r="BL18" s="58" t="str">
        <f>IFERROR(VLOOKUP(LEFT(BG18,2),BASE!$C$96:$D$342,1,0),IFERROR(VLOOKUP(LEFT(BG18,1),BASE!$C$96:$D$342,1,0),BG18))</f>
        <v>று</v>
      </c>
      <c r="BM18" s="58" t="str">
        <f>IFERROR(VLOOKUP(LEFT(BF18,2),BASE!$C$96:$D$342,1,0),IFERROR(VLOOKUP(LEFT(BF18,1),BASE!$C$96:$D$342,1,0),BF18))</f>
        <v>ம்</v>
      </c>
      <c r="BN18" s="58" t="str">
        <f>IFERROR(VLOOKUP(LEFT(BE18,2),BASE!$C$96:$D$342,1,0),IFERROR(VLOOKUP(LEFT(BE18,1),BASE!$C$96:$D$342,1,0),BE18))</f>
        <v/>
      </c>
      <c r="BO18" s="58" t="str">
        <f>IFERROR(VLOOKUP(LEFT(BD18,2),BASE!$C$96:$D$342,1,0),IFERROR(VLOOKUP(LEFT(BD18,1),BASE!$C$96:$D$342,1,0),BD18))</f>
        <v/>
      </c>
      <c r="BP18" s="58" t="str">
        <f>IFERROR(VLOOKUP(LEFT(BC18,2),BASE!$C$96:$D$342,1,0),IFERROR(VLOOKUP(LEFT(BC18,1),BASE!$C$96:$D$342,1,0),BC18))</f>
        <v/>
      </c>
      <c r="BQ18" s="58" t="str">
        <f>IFERROR(VLOOKUP(LEFT(BB18,2),BASE!$C$96:$D$342,1,0),IFERROR(VLOOKUP(LEFT(BB18,1),BASE!$C$96:$D$342,1,0),BB18))</f>
        <v/>
      </c>
      <c r="BR18" s="58" t="str">
        <f>IFERROR(VLOOKUP(LEFT(BA18,2),BASE!$C$96:$D$342,1,0),IFERROR(VLOOKUP(LEFT(BA18,1),BASE!$C$96:$D$342,1,0),BA18))</f>
        <v/>
      </c>
      <c r="BS18" s="58" t="str">
        <f>IFERROR(VLOOKUP(LEFT(AZ18,2),BASE!$C$96:$D$342,1,0),IFERROR(VLOOKUP(LEFT(AZ18,1),BASE!$C$96:$D$342,1,0),AZ18))</f>
        <v/>
      </c>
      <c r="BT18" s="186" t="str">
        <f>(IFERROR(VLOOKUP(LEFT(BI18,2),BASE!$C$96:$F$342,4,0),IFERROR(VLOOKUP(LEFT(BI18,1),BASE!$C$96:$F$342,4,0),BI18)))</f>
        <v>நெ</v>
      </c>
      <c r="BU18" s="186" t="str">
        <f>(IFERROR(VLOOKUP(LEFT(BH18,2),BASE!$C$346:$F$592,4,0),IFERROR(VLOOKUP(LEFT(BH18,1),BASE!$C$346:$F$592,4,0),BH18)))</f>
        <v>நெ</v>
      </c>
      <c r="BV18" s="186" t="str">
        <f>(IFERROR(VLOOKUP(LEFT(BG18,2),BASE!$C$346:$F$592,4,0),IFERROR(VLOOKUP(LEFT(BG18,1),BASE!$C$346:$F$592,4,0),BG18)))</f>
        <v>கு</v>
      </c>
      <c r="BW18" s="186" t="str">
        <f>(IFERROR(VLOOKUP(LEFT(BF18,2),BASE!$C$346:$F$592,4,0),IFERROR(VLOOKUP(LEFT(BF18,1),BASE!$C$346:$F$592,4,0),BF18)))</f>
        <v>ஒ</v>
      </c>
      <c r="BX18" s="186" t="str">
        <f>(IFERROR(VLOOKUP(LEFT(BE18,2),BASE!$C$346:$F$592,4,0),IFERROR(VLOOKUP(LEFT(BE18,1),BASE!$C$346:$F$592,4,0),BE18)))</f>
        <v/>
      </c>
      <c r="BY18" s="186" t="str">
        <f>(IFERROR(VLOOKUP(LEFT(BD18,2),BASE!$C$346:$F$592,4,0),IFERROR(VLOOKUP(LEFT(BD18,1),BASE!$C$346:$F$592,4,0),BD18)))</f>
        <v/>
      </c>
      <c r="BZ18" s="186" t="str">
        <f>(IFERROR(VLOOKUP(LEFT(BC18,2),BASE!$C$346:$F$592,4,0),IFERROR(VLOOKUP(LEFT(BC18,1),BASE!$C$346:$F$592,4,0),BC18)))</f>
        <v/>
      </c>
      <c r="CA18" s="186" t="str">
        <f>(IFERROR(VLOOKUP(LEFT(BB18,2),BASE!$C$346:$F$592,4,0),IFERROR(VLOOKUP(LEFT(BB18,1),BASE!$C$346:$F$592,4,0),BB18)))</f>
        <v/>
      </c>
      <c r="CB18" s="186" t="str">
        <f>(IFERROR(VLOOKUP(LEFT(BA18,2),BASE!$C$346:$F$592,4,0),IFERROR(VLOOKUP(LEFT(BA18,1),BASE!$C$346:$F$592,4,0),BA18)))</f>
        <v/>
      </c>
      <c r="CC18" s="186" t="str">
        <f>(IFERROR(VLOOKUP(LEFT(AZ18,2),BASE!$C$346:$F$592,4,0),IFERROR(VLOOKUP(LEFT(AZ18,1),BASE!$C$346:$F$592,4,0),AZ18)))</f>
        <v/>
      </c>
      <c r="CD18" s="58" t="str">
        <f t="shared" si="5"/>
        <v>நெநெகுஒ</v>
      </c>
      <c r="CE18" s="58" t="str">
        <f>IFERROR(VLOOKUP((LEFT(U18,4)),BASE!$E$12:$F$23,2,0),IFERROR(VLOOKUP((LEFT(U18,3)),BASE!$E$12:$F$23,2,0),IFERROR(VLOOKUP((LEFT(U18,2)),BASE!$E$12:$F$23,2,0),IFERROR(VLOOKUP((LEFT(U18,1)),BASE!$E$12:$F$23,2,0),U18))))</f>
        <v>நேர்</v>
      </c>
      <c r="CF18" s="58" t="str">
        <f>IFERROR(VLOOKUP((LEFT(T18,4)),BASE!$E$12:$F$24,2,0),IFERROR(VLOOKUP((LEFT(T18,3)),BASE!$E$12:$F$24,2,0),IFERROR(VLOOKUP((LEFT(T18,2)),BASE!$E$12:$F$24,2,0),IFERROR(VLOOKUP((LEFT(T18,1)),BASE!$E$12:$F$24,2,0),T18))))</f>
        <v>நேர்</v>
      </c>
      <c r="CG18" s="58" t="str">
        <f>IFERROR(VLOOKUP((LEFT(S18,4)),BASE!$E$12:$F$23,2,0),IFERROR(VLOOKUP((LEFT(S18,3)),BASE!$E$12:$F$23,2,0),IFERROR(VLOOKUP((LEFT(S18,2)),BASE!$E$12:$F$23,2,0),IFERROR(VLOOKUP((LEFT(S18,1)),BASE!$E$12:$F$23,2,0),S18))))</f>
        <v>நேர்</v>
      </c>
      <c r="CH18" s="58" t="str">
        <f>IFERROR(VLOOKUP((LEFT(R18,4)),BASE!$E$12:$F$23,2,0),IFERROR(VLOOKUP((LEFT(R18,3)),BASE!$E$12:$F$23,2,0),IFERROR(VLOOKUP((LEFT(R18,2)),BASE!$E$12:$F$23,2,0),IFERROR(VLOOKUP((LEFT(R18,1)),BASE!$E$12:$F$23,2,0),R18))))</f>
        <v/>
      </c>
      <c r="CI18" s="58" t="str">
        <f>IFERROR(VLOOKUP((LEFT(Q18,4)),BASE!$E$12:$F$23,2,0),IFERROR(VLOOKUP((LEFT(Q18,3)),BASE!$E$12:$F$23,2,0),IFERROR(VLOOKUP((LEFT(Q18,2)),BASE!$E$12:$F$23,2,0),IFERROR(VLOOKUP((LEFT(Q18,1)),BASE!$E$12:$F$23,2,0),Q18))))</f>
        <v/>
      </c>
      <c r="CJ18" s="58" t="str">
        <f>IFERROR(VLOOKUP((LEFT(P18,4)),BASE!$E$12:$F$23,2,0),IFERROR(VLOOKUP((LEFT(P18,3)),BASE!$E$12:$F$23,2,0),IFERROR(VLOOKUP((LEFT(P18,2)),BASE!$E$12:$F$23,2,0),IFERROR(VLOOKUP((LEFT(P18,1)),BASE!$E$12:$F$23,2,0),P18))))</f>
        <v/>
      </c>
      <c r="CK18" s="58" t="str">
        <f>IFERROR(VLOOKUP((LEFT(O18,4)),BASE!$E$12:$F$23,2,0),IFERROR(VLOOKUP((LEFT(O18,3)),BASE!$E$12:$F$23,2,0),IFERROR(VLOOKUP((LEFT(O18,2)),BASE!$E$12:$F$23,2,0),IFERROR(VLOOKUP((LEFT(O18,1)),BASE!$E$12:$F$23,2,0),O18))))</f>
        <v/>
      </c>
      <c r="CL18" s="58" t="str">
        <f>IFERROR(VLOOKUP((LEFT(N18,4)),BASE!$E$12:$F$23,2,0),IFERROR(VLOOKUP((LEFT(N18,3)),BASE!$E$12:$F$23,2,0),IFERROR(VLOOKUP((LEFT(N18,2)),BASE!$E$12:$F$23,2,0),IFERROR(VLOOKUP((LEFT(N18,1)),BASE!$E$12:$F$23,2,0),N18))))</f>
        <v/>
      </c>
      <c r="CM18" s="58" t="str">
        <f>IFERROR(VLOOKUP((LEFT(M18,4)),BASE!$E$12:$F$23,2,0),IFERROR(VLOOKUP((LEFT(M18,3)),BASE!$E$12:$F$23,2,0),IFERROR(VLOOKUP((LEFT(M18,2)),BASE!$E$12:$F$23,2,0),IFERROR(VLOOKUP((LEFT(M18,1)),BASE!$E$12:$F$23,2,0),M18))))</f>
        <v/>
      </c>
      <c r="CN18" s="58" t="str">
        <f>IFERROR(VLOOKUP((LEFT(L18,4)),BASE!$E$12:$F$23,2,0),IFERROR(VLOOKUP((LEFT(L18,3)),BASE!$E$12:$F$23,2,0),IFERROR(VLOOKUP((LEFT(L18,2)),BASE!$E$12:$F$23,2,0),IFERROR(VLOOKUP((LEFT(L18,1)),BASE!$E$12:$F$23,2,0),L18))))</f>
        <v/>
      </c>
      <c r="CO18" s="58" t="str">
        <f t="shared" si="6"/>
        <v>நேர்நேர்நேர்</v>
      </c>
      <c r="CP18" s="58" t="str">
        <f>VLOOKUP(CO18,BASE!$E$25:$F$79,2,0)</f>
        <v>தேமாங்காய்</v>
      </c>
      <c r="CQ18" s="58" t="str">
        <f>VLOOKUP(CO18,BASE!$E$25:$G$79,3,0)&amp;CE19</f>
        <v>காய்நேர்</v>
      </c>
      <c r="CR18" s="58" t="str">
        <f>VLOOKUP(CQ18,BASE!$E$86:$G$93,2,0)</f>
        <v>காய் முன் நேர்</v>
      </c>
      <c r="CS18" s="58" t="str">
        <f>VLOOKUP(CQ18,BASE!$E$86:$G$93,3,0)</f>
        <v>வெண்சீர் வெண்டளை</v>
      </c>
      <c r="CT18" s="58" t="str">
        <f t="shared" si="7"/>
        <v>மூவசைக்கு மிகவில்லை</v>
      </c>
      <c r="CU18" s="58" t="str">
        <f t="shared" si="8"/>
        <v>சரி</v>
      </c>
      <c r="CV18" s="193"/>
    </row>
    <row r="19" spans="1:100" ht="19.5" customHeight="1" x14ac:dyDescent="0.35">
      <c r="A19" s="119"/>
      <c r="B19" s="12">
        <f>IFERROR(VLOOKUP((LEFT(L19,4)),BASE!$E$12:$F$23,1,0),IFERROR(VLOOKUP((LEFT(L19,3)),BASE!$E$12:$F$23,1,0),IFERROR(VLOOKUP((LEFT(L19,2)),BASE!$E$12:$F$23,1,0),IFERROR(VLOOKUP((LEFT(L19,1)),BASE!$E$12:$F$23,1,0),100))))</f>
        <v>100</v>
      </c>
      <c r="C19" s="12">
        <f>IFERROR(VLOOKUP((LEFT(M19,4)),BASE!$E$12:$F$23,1,0),IFERROR(VLOOKUP((LEFT(M19,3)),BASE!$E$12:$F$23,1,0),IFERROR(VLOOKUP((LEFT(M19,2)),BASE!$E$12:$F$23,1,0),IFERROR(VLOOKUP((LEFT(M19,1)),BASE!$E$12:$F$23,1,0),100))))</f>
        <v>100</v>
      </c>
      <c r="D19" s="12">
        <f>IFERROR(VLOOKUP((LEFT(N19,4)),BASE!$E$12:$F$23,1,0),IFERROR(VLOOKUP((LEFT(N19,3)),BASE!$E$12:$F$23,1,0),IFERROR(VLOOKUP((LEFT(N19,2)),BASE!$E$12:$F$23,1,0),IFERROR(VLOOKUP((LEFT(N19,1)),BASE!$E$12:$F$23,1,0),100))))</f>
        <v>100</v>
      </c>
      <c r="E19" s="12">
        <f>IFERROR(VLOOKUP((LEFT(O19,4)),BASE!$E$12:$F$23,1,0),IFERROR(VLOOKUP((LEFT(O19,3)),BASE!$E$12:$F$23,1,0),IFERROR(VLOOKUP((LEFT(O19,2)),BASE!$E$12:$F$23,1,0),IFERROR(VLOOKUP((LEFT(O19,1)),BASE!$E$12:$F$23,1,0),100))))</f>
        <v>100</v>
      </c>
      <c r="F19" s="12">
        <f>IFERROR(VLOOKUP((LEFT(P19,4)),BASE!$E$12:$F$23,1,0),IFERROR(VLOOKUP((LEFT(P19,3)),BASE!$E$12:$F$23,1,0),IFERROR(VLOOKUP((LEFT(P19,2)),BASE!$E$12:$F$23,1,0),IFERROR(VLOOKUP((LEFT(P19,1)),BASE!$E$12:$F$23,1,0),100))))</f>
        <v>100</v>
      </c>
      <c r="G19" s="12">
        <f>IFERROR(VLOOKUP((LEFT(Q19,4)),BASE!$E$12:$F$23,1,0),IFERROR(VLOOKUP((LEFT(Q19,3)),BASE!$E$12:$F$23,1,0),IFERROR(VLOOKUP((LEFT(Q19,2)),BASE!$E$12:$F$23,1,0),IFERROR(VLOOKUP((LEFT(Q19,1)),BASE!$E$12:$F$23,1,0),100))))</f>
        <v>100</v>
      </c>
      <c r="H19" s="12">
        <f>IFERROR(VLOOKUP((LEFT(R19,4)),BASE!$E$12:$F$23,1,0),IFERROR(VLOOKUP((LEFT(R19,3)),BASE!$E$12:$F$23,1,0),IFERROR(VLOOKUP((LEFT(R19,2)),BASE!$E$12:$F$23,1,0),IFERROR(VLOOKUP((LEFT(R19,1)),BASE!$E$12:$F$23,1,0),100))))</f>
        <v>100</v>
      </c>
      <c r="I19" s="12">
        <f>IFERROR(VLOOKUP((LEFT(S19,4)),BASE!$E$12:$F$23,1,0),IFERROR(VLOOKUP((LEFT(S19,3)),BASE!$E$12:$F$23,1,0),IFERROR(VLOOKUP((LEFT(S19,2)),BASE!$E$12:$F$23,1,0),IFERROR(VLOOKUP((LEFT(S19,1)),BASE!$E$12:$F$23,1,0),100))))</f>
        <v>100</v>
      </c>
      <c r="J19" s="12" t="str">
        <f>IFERROR(VLOOKUP((LEFT(T19,4)),BASE!$E$12:$F$24,1,0),IFERROR(VLOOKUP((LEFT(T19,3)),BASE!$E$12:$F$24,1,0),IFERROR(VLOOKUP((LEFT(T19,2)),BASE!$E$12:$F$24,1,0),IFERROR(VLOOKUP((LEFT(T19,1)),BASE!$E$12:$F$24,1,0),100))))</f>
        <v>no</v>
      </c>
      <c r="K19" s="12" t="str">
        <f>IFERROR(VLOOKUP((LEFT(U19,4)),BASE!$E$12:$F$23,1,0),IFERROR(VLOOKUP((LEFT(U19,3)),BASE!$E$12:$F$23,1,0),IFERROR(VLOOKUP((LEFT(U19,2)),BASE!$E$12:$F$23,1,0),IFERROR(VLOOKUP((LEFT(U19,1)),BASE!$E$12:$F$23,1,0),100))))</f>
        <v>ko</v>
      </c>
      <c r="L19" s="14" t="str">
        <f t="shared" si="9"/>
        <v/>
      </c>
      <c r="M19" s="14" t="str">
        <f t="shared" si="10"/>
        <v/>
      </c>
      <c r="N19" s="14" t="str">
        <f t="shared" si="11"/>
        <v/>
      </c>
      <c r="O19" s="14" t="str">
        <f t="shared" si="12"/>
        <v/>
      </c>
      <c r="P19" s="14" t="str">
        <f t="shared" si="13"/>
        <v/>
      </c>
      <c r="Q19" s="14" t="str">
        <f t="shared" si="14"/>
        <v/>
      </c>
      <c r="R19" s="14" t="str">
        <f t="shared" si="15"/>
        <v/>
      </c>
      <c r="S19" s="14" t="str">
        <f t="shared" si="16"/>
        <v/>
      </c>
      <c r="T19" s="14" t="str">
        <f t="shared" si="17"/>
        <v>no</v>
      </c>
      <c r="U19" s="14" t="str">
        <f t="shared" si="1"/>
        <v>kono</v>
      </c>
      <c r="V19" s="13">
        <f>IFERROR(VLOOKUP(LEFT(AZ19,2),BASE!$C$96:$E$342,3,0),IFERROR(VLOOKUP(LEFT(AZ19,1),BASE!$C$96:$E$342,3,0),100))</f>
        <v>100</v>
      </c>
      <c r="W19" s="13">
        <f>IFERROR(VLOOKUP(LEFT(BA19,2),BASE!$C$96:$E$342,3,0),IFERROR(VLOOKUP(LEFT(BA19,1),BASE!$C$96:$E$342,3,0),100))</f>
        <v>100</v>
      </c>
      <c r="X19" s="13">
        <f>IFERROR(VLOOKUP(LEFT(BB19,2),BASE!$C$96:$E$342,3,0),IFERROR(VLOOKUP(LEFT(BB19,1),BASE!$C$96:$E$342,3,0),100))</f>
        <v>100</v>
      </c>
      <c r="Y19" s="13">
        <f>IFERROR(VLOOKUP(LEFT(BC19,2),BASE!$C$96:$E$342,3,0),IFERROR(VLOOKUP(LEFT(BC19,1),BASE!$C$96:$E$342,3,0),100))</f>
        <v>100</v>
      </c>
      <c r="Z19" s="13">
        <f>IFERROR(VLOOKUP(LEFT(BD19,2),BASE!$C$96:$E$342,3,0),IFERROR(VLOOKUP(LEFT(BD19,1),BASE!$C$96:$E$342,3,0),100))</f>
        <v>100</v>
      </c>
      <c r="AA19" s="13">
        <f>IFERROR(VLOOKUP(LEFT(BE19,2),BASE!$C$96:$E$342,3,0),IFERROR(VLOOKUP(LEFT(BE19,1),BASE!$C$96:$E$342,3,0),100))</f>
        <v>100</v>
      </c>
      <c r="AB19" s="13">
        <f>IFERROR(VLOOKUP(LEFT(BF19,2),BASE!$C$96:$E$342,3,0),IFERROR(VLOOKUP(LEFT(BF19,1),BASE!$C$96:$E$342,3,0),100))</f>
        <v>2</v>
      </c>
      <c r="AC19" s="13">
        <f>IFERROR(VLOOKUP(LEFT(BG19,2),BASE!$C$96:$E$342,3,0),IFERROR(VLOOKUP(LEFT(BG19,1),BASE!$C$96:$E$342,3,0),100))</f>
        <v>2</v>
      </c>
      <c r="AD19" s="13">
        <f>IFERROR(VLOOKUP(LEFT(BH19,2),BASE!$C$96:$E$342,3,0),IFERROR(VLOOKUP(LEFT(BH19,1),BASE!$C$96:$E$342,3,0),100))</f>
        <v>2</v>
      </c>
      <c r="AE19" s="13">
        <f>IFERROR(VLOOKUP(LEFT(BI19,2),BASE!$C$96:$E$342,3,0),IFERROR(VLOOKUP(LEFT(BI19,1),BASE!$C$96:$E$342,3,0),100))</f>
        <v>1</v>
      </c>
      <c r="AF19" s="187" t="str">
        <f>IF(AND(BS19=BR19,AG19="o"),"A", (IFERROR(VLOOKUP(LEFT(AZ19,2),BASE!$C$346:$D$592,2,0),IFERROR(VLOOKUP(LEFT(AZ19,1),BASE!$C$346:$D$5922,2,0),AZ19))))</f>
        <v/>
      </c>
      <c r="AG19" s="187" t="str">
        <f>IF(AND(BR19=BQ19,AH19="o"),"A", (IFERROR(VLOOKUP(LEFT(BA19,2),BASE!$C$346:$D$592,2,0),IFERROR(VLOOKUP(LEFT(BA19,1),BASE!$C$346:$D$592,2,0),BA19))))</f>
        <v/>
      </c>
      <c r="AH19" s="187" t="str">
        <f>IF(AND(BQ19=BP19,AI19="o"),"A", (IFERROR(VLOOKUP(LEFT(BB19,2),BASE!$C$346:$D$592,2,0),IFERROR(VLOOKUP(LEFT(BB19,1),BASE!$C$346:$D$592,2,0),BB19))))</f>
        <v/>
      </c>
      <c r="AI19" s="187" t="str">
        <f>IF(AND(BP19=BO19,AJ19="o"),"A", (IFERROR(VLOOKUP(LEFT(BC19,2),BASE!$C$346:$D$592,2,0),IFERROR(VLOOKUP(LEFT(BC19,1),BASE!$C$346:$D$592,2,0),BC19))))</f>
        <v/>
      </c>
      <c r="AJ19" s="187" t="str">
        <f>IF(AND(BO19=BN19,AK19="o"),"A", (IFERROR(VLOOKUP(LEFT(BD19,2),BASE!$C$346:$D$592,2,0),IFERROR(VLOOKUP(LEFT(BD19,1),BASE!$C$346:$D$592,2,0),BD19))))</f>
        <v/>
      </c>
      <c r="AK19" s="187" t="str">
        <f>IF(AND(BN19=BM19,AL19="o"),"A", (IFERROR(VLOOKUP(LEFT(BE19,2),BASE!$C$346:$D$592,2,0),IFERROR(VLOOKUP(LEFT(BE19,1),BASE!$C$346:$D$592,2,0),BE19))))</f>
        <v/>
      </c>
      <c r="AL19" s="187" t="str">
        <f>IF(AND(BM19=BL19,AM19="o"),"A", (IFERROR(VLOOKUP(LEFT(BF19,2),BASE!$C$346:$D$592,2,0),IFERROR(VLOOKUP(LEFT(BF19,1),BASE!$C$346:$D$592,2,0),BF19))))</f>
        <v>o</v>
      </c>
      <c r="AM19" s="187" t="str">
        <f>IF(AND(BL19=BK19,AN19="o"),"A",(IFERROR(VLOOKUP(LEFT(BG19,2),BASE!$C$346:$D$592,2,0),IFERROR(VLOOKUP(LEFT(BG19,1),BASE!$C$346:$D$592,2,0),BG19))))</f>
        <v>n</v>
      </c>
      <c r="AN19" s="187" t="str">
        <f>(IFERROR(VLOOKUP(LEFT(BH19,2),BASE!$C$346:$D$592,2,0),IFERROR(VLOOKUP(LEFT(BH19,1),BASE!$C$346:$D$592,2,0),BH19)))</f>
        <v>o</v>
      </c>
      <c r="AO19" s="187" t="str">
        <f>(IFERROR(VLOOKUP(LEFT(BI19,2),BASE!$C$96:$D$342,2,0),IFERROR(VLOOKUP(LEFT(BI19,1),BASE!$C$96:$D$342,2,0),BI19)))</f>
        <v>k</v>
      </c>
      <c r="AP19" s="5">
        <f t="shared" si="18"/>
        <v>7</v>
      </c>
      <c r="AQ19" s="5">
        <f t="shared" si="19"/>
        <v>7</v>
      </c>
      <c r="AR19" s="5">
        <f t="shared" si="20"/>
        <v>7</v>
      </c>
      <c r="AS19" s="5">
        <f t="shared" si="21"/>
        <v>7</v>
      </c>
      <c r="AT19" s="5">
        <f t="shared" si="22"/>
        <v>7</v>
      </c>
      <c r="AU19" s="5">
        <f t="shared" si="23"/>
        <v>7</v>
      </c>
      <c r="AV19" s="5">
        <f t="shared" si="24"/>
        <v>7</v>
      </c>
      <c r="AW19" s="5">
        <f t="shared" si="25"/>
        <v>7</v>
      </c>
      <c r="AX19" s="5">
        <f t="shared" si="26"/>
        <v>7</v>
      </c>
      <c r="AY19" s="5">
        <f t="shared" si="3"/>
        <v>7</v>
      </c>
      <c r="AZ19" s="12" t="str">
        <f t="shared" si="27"/>
        <v/>
      </c>
      <c r="BA19" s="12" t="str">
        <f t="shared" si="28"/>
        <v/>
      </c>
      <c r="BB19" s="12" t="str">
        <f t="shared" si="29"/>
        <v/>
      </c>
      <c r="BC19" s="12" t="str">
        <f t="shared" si="30"/>
        <v/>
      </c>
      <c r="BD19" s="12" t="str">
        <f t="shared" si="31"/>
        <v/>
      </c>
      <c r="BE19" s="12" t="str">
        <f t="shared" si="32"/>
        <v/>
      </c>
      <c r="BF19" s="12" t="str">
        <f t="shared" si="33"/>
        <v>ர்</v>
      </c>
      <c r="BG19" s="12" t="str">
        <f t="shared" si="34"/>
        <v>லார்</v>
      </c>
      <c r="BH19" s="43" t="str">
        <f t="shared" si="35"/>
        <v>ல்லார்</v>
      </c>
      <c r="BI19" s="57" t="str">
        <f>CD8</f>
        <v>அல்லார்</v>
      </c>
      <c r="BJ19" s="58" t="str">
        <f>IFERROR(VLOOKUP(LEFT(BI19,2),BASE!$C$96:$F$342,1,0),IFERROR(VLOOKUP(LEFT(BI19,1),BASE!$C$96:$F$342,1,0),BI19))</f>
        <v>அ</v>
      </c>
      <c r="BK19" s="58" t="str">
        <f>IFERROR(VLOOKUP(LEFT(BH19,2),BASE!$C$96:$D$342,1,0),IFERROR(VLOOKUP(LEFT(BH19,1),BASE!$C$96:$D$342,1,0),BH19))</f>
        <v>ல்</v>
      </c>
      <c r="BL19" s="58" t="str">
        <f>IFERROR(VLOOKUP(LEFT(BG19,2),BASE!$C$96:$D$342,1,0),IFERROR(VLOOKUP(LEFT(BG19,1),BASE!$C$96:$D$342,1,0),BG19))</f>
        <v>லா</v>
      </c>
      <c r="BM19" s="58" t="str">
        <f>IFERROR(VLOOKUP(LEFT(BF19,2),BASE!$C$96:$D$342,1,0),IFERROR(VLOOKUP(LEFT(BF19,1),BASE!$C$96:$D$342,1,0),BF19))</f>
        <v>ர்</v>
      </c>
      <c r="BN19" s="58" t="str">
        <f>IFERROR(VLOOKUP(LEFT(BE19,2),BASE!$C$96:$D$342,1,0),IFERROR(VLOOKUP(LEFT(BE19,1),BASE!$C$96:$D$342,1,0),BE19))</f>
        <v/>
      </c>
      <c r="BO19" s="58" t="str">
        <f>IFERROR(VLOOKUP(LEFT(BD19,2),BASE!$C$96:$D$342,1,0),IFERROR(VLOOKUP(LEFT(BD19,1),BASE!$C$96:$D$342,1,0),BD19))</f>
        <v/>
      </c>
      <c r="BP19" s="58" t="str">
        <f>IFERROR(VLOOKUP(LEFT(BC19,2),BASE!$C$96:$D$342,1,0),IFERROR(VLOOKUP(LEFT(BC19,1),BASE!$C$96:$D$342,1,0),BC19))</f>
        <v/>
      </c>
      <c r="BQ19" s="58" t="str">
        <f>IFERROR(VLOOKUP(LEFT(BB19,2),BASE!$C$96:$D$342,1,0),IFERROR(VLOOKUP(LEFT(BB19,1),BASE!$C$96:$D$342,1,0),BB19))</f>
        <v/>
      </c>
      <c r="BR19" s="58" t="str">
        <f>IFERROR(VLOOKUP(LEFT(BA19,2),BASE!$C$96:$D$342,1,0),IFERROR(VLOOKUP(LEFT(BA19,1),BASE!$C$96:$D$342,1,0),BA19))</f>
        <v/>
      </c>
      <c r="BS19" s="58" t="str">
        <f>IFERROR(VLOOKUP(LEFT(AZ19,2),BASE!$C$96:$D$342,1,0),IFERROR(VLOOKUP(LEFT(AZ19,1),BASE!$C$96:$D$342,1,0),AZ19))</f>
        <v/>
      </c>
      <c r="BT19" s="186" t="str">
        <f>(IFERROR(VLOOKUP(LEFT(BI19,2),BASE!$C$96:$F$342,4,0),IFERROR(VLOOKUP(LEFT(BI19,1),BASE!$C$96:$F$342,4,0),BI19)))</f>
        <v>கு</v>
      </c>
      <c r="BU19" s="186" t="str">
        <f>(IFERROR(VLOOKUP(LEFT(BH19,2),BASE!$C$346:$F$592,4,0),IFERROR(VLOOKUP(LEFT(BH19,1),BASE!$C$346:$F$592,4,0),BH19)))</f>
        <v>ஒ</v>
      </c>
      <c r="BV19" s="186" t="str">
        <f>(IFERROR(VLOOKUP(LEFT(BG19,2),BASE!$C$346:$F$592,4,0),IFERROR(VLOOKUP(LEFT(BG19,1),BASE!$C$346:$F$592,4,0),BG19)))</f>
        <v>நெ</v>
      </c>
      <c r="BW19" s="186" t="str">
        <f>(IFERROR(VLOOKUP(LEFT(BF19,2),BASE!$C$346:$F$592,4,0),IFERROR(VLOOKUP(LEFT(BF19,1),BASE!$C$346:$F$592,4,0),BF19)))</f>
        <v>ஒ</v>
      </c>
      <c r="BX19" s="186" t="str">
        <f>(IFERROR(VLOOKUP(LEFT(BE19,2),BASE!$C$346:$F$592,4,0),IFERROR(VLOOKUP(LEFT(BE19,1),BASE!$C$346:$F$592,4,0),BE19)))</f>
        <v/>
      </c>
      <c r="BY19" s="186" t="str">
        <f>(IFERROR(VLOOKUP(LEFT(BD19,2),BASE!$C$346:$F$592,4,0),IFERROR(VLOOKUP(LEFT(BD19,1),BASE!$C$346:$F$592,4,0),BD19)))</f>
        <v/>
      </c>
      <c r="BZ19" s="186" t="str">
        <f>(IFERROR(VLOOKUP(LEFT(BC19,2),BASE!$C$346:$F$592,4,0),IFERROR(VLOOKUP(LEFT(BC19,1),BASE!$C$346:$F$592,4,0),BC19)))</f>
        <v/>
      </c>
      <c r="CA19" s="186" t="str">
        <f>(IFERROR(VLOOKUP(LEFT(BB19,2),BASE!$C$346:$F$592,4,0),IFERROR(VLOOKUP(LEFT(BB19,1),BASE!$C$346:$F$592,4,0),BB19)))</f>
        <v/>
      </c>
      <c r="CB19" s="186" t="str">
        <f>(IFERROR(VLOOKUP(LEFT(BA19,2),BASE!$C$346:$F$592,4,0),IFERROR(VLOOKUP(LEFT(BA19,1),BASE!$C$346:$F$592,4,0),BA19)))</f>
        <v/>
      </c>
      <c r="CC19" s="186" t="str">
        <f>(IFERROR(VLOOKUP(LEFT(AZ19,2),BASE!$C$346:$F$592,4,0),IFERROR(VLOOKUP(LEFT(AZ19,1),BASE!$C$346:$F$592,4,0),AZ19)))</f>
        <v/>
      </c>
      <c r="CD19" s="58" t="str">
        <f t="shared" si="5"/>
        <v>குஒநெஒ</v>
      </c>
      <c r="CE19" s="58" t="str">
        <f>IFERROR(VLOOKUP((LEFT(U19,4)),BASE!$E$12:$F$23,2,0),IFERROR(VLOOKUP((LEFT(U19,3)),BASE!$E$12:$F$23,2,0),IFERROR(VLOOKUP((LEFT(U19,2)),BASE!$E$12:$F$23,2,0),IFERROR(VLOOKUP((LEFT(U19,1)),BASE!$E$12:$F$23,2,0),U19))))</f>
        <v>நேர்</v>
      </c>
      <c r="CF19" s="58" t="str">
        <f>IFERROR(VLOOKUP((LEFT(T19,4)),BASE!$E$12:$F$24,2,0),IFERROR(VLOOKUP((LEFT(T19,3)),BASE!$E$12:$F$24,2,0),IFERROR(VLOOKUP((LEFT(T19,2)),BASE!$E$12:$F$24,2,0),IFERROR(VLOOKUP((LEFT(T19,1)),BASE!$E$12:$F$24,2,0),T19))))</f>
        <v>நேர்</v>
      </c>
      <c r="CG19" s="58" t="str">
        <f>IFERROR(VLOOKUP((LEFT(S19,4)),BASE!$E$12:$F$23,2,0),IFERROR(VLOOKUP((LEFT(S19,3)),BASE!$E$12:$F$23,2,0),IFERROR(VLOOKUP((LEFT(S19,2)),BASE!$E$12:$F$23,2,0),IFERROR(VLOOKUP((LEFT(S19,1)),BASE!$E$12:$F$23,2,0),S19))))</f>
        <v/>
      </c>
      <c r="CH19" s="58" t="str">
        <f>IFERROR(VLOOKUP((LEFT(R19,4)),BASE!$E$12:$F$23,2,0),IFERROR(VLOOKUP((LEFT(R19,3)),BASE!$E$12:$F$23,2,0),IFERROR(VLOOKUP((LEFT(R19,2)),BASE!$E$12:$F$23,2,0),IFERROR(VLOOKUP((LEFT(R19,1)),BASE!$E$12:$F$23,2,0),R19))))</f>
        <v/>
      </c>
      <c r="CI19" s="58" t="str">
        <f>IFERROR(VLOOKUP((LEFT(Q19,4)),BASE!$E$12:$F$23,2,0),IFERROR(VLOOKUP((LEFT(Q19,3)),BASE!$E$12:$F$23,2,0),IFERROR(VLOOKUP((LEFT(Q19,2)),BASE!$E$12:$F$23,2,0),IFERROR(VLOOKUP((LEFT(Q19,1)),BASE!$E$12:$F$23,2,0),Q19))))</f>
        <v/>
      </c>
      <c r="CJ19" s="58" t="str">
        <f>IFERROR(VLOOKUP((LEFT(P19,4)),BASE!$E$12:$F$23,2,0),IFERROR(VLOOKUP((LEFT(P19,3)),BASE!$E$12:$F$23,2,0),IFERROR(VLOOKUP((LEFT(P19,2)),BASE!$E$12:$F$23,2,0),IFERROR(VLOOKUP((LEFT(P19,1)),BASE!$E$12:$F$23,2,0),P19))))</f>
        <v/>
      </c>
      <c r="CK19" s="58" t="str">
        <f>IFERROR(VLOOKUP((LEFT(O19,4)),BASE!$E$12:$F$23,2,0),IFERROR(VLOOKUP((LEFT(O19,3)),BASE!$E$12:$F$23,2,0),IFERROR(VLOOKUP((LEFT(O19,2)),BASE!$E$12:$F$23,2,0),IFERROR(VLOOKUP((LEFT(O19,1)),BASE!$E$12:$F$23,2,0),O19))))</f>
        <v/>
      </c>
      <c r="CL19" s="58" t="str">
        <f>IFERROR(VLOOKUP((LEFT(N19,4)),BASE!$E$12:$F$23,2,0),IFERROR(VLOOKUP((LEFT(N19,3)),BASE!$E$12:$F$23,2,0),IFERROR(VLOOKUP((LEFT(N19,2)),BASE!$E$12:$F$23,2,0),IFERROR(VLOOKUP((LEFT(N19,1)),BASE!$E$12:$F$23,2,0),N19))))</f>
        <v/>
      </c>
      <c r="CM19" s="58" t="str">
        <f>IFERROR(VLOOKUP((LEFT(M19,4)),BASE!$E$12:$F$23,2,0),IFERROR(VLOOKUP((LEFT(M19,3)),BASE!$E$12:$F$23,2,0),IFERROR(VLOOKUP((LEFT(M19,2)),BASE!$E$12:$F$23,2,0),IFERROR(VLOOKUP((LEFT(M19,1)),BASE!$E$12:$F$23,2,0),M19))))</f>
        <v/>
      </c>
      <c r="CN19" s="58" t="str">
        <f>IFERROR(VLOOKUP((LEFT(L19,4)),BASE!$E$12:$F$23,2,0),IFERROR(VLOOKUP((LEFT(L19,3)),BASE!$E$12:$F$23,2,0),IFERROR(VLOOKUP((LEFT(L19,2)),BASE!$E$12:$F$23,2,0),IFERROR(VLOOKUP((LEFT(L19,1)),BASE!$E$12:$F$23,2,0),L19))))</f>
        <v/>
      </c>
      <c r="CO19" s="58" t="str">
        <f t="shared" si="6"/>
        <v>நேர்நேர்</v>
      </c>
      <c r="CP19" s="58" t="str">
        <f>VLOOKUP(CO19,BASE!$E$25:$F$79,2,0)</f>
        <v>தேமா</v>
      </c>
      <c r="CQ19" s="58" t="str">
        <f>VLOOKUP(CO19,BASE!$E$25:$G$79,3,0)&amp;CE20</f>
        <v>மாநிரை</v>
      </c>
      <c r="CR19" s="58" t="str">
        <f>VLOOKUP(CQ19,BASE!$E$86:$G$93,2,0)</f>
        <v>மாமுன் நிரை</v>
      </c>
      <c r="CS19" s="58" t="str">
        <f>VLOOKUP(CQ19,BASE!$E$86:$G$93,3,0)</f>
        <v>இயற்சீர் வெண்டளை</v>
      </c>
      <c r="CT19" s="58" t="str">
        <f t="shared" si="7"/>
        <v>மூவசைக்கு மிகவில்லை</v>
      </c>
      <c r="CU19" s="58" t="str">
        <f t="shared" si="8"/>
        <v>சரி</v>
      </c>
      <c r="CV19" s="193"/>
    </row>
    <row r="20" spans="1:100" ht="19.5" customHeight="1" x14ac:dyDescent="0.35">
      <c r="A20" s="119"/>
      <c r="B20" s="12">
        <f>IFERROR(VLOOKUP((LEFT(L20,4)),BASE!$E$12:$F$23,1,0),IFERROR(VLOOKUP((LEFT(L20,3)),BASE!$E$12:$F$23,1,0),IFERROR(VLOOKUP((LEFT(L20,2)),BASE!$E$12:$F$23,1,0),IFERROR(VLOOKUP((LEFT(L20,1)),BASE!$E$12:$F$23,1,0),100))))</f>
        <v>100</v>
      </c>
      <c r="C20" s="12">
        <f>IFERROR(VLOOKUP((LEFT(M20,4)),BASE!$E$12:$F$23,1,0),IFERROR(VLOOKUP((LEFT(M20,3)),BASE!$E$12:$F$23,1,0),IFERROR(VLOOKUP((LEFT(M20,2)),BASE!$E$12:$F$23,1,0),IFERROR(VLOOKUP((LEFT(M20,1)),BASE!$E$12:$F$23,1,0),100))))</f>
        <v>100</v>
      </c>
      <c r="D20" s="12">
        <f>IFERROR(VLOOKUP((LEFT(N20,4)),BASE!$E$12:$F$23,1,0),IFERROR(VLOOKUP((LEFT(N20,3)),BASE!$E$12:$F$23,1,0),IFERROR(VLOOKUP((LEFT(N20,2)),BASE!$E$12:$F$23,1,0),IFERROR(VLOOKUP((LEFT(N20,1)),BASE!$E$12:$F$23,1,0),100))))</f>
        <v>100</v>
      </c>
      <c r="E20" s="12">
        <f>IFERROR(VLOOKUP((LEFT(O20,4)),BASE!$E$12:$F$23,1,0),IFERROR(VLOOKUP((LEFT(O20,3)),BASE!$E$12:$F$23,1,0),IFERROR(VLOOKUP((LEFT(O20,2)),BASE!$E$12:$F$23,1,0),IFERROR(VLOOKUP((LEFT(O20,1)),BASE!$E$12:$F$23,1,0),100))))</f>
        <v>100</v>
      </c>
      <c r="F20" s="12">
        <f>IFERROR(VLOOKUP((LEFT(P20,4)),BASE!$E$12:$F$23,1,0),IFERROR(VLOOKUP((LEFT(P20,3)),BASE!$E$12:$F$23,1,0),IFERROR(VLOOKUP((LEFT(P20,2)),BASE!$E$12:$F$23,1,0),IFERROR(VLOOKUP((LEFT(P20,1)),BASE!$E$12:$F$23,1,0),100))))</f>
        <v>100</v>
      </c>
      <c r="G20" s="12">
        <f>IFERROR(VLOOKUP((LEFT(Q20,4)),BASE!$E$12:$F$23,1,0),IFERROR(VLOOKUP((LEFT(Q20,3)),BASE!$E$12:$F$23,1,0),IFERROR(VLOOKUP((LEFT(Q20,2)),BASE!$E$12:$F$23,1,0),IFERROR(VLOOKUP((LEFT(Q20,1)),BASE!$E$12:$F$23,1,0),100))))</f>
        <v>100</v>
      </c>
      <c r="H20" s="12">
        <f>IFERROR(VLOOKUP((LEFT(R20,4)),BASE!$E$12:$F$23,1,0),IFERROR(VLOOKUP((LEFT(R20,3)),BASE!$E$12:$F$23,1,0),IFERROR(VLOOKUP((LEFT(R20,2)),BASE!$E$12:$F$23,1,0),IFERROR(VLOOKUP((LEFT(R20,1)),BASE!$E$12:$F$23,1,0),100))))</f>
        <v>100</v>
      </c>
      <c r="I20" s="12">
        <f>IFERROR(VLOOKUP((LEFT(S20,4)),BASE!$E$12:$F$23,1,0),IFERROR(VLOOKUP((LEFT(S20,3)),BASE!$E$12:$F$23,1,0),IFERROR(VLOOKUP((LEFT(S20,2)),BASE!$E$12:$F$23,1,0),IFERROR(VLOOKUP((LEFT(S20,1)),BASE!$E$12:$F$23,1,0),100))))</f>
        <v>100</v>
      </c>
      <c r="J20" s="12" t="str">
        <f>IFERROR(VLOOKUP((LEFT(T20,4)),BASE!$E$12:$F$24,1,0),IFERROR(VLOOKUP((LEFT(T20,3)),BASE!$E$12:$F$24,1,0),IFERROR(VLOOKUP((LEFT(T20,2)),BASE!$E$12:$F$24,1,0),IFERROR(VLOOKUP((LEFT(T20,1)),BASE!$E$12:$F$24,1,0),100))))</f>
        <v>no</v>
      </c>
      <c r="K20" s="12" t="str">
        <f>IFERROR(VLOOKUP((LEFT(U20,4)),BASE!$E$12:$F$23,1,0),IFERROR(VLOOKUP((LEFT(U20,3)),BASE!$E$12:$F$23,1,0),IFERROR(VLOOKUP((LEFT(U20,2)),BASE!$E$12:$F$23,1,0),IFERROR(VLOOKUP((LEFT(U20,1)),BASE!$E$12:$F$23,1,0),100))))</f>
        <v>kk</v>
      </c>
      <c r="L20" s="14" t="str">
        <f t="shared" si="9"/>
        <v/>
      </c>
      <c r="M20" s="14" t="str">
        <f t="shared" si="10"/>
        <v/>
      </c>
      <c r="N20" s="14" t="str">
        <f t="shared" si="11"/>
        <v/>
      </c>
      <c r="O20" s="14" t="str">
        <f t="shared" si="12"/>
        <v/>
      </c>
      <c r="P20" s="14" t="str">
        <f t="shared" si="13"/>
        <v/>
      </c>
      <c r="Q20" s="14" t="str">
        <f t="shared" si="14"/>
        <v/>
      </c>
      <c r="R20" s="14" t="str">
        <f t="shared" si="15"/>
        <v/>
      </c>
      <c r="S20" s="14" t="str">
        <f t="shared" si="16"/>
        <v/>
      </c>
      <c r="T20" s="14" t="str">
        <f t="shared" si="17"/>
        <v>no</v>
      </c>
      <c r="U20" s="14" t="str">
        <f t="shared" si="1"/>
        <v>kkno</v>
      </c>
      <c r="V20" s="13">
        <f>IFERROR(VLOOKUP(LEFT(AZ20,2),BASE!$C$96:$E$342,3,0),IFERROR(VLOOKUP(LEFT(AZ20,1),BASE!$C$96:$E$342,3,0),100))</f>
        <v>100</v>
      </c>
      <c r="W20" s="13">
        <f>IFERROR(VLOOKUP(LEFT(BA20,2),BASE!$C$96:$E$342,3,0),IFERROR(VLOOKUP(LEFT(BA20,1),BASE!$C$96:$E$342,3,0),100))</f>
        <v>100</v>
      </c>
      <c r="X20" s="13">
        <f>IFERROR(VLOOKUP(LEFT(BB20,2),BASE!$C$96:$E$342,3,0),IFERROR(VLOOKUP(LEFT(BB20,1),BASE!$C$96:$E$342,3,0),100))</f>
        <v>100</v>
      </c>
      <c r="Y20" s="13">
        <f>IFERROR(VLOOKUP(LEFT(BC20,2),BASE!$C$96:$E$342,3,0),IFERROR(VLOOKUP(LEFT(BC20,1),BASE!$C$96:$E$342,3,0),100))</f>
        <v>100</v>
      </c>
      <c r="Z20" s="13">
        <f>IFERROR(VLOOKUP(LEFT(BD20,2),BASE!$C$96:$E$342,3,0),IFERROR(VLOOKUP(LEFT(BD20,1),BASE!$C$96:$E$342,3,0),100))</f>
        <v>100</v>
      </c>
      <c r="AA20" s="13">
        <f>IFERROR(VLOOKUP(LEFT(BE20,2),BASE!$C$96:$E$342,3,0),IFERROR(VLOOKUP(LEFT(BE20,1),BASE!$C$96:$E$342,3,0),100))</f>
        <v>100</v>
      </c>
      <c r="AB20" s="13">
        <f>IFERROR(VLOOKUP(LEFT(BF20,2),BASE!$C$96:$E$342,3,0),IFERROR(VLOOKUP(LEFT(BF20,1),BASE!$C$96:$E$342,3,0),100))</f>
        <v>2</v>
      </c>
      <c r="AC20" s="13">
        <f>IFERROR(VLOOKUP(LEFT(BG20,2),BASE!$C$96:$E$342,3,0),IFERROR(VLOOKUP(LEFT(BG20,1),BASE!$C$96:$E$342,3,0),100))</f>
        <v>2</v>
      </c>
      <c r="AD20" s="13">
        <f>IFERROR(VLOOKUP(LEFT(BH20,2),BASE!$C$96:$E$342,3,0),IFERROR(VLOOKUP(LEFT(BH20,1),BASE!$C$96:$E$342,3,0),100))</f>
        <v>1</v>
      </c>
      <c r="AE20" s="13">
        <f>IFERROR(VLOOKUP(LEFT(BI20,2),BASE!$C$96:$E$342,3,0),IFERROR(VLOOKUP(LEFT(BI20,1),BASE!$C$96:$E$342,3,0),100))</f>
        <v>1</v>
      </c>
      <c r="AF20" s="187" t="str">
        <f>IF(AND(BS20=BR20,AG20="o"),"A", (IFERROR(VLOOKUP(LEFT(AZ20,2),BASE!$C$346:$D$592,2,0),IFERROR(VLOOKUP(LEFT(AZ20,1),BASE!$C$346:$D$5922,2,0),AZ20))))</f>
        <v/>
      </c>
      <c r="AG20" s="187" t="str">
        <f>IF(AND(BR20=BQ20,AH20="o"),"A", (IFERROR(VLOOKUP(LEFT(BA20,2),BASE!$C$346:$D$592,2,0),IFERROR(VLOOKUP(LEFT(BA20,1),BASE!$C$346:$D$592,2,0),BA20))))</f>
        <v/>
      </c>
      <c r="AH20" s="187" t="str">
        <f>IF(AND(BQ20=BP20,AI20="o"),"A", (IFERROR(VLOOKUP(LEFT(BB20,2),BASE!$C$346:$D$592,2,0),IFERROR(VLOOKUP(LEFT(BB20,1),BASE!$C$346:$D$592,2,0),BB20))))</f>
        <v/>
      </c>
      <c r="AI20" s="187" t="str">
        <f>IF(AND(BP20=BO20,AJ20="o"),"A", (IFERROR(VLOOKUP(LEFT(BC20,2),BASE!$C$346:$D$592,2,0),IFERROR(VLOOKUP(LEFT(BC20,1),BASE!$C$346:$D$592,2,0),BC20))))</f>
        <v/>
      </c>
      <c r="AJ20" s="187" t="str">
        <f>IF(AND(BO20=BN20,AK20="o"),"A", (IFERROR(VLOOKUP(LEFT(BD20,2),BASE!$C$346:$D$592,2,0),IFERROR(VLOOKUP(LEFT(BD20,1),BASE!$C$346:$D$592,2,0),BD20))))</f>
        <v/>
      </c>
      <c r="AK20" s="187" t="str">
        <f>IF(AND(BN20=BM20,AL20="o"),"A", (IFERROR(VLOOKUP(LEFT(BE20,2),BASE!$C$346:$D$592,2,0),IFERROR(VLOOKUP(LEFT(BE20,1),BASE!$C$346:$D$592,2,0),BE20))))</f>
        <v/>
      </c>
      <c r="AL20" s="187" t="str">
        <f>IF(AND(BM20=BL20,AM20="o"),"A", (IFERROR(VLOOKUP(LEFT(BF20,2),BASE!$C$346:$D$592,2,0),IFERROR(VLOOKUP(LEFT(BF20,1),BASE!$C$346:$D$592,2,0),BF20))))</f>
        <v>o</v>
      </c>
      <c r="AM20" s="187" t="str">
        <f>IF(AND(BL20=BK20,AN20="o"),"A",(IFERROR(VLOOKUP(LEFT(BG20,2),BASE!$C$346:$D$592,2,0),IFERROR(VLOOKUP(LEFT(BG20,1),BASE!$C$346:$D$592,2,0),BG20))))</f>
        <v>n</v>
      </c>
      <c r="AN20" s="187" t="str">
        <f>(IFERROR(VLOOKUP(LEFT(BH20,2),BASE!$C$346:$D$592,2,0),IFERROR(VLOOKUP(LEFT(BH20,1),BASE!$C$346:$D$592,2,0),BH20)))</f>
        <v>k</v>
      </c>
      <c r="AO20" s="187" t="str">
        <f>(IFERROR(VLOOKUP(LEFT(BI20,2),BASE!$C$96:$D$342,2,0),IFERROR(VLOOKUP(LEFT(BI20,1),BASE!$C$96:$D$342,2,0),BI20)))</f>
        <v>k</v>
      </c>
      <c r="AP20" s="5">
        <f t="shared" si="18"/>
        <v>6</v>
      </c>
      <c r="AQ20" s="5">
        <f t="shared" si="19"/>
        <v>6</v>
      </c>
      <c r="AR20" s="5">
        <f t="shared" si="20"/>
        <v>6</v>
      </c>
      <c r="AS20" s="5">
        <f t="shared" si="21"/>
        <v>6</v>
      </c>
      <c r="AT20" s="5">
        <f t="shared" si="22"/>
        <v>6</v>
      </c>
      <c r="AU20" s="5">
        <f t="shared" si="23"/>
        <v>6</v>
      </c>
      <c r="AV20" s="5">
        <f t="shared" si="24"/>
        <v>6</v>
      </c>
      <c r="AW20" s="5">
        <f t="shared" si="25"/>
        <v>6</v>
      </c>
      <c r="AX20" s="5">
        <f t="shared" si="26"/>
        <v>6</v>
      </c>
      <c r="AY20" s="5">
        <f t="shared" si="3"/>
        <v>6</v>
      </c>
      <c r="AZ20" s="12" t="str">
        <f t="shared" si="27"/>
        <v/>
      </c>
      <c r="BA20" s="12" t="str">
        <f t="shared" si="28"/>
        <v/>
      </c>
      <c r="BB20" s="12" t="str">
        <f t="shared" si="29"/>
        <v/>
      </c>
      <c r="BC20" s="12" t="str">
        <f t="shared" si="30"/>
        <v/>
      </c>
      <c r="BD20" s="12" t="str">
        <f t="shared" si="31"/>
        <v/>
      </c>
      <c r="BE20" s="12" t="str">
        <f t="shared" si="32"/>
        <v/>
      </c>
      <c r="BF20" s="12" t="str">
        <f t="shared" si="33"/>
        <v>ல்</v>
      </c>
      <c r="BG20" s="12" t="str">
        <f t="shared" si="34"/>
        <v>வால்</v>
      </c>
      <c r="BH20" s="43" t="str">
        <f t="shared" si="35"/>
        <v>றவால்</v>
      </c>
      <c r="BI20" s="57" t="str">
        <f>CE8</f>
        <v>உறவால்</v>
      </c>
      <c r="BJ20" s="58" t="str">
        <f>IFERROR(VLOOKUP(LEFT(BI20,2),BASE!$C$96:$F$342,1,0),IFERROR(VLOOKUP(LEFT(BI20,1),BASE!$C$96:$F$342,1,0),BI20))</f>
        <v>உ</v>
      </c>
      <c r="BK20" s="58" t="str">
        <f>IFERROR(VLOOKUP(LEFT(BH20,2),BASE!$C$96:$D$342,1,0),IFERROR(VLOOKUP(LEFT(BH20,1),BASE!$C$96:$D$342,1,0),BH20))</f>
        <v>ற</v>
      </c>
      <c r="BL20" s="58" t="str">
        <f>IFERROR(VLOOKUP(LEFT(BG20,2),BASE!$C$96:$D$342,1,0),IFERROR(VLOOKUP(LEFT(BG20,1),BASE!$C$96:$D$342,1,0),BG20))</f>
        <v>வா</v>
      </c>
      <c r="BM20" s="58" t="str">
        <f>IFERROR(VLOOKUP(LEFT(BF20,2),BASE!$C$96:$D$342,1,0),IFERROR(VLOOKUP(LEFT(BF20,1),BASE!$C$96:$D$342,1,0),BF20))</f>
        <v>ல்</v>
      </c>
      <c r="BN20" s="58" t="str">
        <f>IFERROR(VLOOKUP(LEFT(BE20,2),BASE!$C$96:$D$342,1,0),IFERROR(VLOOKUP(LEFT(BE20,1),BASE!$C$96:$D$342,1,0),BE20))</f>
        <v/>
      </c>
      <c r="BO20" s="58" t="str">
        <f>IFERROR(VLOOKUP(LEFT(BD20,2),BASE!$C$96:$D$342,1,0),IFERROR(VLOOKUP(LEFT(BD20,1),BASE!$C$96:$D$342,1,0),BD20))</f>
        <v/>
      </c>
      <c r="BP20" s="58" t="str">
        <f>IFERROR(VLOOKUP(LEFT(BC20,2),BASE!$C$96:$D$342,1,0),IFERROR(VLOOKUP(LEFT(BC20,1),BASE!$C$96:$D$342,1,0),BC20))</f>
        <v/>
      </c>
      <c r="BQ20" s="58" t="str">
        <f>IFERROR(VLOOKUP(LEFT(BB20,2),BASE!$C$96:$D$342,1,0),IFERROR(VLOOKUP(LEFT(BB20,1),BASE!$C$96:$D$342,1,0),BB20))</f>
        <v/>
      </c>
      <c r="BR20" s="58" t="str">
        <f>IFERROR(VLOOKUP(LEFT(BA20,2),BASE!$C$96:$D$342,1,0),IFERROR(VLOOKUP(LEFT(BA20,1),BASE!$C$96:$D$342,1,0),BA20))</f>
        <v/>
      </c>
      <c r="BS20" s="58" t="str">
        <f>IFERROR(VLOOKUP(LEFT(AZ20,2),BASE!$C$96:$D$342,1,0),IFERROR(VLOOKUP(LEFT(AZ20,1),BASE!$C$96:$D$342,1,0),AZ20))</f>
        <v/>
      </c>
      <c r="BT20" s="186" t="str">
        <f>(IFERROR(VLOOKUP(LEFT(BI20,2),BASE!$C$96:$F$342,4,0),IFERROR(VLOOKUP(LEFT(BI20,1),BASE!$C$96:$F$342,4,0),BI20)))</f>
        <v>கு</v>
      </c>
      <c r="BU20" s="186" t="str">
        <f>(IFERROR(VLOOKUP(LEFT(BH20,2),BASE!$C$346:$F$592,4,0),IFERROR(VLOOKUP(LEFT(BH20,1),BASE!$C$346:$F$592,4,0),BH20)))</f>
        <v>கு</v>
      </c>
      <c r="BV20" s="186" t="str">
        <f>(IFERROR(VLOOKUP(LEFT(BG20,2),BASE!$C$346:$F$592,4,0),IFERROR(VLOOKUP(LEFT(BG20,1),BASE!$C$346:$F$592,4,0),BG20)))</f>
        <v>நெ</v>
      </c>
      <c r="BW20" s="186" t="str">
        <f>(IFERROR(VLOOKUP(LEFT(BF20,2),BASE!$C$346:$F$592,4,0),IFERROR(VLOOKUP(LEFT(BF20,1),BASE!$C$346:$F$592,4,0),BF20)))</f>
        <v>ஒ</v>
      </c>
      <c r="BX20" s="186" t="str">
        <f>(IFERROR(VLOOKUP(LEFT(BE20,2),BASE!$C$346:$F$592,4,0),IFERROR(VLOOKUP(LEFT(BE20,1),BASE!$C$346:$F$592,4,0),BE20)))</f>
        <v/>
      </c>
      <c r="BY20" s="186" t="str">
        <f>(IFERROR(VLOOKUP(LEFT(BD20,2),BASE!$C$346:$F$592,4,0),IFERROR(VLOOKUP(LEFT(BD20,1),BASE!$C$346:$F$592,4,0),BD20)))</f>
        <v/>
      </c>
      <c r="BZ20" s="186" t="str">
        <f>(IFERROR(VLOOKUP(LEFT(BC20,2),BASE!$C$346:$F$592,4,0),IFERROR(VLOOKUP(LEFT(BC20,1),BASE!$C$346:$F$592,4,0),BC20)))</f>
        <v/>
      </c>
      <c r="CA20" s="186" t="str">
        <f>(IFERROR(VLOOKUP(LEFT(BB20,2),BASE!$C$346:$F$592,4,0),IFERROR(VLOOKUP(LEFT(BB20,1),BASE!$C$346:$F$592,4,0),BB20)))</f>
        <v/>
      </c>
      <c r="CB20" s="186" t="str">
        <f>(IFERROR(VLOOKUP(LEFT(BA20,2),BASE!$C$346:$F$592,4,0),IFERROR(VLOOKUP(LEFT(BA20,1),BASE!$C$346:$F$592,4,0),BA20)))</f>
        <v/>
      </c>
      <c r="CC20" s="186" t="str">
        <f>(IFERROR(VLOOKUP(LEFT(AZ20,2),BASE!$C$346:$F$592,4,0),IFERROR(VLOOKUP(LEFT(AZ20,1),BASE!$C$346:$F$592,4,0),AZ20)))</f>
        <v/>
      </c>
      <c r="CD20" s="58" t="str">
        <f t="shared" si="5"/>
        <v>குகுநெஒ</v>
      </c>
      <c r="CE20" s="58" t="str">
        <f>IFERROR(VLOOKUP((LEFT(U20,4)),BASE!$E$12:$F$23,2,0),IFERROR(VLOOKUP((LEFT(U20,3)),BASE!$E$12:$F$23,2,0),IFERROR(VLOOKUP((LEFT(U20,2)),BASE!$E$12:$F$23,2,0),IFERROR(VLOOKUP((LEFT(U20,1)),BASE!$E$12:$F$23,2,0),U20))))</f>
        <v>நிரை</v>
      </c>
      <c r="CF20" s="58" t="str">
        <f>IFERROR(VLOOKUP((LEFT(T20,4)),BASE!$E$12:$F$24,2,0),IFERROR(VLOOKUP((LEFT(T20,3)),BASE!$E$12:$F$24,2,0),IFERROR(VLOOKUP((LEFT(T20,2)),BASE!$E$12:$F$24,2,0),IFERROR(VLOOKUP((LEFT(T20,1)),BASE!$E$12:$F$24,2,0),T20))))</f>
        <v>நேர்</v>
      </c>
      <c r="CG20" s="58" t="str">
        <f>IFERROR(VLOOKUP((LEFT(S20,4)),BASE!$E$12:$F$23,2,0),IFERROR(VLOOKUP((LEFT(S20,3)),BASE!$E$12:$F$23,2,0),IFERROR(VLOOKUP((LEFT(S20,2)),BASE!$E$12:$F$23,2,0),IFERROR(VLOOKUP((LEFT(S20,1)),BASE!$E$12:$F$23,2,0),S20))))</f>
        <v/>
      </c>
      <c r="CH20" s="58" t="str">
        <f>IFERROR(VLOOKUP((LEFT(R20,4)),BASE!$E$12:$F$23,2,0),IFERROR(VLOOKUP((LEFT(R20,3)),BASE!$E$12:$F$23,2,0),IFERROR(VLOOKUP((LEFT(R20,2)),BASE!$E$12:$F$23,2,0),IFERROR(VLOOKUP((LEFT(R20,1)),BASE!$E$12:$F$23,2,0),R20))))</f>
        <v/>
      </c>
      <c r="CI20" s="58" t="str">
        <f>IFERROR(VLOOKUP((LEFT(Q20,4)),BASE!$E$12:$F$23,2,0),IFERROR(VLOOKUP((LEFT(Q20,3)),BASE!$E$12:$F$23,2,0),IFERROR(VLOOKUP((LEFT(Q20,2)),BASE!$E$12:$F$23,2,0),IFERROR(VLOOKUP((LEFT(Q20,1)),BASE!$E$12:$F$23,2,0),Q20))))</f>
        <v/>
      </c>
      <c r="CJ20" s="58" t="str">
        <f>IFERROR(VLOOKUP((LEFT(P20,4)),BASE!$E$12:$F$23,2,0),IFERROR(VLOOKUP((LEFT(P20,3)),BASE!$E$12:$F$23,2,0),IFERROR(VLOOKUP((LEFT(P20,2)),BASE!$E$12:$F$23,2,0),IFERROR(VLOOKUP((LEFT(P20,1)),BASE!$E$12:$F$23,2,0),P20))))</f>
        <v/>
      </c>
      <c r="CK20" s="58" t="str">
        <f>IFERROR(VLOOKUP((LEFT(O20,4)),BASE!$E$12:$F$23,2,0),IFERROR(VLOOKUP((LEFT(O20,3)),BASE!$E$12:$F$23,2,0),IFERROR(VLOOKUP((LEFT(O20,2)),BASE!$E$12:$F$23,2,0),IFERROR(VLOOKUP((LEFT(O20,1)),BASE!$E$12:$F$23,2,0),O20))))</f>
        <v/>
      </c>
      <c r="CL20" s="58" t="str">
        <f>IFERROR(VLOOKUP((LEFT(N20,4)),BASE!$E$12:$F$23,2,0),IFERROR(VLOOKUP((LEFT(N20,3)),BASE!$E$12:$F$23,2,0),IFERROR(VLOOKUP((LEFT(N20,2)),BASE!$E$12:$F$23,2,0),IFERROR(VLOOKUP((LEFT(N20,1)),BASE!$E$12:$F$23,2,0),N20))))</f>
        <v/>
      </c>
      <c r="CM20" s="58" t="str">
        <f>IFERROR(VLOOKUP((LEFT(M20,4)),BASE!$E$12:$F$23,2,0),IFERROR(VLOOKUP((LEFT(M20,3)),BASE!$E$12:$F$23,2,0),IFERROR(VLOOKUP((LEFT(M20,2)),BASE!$E$12:$F$23,2,0),IFERROR(VLOOKUP((LEFT(M20,1)),BASE!$E$12:$F$23,2,0),M20))))</f>
        <v/>
      </c>
      <c r="CN20" s="58" t="str">
        <f>IFERROR(VLOOKUP((LEFT(L20,4)),BASE!$E$12:$F$23,2,0),IFERROR(VLOOKUP((LEFT(L20,3)),BASE!$E$12:$F$23,2,0),IFERROR(VLOOKUP((LEFT(L20,2)),BASE!$E$12:$F$23,2,0),IFERROR(VLOOKUP((LEFT(L20,1)),BASE!$E$12:$F$23,2,0),L20))))</f>
        <v/>
      </c>
      <c r="CO20" s="58" t="str">
        <f t="shared" si="6"/>
        <v>நிரைநேர்</v>
      </c>
      <c r="CP20" s="58" t="str">
        <f>VLOOKUP(CO20,BASE!$E$25:$F$79,2,0)</f>
        <v>புளிமா</v>
      </c>
      <c r="CQ20" s="58" t="str">
        <f>VLOOKUP(CO20,BASE!$E$25:$G$79,3,0)&amp;CE21</f>
        <v>மாநிரை</v>
      </c>
      <c r="CR20" s="58" t="str">
        <f>VLOOKUP(CQ20,BASE!$E$86:$G$93,2,0)</f>
        <v>மாமுன் நிரை</v>
      </c>
      <c r="CS20" s="58" t="str">
        <f>VLOOKUP(CQ20,BASE!$E$86:$G$93,3,0)</f>
        <v>இயற்சீர் வெண்டளை</v>
      </c>
      <c r="CT20" s="58" t="str">
        <f t="shared" si="7"/>
        <v>மூவசைக்கு மிகவில்லை</v>
      </c>
      <c r="CU20" s="58" t="str">
        <f t="shared" si="8"/>
        <v>சரி</v>
      </c>
      <c r="CV20" s="193"/>
    </row>
    <row r="21" spans="1:100" ht="19.5" customHeight="1" x14ac:dyDescent="0.35">
      <c r="A21" s="119"/>
      <c r="B21" s="12">
        <f>IFERROR(VLOOKUP((LEFT(L21,4)),BASE!$E$12:$F$23,1,0),IFERROR(VLOOKUP((LEFT(L21,3)),BASE!$E$12:$F$23,1,0),IFERROR(VLOOKUP((LEFT(L21,2)),BASE!$E$12:$F$23,1,0),IFERROR(VLOOKUP((LEFT(L21,1)),BASE!$E$12:$F$23,1,0),100))))</f>
        <v>100</v>
      </c>
      <c r="C21" s="12">
        <f>IFERROR(VLOOKUP((LEFT(M21,4)),BASE!$E$12:$F$23,1,0),IFERROR(VLOOKUP((LEFT(M21,3)),BASE!$E$12:$F$23,1,0),IFERROR(VLOOKUP((LEFT(M21,2)),BASE!$E$12:$F$23,1,0),IFERROR(VLOOKUP((LEFT(M21,1)),BASE!$E$12:$F$23,1,0),100))))</f>
        <v>100</v>
      </c>
      <c r="D21" s="12">
        <f>IFERROR(VLOOKUP((LEFT(N21,4)),BASE!$E$12:$F$23,1,0),IFERROR(VLOOKUP((LEFT(N21,3)),BASE!$E$12:$F$23,1,0),IFERROR(VLOOKUP((LEFT(N21,2)),BASE!$E$12:$F$23,1,0),IFERROR(VLOOKUP((LEFT(N21,1)),BASE!$E$12:$F$23,1,0),100))))</f>
        <v>100</v>
      </c>
      <c r="E21" s="12">
        <f>IFERROR(VLOOKUP((LEFT(O21,4)),BASE!$E$12:$F$23,1,0),IFERROR(VLOOKUP((LEFT(O21,3)),BASE!$E$12:$F$23,1,0),IFERROR(VLOOKUP((LEFT(O21,2)),BASE!$E$12:$F$23,1,0),IFERROR(VLOOKUP((LEFT(O21,1)),BASE!$E$12:$F$23,1,0),100))))</f>
        <v>100</v>
      </c>
      <c r="F21" s="12">
        <f>IFERROR(VLOOKUP((LEFT(P21,4)),BASE!$E$12:$F$23,1,0),IFERROR(VLOOKUP((LEFT(P21,3)),BASE!$E$12:$F$23,1,0),IFERROR(VLOOKUP((LEFT(P21,2)),BASE!$E$12:$F$23,1,0),IFERROR(VLOOKUP((LEFT(P21,1)),BASE!$E$12:$F$23,1,0),100))))</f>
        <v>100</v>
      </c>
      <c r="G21" s="12">
        <f>IFERROR(VLOOKUP((LEFT(Q21,4)),BASE!$E$12:$F$23,1,0),IFERROR(VLOOKUP((LEFT(Q21,3)),BASE!$E$12:$F$23,1,0),IFERROR(VLOOKUP((LEFT(Q21,2)),BASE!$E$12:$F$23,1,0),IFERROR(VLOOKUP((LEFT(Q21,1)),BASE!$E$12:$F$23,1,0),100))))</f>
        <v>100</v>
      </c>
      <c r="H21" s="12">
        <f>IFERROR(VLOOKUP((LEFT(R21,4)),BASE!$E$12:$F$23,1,0),IFERROR(VLOOKUP((LEFT(R21,3)),BASE!$E$12:$F$23,1,0),IFERROR(VLOOKUP((LEFT(R21,2)),BASE!$E$12:$F$23,1,0),IFERROR(VLOOKUP((LEFT(R21,1)),BASE!$E$12:$F$23,1,0),100))))</f>
        <v>100</v>
      </c>
      <c r="I21" s="12" t="str">
        <f>IFERROR(VLOOKUP((LEFT(S21,4)),BASE!$E$12:$F$23,1,0),IFERROR(VLOOKUP((LEFT(S21,3)),BASE!$E$12:$F$23,1,0),IFERROR(VLOOKUP((LEFT(S21,2)),BASE!$E$12:$F$23,1,0),IFERROR(VLOOKUP((LEFT(S21,1)),BASE!$E$12:$F$23,1,0),100))))</f>
        <v>ko</v>
      </c>
      <c r="J21" s="12" t="str">
        <f>IFERROR(VLOOKUP((LEFT(T21,4)),BASE!$E$12:$F$24,1,0),IFERROR(VLOOKUP((LEFT(T21,3)),BASE!$E$12:$F$24,1,0),IFERROR(VLOOKUP((LEFT(T21,2)),BASE!$E$12:$F$24,1,0),IFERROR(VLOOKUP((LEFT(T21,1)),BASE!$E$12:$F$24,1,0),100))))</f>
        <v>n</v>
      </c>
      <c r="K21" s="12" t="str">
        <f>IFERROR(VLOOKUP((LEFT(U21,4)),BASE!$E$12:$F$23,1,0),IFERROR(VLOOKUP((LEFT(U21,3)),BASE!$E$12:$F$23,1,0),IFERROR(VLOOKUP((LEFT(U21,2)),BASE!$E$12:$F$23,1,0),IFERROR(VLOOKUP((LEFT(U21,1)),BASE!$E$12:$F$23,1,0),100))))</f>
        <v>kko</v>
      </c>
      <c r="L21" s="14" t="str">
        <f t="shared" si="9"/>
        <v/>
      </c>
      <c r="M21" s="14" t="str">
        <f t="shared" si="10"/>
        <v/>
      </c>
      <c r="N21" s="14" t="str">
        <f t="shared" si="11"/>
        <v/>
      </c>
      <c r="O21" s="14" t="str">
        <f t="shared" si="12"/>
        <v/>
      </c>
      <c r="P21" s="14" t="str">
        <f t="shared" si="13"/>
        <v/>
      </c>
      <c r="Q21" s="14" t="str">
        <f t="shared" si="14"/>
        <v/>
      </c>
      <c r="R21" s="14" t="str">
        <f t="shared" si="15"/>
        <v/>
      </c>
      <c r="S21" s="14" t="str">
        <f t="shared" si="16"/>
        <v>ko</v>
      </c>
      <c r="T21" s="14" t="str">
        <f t="shared" si="17"/>
        <v>nko</v>
      </c>
      <c r="U21" s="14" t="str">
        <f t="shared" si="1"/>
        <v>kkonko</v>
      </c>
      <c r="V21" s="13">
        <f>IFERROR(VLOOKUP(LEFT(AZ21,2),BASE!$C$96:$E$342,3,0),IFERROR(VLOOKUP(LEFT(AZ21,1),BASE!$C$96:$E$342,3,0),100))</f>
        <v>100</v>
      </c>
      <c r="W21" s="13">
        <f>IFERROR(VLOOKUP(LEFT(BA21,2),BASE!$C$96:$E$342,3,0),IFERROR(VLOOKUP(LEFT(BA21,1),BASE!$C$96:$E$342,3,0),100))</f>
        <v>100</v>
      </c>
      <c r="X21" s="13">
        <f>IFERROR(VLOOKUP(LEFT(BB21,2),BASE!$C$96:$E$342,3,0),IFERROR(VLOOKUP(LEFT(BB21,1),BASE!$C$96:$E$342,3,0),100))</f>
        <v>100</v>
      </c>
      <c r="Y21" s="13">
        <f>IFERROR(VLOOKUP(LEFT(BC21,2),BASE!$C$96:$E$342,3,0),IFERROR(VLOOKUP(LEFT(BC21,1),BASE!$C$96:$E$342,3,0),100))</f>
        <v>100</v>
      </c>
      <c r="Z21" s="13">
        <f>IFERROR(VLOOKUP(LEFT(BD21,2),BASE!$C$96:$E$342,3,0),IFERROR(VLOOKUP(LEFT(BD21,1),BASE!$C$96:$E$342,3,0),100))</f>
        <v>2</v>
      </c>
      <c r="AA21" s="13">
        <f>IFERROR(VLOOKUP(LEFT(BE21,2),BASE!$C$96:$E$342,3,0),IFERROR(VLOOKUP(LEFT(BE21,1),BASE!$C$96:$E$342,3,0),100))</f>
        <v>2</v>
      </c>
      <c r="AB21" s="13">
        <f>IFERROR(VLOOKUP(LEFT(BF21,2),BASE!$C$96:$E$342,3,0),IFERROR(VLOOKUP(LEFT(BF21,1),BASE!$C$96:$E$342,3,0),100))</f>
        <v>2</v>
      </c>
      <c r="AC21" s="13">
        <f>IFERROR(VLOOKUP(LEFT(BG21,2),BASE!$C$96:$E$342,3,0),IFERROR(VLOOKUP(LEFT(BG21,1),BASE!$C$96:$E$342,3,0),100))</f>
        <v>2</v>
      </c>
      <c r="AD21" s="13">
        <f>IFERROR(VLOOKUP(LEFT(BH21,2),BASE!$C$96:$E$342,3,0),IFERROR(VLOOKUP(LEFT(BH21,1),BASE!$C$96:$E$342,3,0),100))</f>
        <v>1</v>
      </c>
      <c r="AE21" s="13">
        <f>IFERROR(VLOOKUP(LEFT(BI21,2),BASE!$C$96:$E$342,3,0),IFERROR(VLOOKUP(LEFT(BI21,1),BASE!$C$96:$E$342,3,0),100))</f>
        <v>1</v>
      </c>
      <c r="AF21" s="187" t="str">
        <f>IF(AND(BS21=BR21,AG21="o"),"A", (IFERROR(VLOOKUP(LEFT(AZ21,2),BASE!$C$346:$D$592,2,0),IFERROR(VLOOKUP(LEFT(AZ21,1),BASE!$C$346:$D$5922,2,0),AZ21))))</f>
        <v/>
      </c>
      <c r="AG21" s="187" t="str">
        <f>IF(AND(BR21=BQ21,AH21="o"),"A", (IFERROR(VLOOKUP(LEFT(BA21,2),BASE!$C$346:$D$592,2,0),IFERROR(VLOOKUP(LEFT(BA21,1),BASE!$C$346:$D$592,2,0),BA21))))</f>
        <v/>
      </c>
      <c r="AH21" s="187" t="str">
        <f>IF(AND(BQ21=BP21,AI21="o"),"A", (IFERROR(VLOOKUP(LEFT(BB21,2),BASE!$C$346:$D$592,2,0),IFERROR(VLOOKUP(LEFT(BB21,1),BASE!$C$346:$D$592,2,0),BB21))))</f>
        <v/>
      </c>
      <c r="AI21" s="187" t="str">
        <f>IF(AND(BP21=BO21,AJ21="o"),"A", (IFERROR(VLOOKUP(LEFT(BC21,2),BASE!$C$346:$D$592,2,0),IFERROR(VLOOKUP(LEFT(BC21,1),BASE!$C$346:$D$592,2,0),BC21))))</f>
        <v/>
      </c>
      <c r="AJ21" s="187" t="str">
        <f>IF(AND(BO21=BN21,AK21="o"),"A", (IFERROR(VLOOKUP(LEFT(BD21,2),BASE!$C$346:$D$592,2,0),IFERROR(VLOOKUP(LEFT(BD21,1),BASE!$C$346:$D$592,2,0),BD21))))</f>
        <v>o</v>
      </c>
      <c r="AK21" s="187" t="str">
        <f>IF(AND(BN21=BM21,AL21="o"),"A", (IFERROR(VLOOKUP(LEFT(BE21,2),BASE!$C$346:$D$592,2,0),IFERROR(VLOOKUP(LEFT(BE21,1),BASE!$C$346:$D$592,2,0),BE21))))</f>
        <v>k</v>
      </c>
      <c r="AL21" s="187" t="str">
        <f>IF(AND(BM21=BL21,AM21="o"),"A", (IFERROR(VLOOKUP(LEFT(BF21,2),BASE!$C$346:$D$592,2,0),IFERROR(VLOOKUP(LEFT(BF21,1),BASE!$C$346:$D$592,2,0),BF21))))</f>
        <v>n</v>
      </c>
      <c r="AM21" s="187" t="str">
        <f>IF(AND(BL21=BK21,AN21="o"),"A",(IFERROR(VLOOKUP(LEFT(BG21,2),BASE!$C$346:$D$592,2,0),IFERROR(VLOOKUP(LEFT(BG21,1),BASE!$C$346:$D$592,2,0),BG21))))</f>
        <v>o</v>
      </c>
      <c r="AN21" s="187" t="str">
        <f>(IFERROR(VLOOKUP(LEFT(BH21,2),BASE!$C$346:$D$592,2,0),IFERROR(VLOOKUP(LEFT(BH21,1),BASE!$C$346:$D$592,2,0),BH21)))</f>
        <v>k</v>
      </c>
      <c r="AO21" s="187" t="str">
        <f>(IFERROR(VLOOKUP(LEFT(BI21,2),BASE!$C$96:$D$342,2,0),IFERROR(VLOOKUP(LEFT(BI21,1),BASE!$C$96:$D$342,2,0),BI21)))</f>
        <v>k</v>
      </c>
      <c r="AP21" s="5">
        <f t="shared" si="18"/>
        <v>10</v>
      </c>
      <c r="AQ21" s="5">
        <f t="shared" si="19"/>
        <v>10</v>
      </c>
      <c r="AR21" s="5">
        <f t="shared" si="20"/>
        <v>10</v>
      </c>
      <c r="AS21" s="5">
        <f t="shared" si="21"/>
        <v>10</v>
      </c>
      <c r="AT21" s="5">
        <f t="shared" si="22"/>
        <v>10</v>
      </c>
      <c r="AU21" s="5">
        <f t="shared" si="23"/>
        <v>10</v>
      </c>
      <c r="AV21" s="5">
        <f t="shared" si="24"/>
        <v>10</v>
      </c>
      <c r="AW21" s="5">
        <f t="shared" si="25"/>
        <v>10</v>
      </c>
      <c r="AX21" s="5">
        <f t="shared" si="26"/>
        <v>10</v>
      </c>
      <c r="AY21" s="5">
        <f t="shared" si="3"/>
        <v>10</v>
      </c>
      <c r="AZ21" s="12" t="str">
        <f t="shared" si="27"/>
        <v/>
      </c>
      <c r="BA21" s="12" t="str">
        <f t="shared" si="28"/>
        <v/>
      </c>
      <c r="BB21" s="12" t="str">
        <f t="shared" si="29"/>
        <v/>
      </c>
      <c r="BC21" s="12" t="str">
        <f t="shared" si="30"/>
        <v/>
      </c>
      <c r="BD21" s="12" t="str">
        <f t="shared" si="31"/>
        <v>ம்</v>
      </c>
      <c r="BE21" s="12" t="str">
        <f t="shared" si="32"/>
        <v>யும்</v>
      </c>
      <c r="BF21" s="12" t="str">
        <f t="shared" si="33"/>
        <v>தேயும்</v>
      </c>
      <c r="BG21" s="12" t="str">
        <f t="shared" si="34"/>
        <v>ந்தேயும்</v>
      </c>
      <c r="BH21" s="43" t="str">
        <f t="shared" si="35"/>
        <v>றந்தேயும்</v>
      </c>
      <c r="BI21" s="57" t="str">
        <f>CF8</f>
        <v>அறந்தேயும்</v>
      </c>
      <c r="BJ21" s="58" t="str">
        <f>IFERROR(VLOOKUP(LEFT(BI21,2),BASE!$C$96:$F$342,1,0),IFERROR(VLOOKUP(LEFT(BI21,1),BASE!$C$96:$F$342,1,0),BI21))</f>
        <v>அ</v>
      </c>
      <c r="BK21" s="58" t="str">
        <f>IFERROR(VLOOKUP(LEFT(BH21,2),BASE!$C$96:$D$342,1,0),IFERROR(VLOOKUP(LEFT(BH21,1),BASE!$C$96:$D$342,1,0),BH21))</f>
        <v>ற</v>
      </c>
      <c r="BL21" s="58" t="str">
        <f>IFERROR(VLOOKUP(LEFT(BG21,2),BASE!$C$96:$D$342,1,0),IFERROR(VLOOKUP(LEFT(BG21,1),BASE!$C$96:$D$342,1,0),BG21))</f>
        <v>ந்</v>
      </c>
      <c r="BM21" s="58" t="str">
        <f>IFERROR(VLOOKUP(LEFT(BF21,2),BASE!$C$96:$D$342,1,0),IFERROR(VLOOKUP(LEFT(BF21,1),BASE!$C$96:$D$342,1,0),BF21))</f>
        <v>தே</v>
      </c>
      <c r="BN21" s="58" t="str">
        <f>IFERROR(VLOOKUP(LEFT(BE21,2),BASE!$C$96:$D$342,1,0),IFERROR(VLOOKUP(LEFT(BE21,1),BASE!$C$96:$D$342,1,0),BE21))</f>
        <v>யு</v>
      </c>
      <c r="BO21" s="58" t="str">
        <f>IFERROR(VLOOKUP(LEFT(BD21,2),BASE!$C$96:$D$342,1,0),IFERROR(VLOOKUP(LEFT(BD21,1),BASE!$C$96:$D$342,1,0),BD21))</f>
        <v>ம்</v>
      </c>
      <c r="BP21" s="58" t="str">
        <f>IFERROR(VLOOKUP(LEFT(BC21,2),BASE!$C$96:$D$342,1,0),IFERROR(VLOOKUP(LEFT(BC21,1),BASE!$C$96:$D$342,1,0),BC21))</f>
        <v/>
      </c>
      <c r="BQ21" s="58" t="str">
        <f>IFERROR(VLOOKUP(LEFT(BB21,2),BASE!$C$96:$D$342,1,0),IFERROR(VLOOKUP(LEFT(BB21,1),BASE!$C$96:$D$342,1,0),BB21))</f>
        <v/>
      </c>
      <c r="BR21" s="58" t="str">
        <f>IFERROR(VLOOKUP(LEFT(BA21,2),BASE!$C$96:$D$342,1,0),IFERROR(VLOOKUP(LEFT(BA21,1),BASE!$C$96:$D$342,1,0),BA21))</f>
        <v/>
      </c>
      <c r="BS21" s="58" t="str">
        <f>IFERROR(VLOOKUP(LEFT(AZ21,2),BASE!$C$96:$D$342,1,0),IFERROR(VLOOKUP(LEFT(AZ21,1),BASE!$C$96:$D$342,1,0),AZ21))</f>
        <v/>
      </c>
      <c r="BT21" s="186" t="str">
        <f>(IFERROR(VLOOKUP(LEFT(BI21,2),BASE!$C$96:$F$342,4,0),IFERROR(VLOOKUP(LEFT(BI21,1),BASE!$C$96:$F$342,4,0),BI21)))</f>
        <v>கு</v>
      </c>
      <c r="BU21" s="186" t="str">
        <f>(IFERROR(VLOOKUP(LEFT(BH21,2),BASE!$C$346:$F$592,4,0),IFERROR(VLOOKUP(LEFT(BH21,1),BASE!$C$346:$F$592,4,0),BH21)))</f>
        <v>கு</v>
      </c>
      <c r="BV21" s="186" t="str">
        <f>(IFERROR(VLOOKUP(LEFT(BG21,2),BASE!$C$346:$F$592,4,0),IFERROR(VLOOKUP(LEFT(BG21,1),BASE!$C$346:$F$592,4,0),BG21)))</f>
        <v>ஒ</v>
      </c>
      <c r="BW21" s="186" t="str">
        <f>(IFERROR(VLOOKUP(LEFT(BF21,2),BASE!$C$346:$F$592,4,0),IFERROR(VLOOKUP(LEFT(BF21,1),BASE!$C$346:$F$592,4,0),BF21)))</f>
        <v>நெ</v>
      </c>
      <c r="BX21" s="186" t="str">
        <f>(IFERROR(VLOOKUP(LEFT(BE21,2),BASE!$C$346:$F$592,4,0),IFERROR(VLOOKUP(LEFT(BE21,1),BASE!$C$346:$F$592,4,0),BE21)))</f>
        <v>கு</v>
      </c>
      <c r="BY21" s="186" t="str">
        <f>(IFERROR(VLOOKUP(LEFT(BD21,2),BASE!$C$346:$F$592,4,0),IFERROR(VLOOKUP(LEFT(BD21,1),BASE!$C$346:$F$592,4,0),BD21)))</f>
        <v>ஒ</v>
      </c>
      <c r="BZ21" s="186" t="str">
        <f>(IFERROR(VLOOKUP(LEFT(BC21,2),BASE!$C$346:$F$592,4,0),IFERROR(VLOOKUP(LEFT(BC21,1),BASE!$C$346:$F$592,4,0),BC21)))</f>
        <v/>
      </c>
      <c r="CA21" s="186" t="str">
        <f>(IFERROR(VLOOKUP(LEFT(BB21,2),BASE!$C$346:$F$592,4,0),IFERROR(VLOOKUP(LEFT(BB21,1),BASE!$C$346:$F$592,4,0),BB21)))</f>
        <v/>
      </c>
      <c r="CB21" s="186" t="str">
        <f>(IFERROR(VLOOKUP(LEFT(BA21,2),BASE!$C$346:$F$592,4,0),IFERROR(VLOOKUP(LEFT(BA21,1),BASE!$C$346:$F$592,4,0),BA21)))</f>
        <v/>
      </c>
      <c r="CC21" s="186" t="str">
        <f>(IFERROR(VLOOKUP(LEFT(AZ21,2),BASE!$C$346:$F$592,4,0),IFERROR(VLOOKUP(LEFT(AZ21,1),BASE!$C$346:$F$592,4,0),AZ21)))</f>
        <v/>
      </c>
      <c r="CD21" s="58" t="str">
        <f t="shared" si="5"/>
        <v>குகுஒநெகுஒ</v>
      </c>
      <c r="CE21" s="58" t="str">
        <f>IFERROR(VLOOKUP((LEFT(U21,4)),BASE!$E$12:$F$23,2,0),IFERROR(VLOOKUP((LEFT(U21,3)),BASE!$E$12:$F$23,2,0),IFERROR(VLOOKUP((LEFT(U21,2)),BASE!$E$12:$F$23,2,0),IFERROR(VLOOKUP((LEFT(U21,1)),BASE!$E$12:$F$23,2,0),U21))))</f>
        <v>நிரை</v>
      </c>
      <c r="CF21" s="58" t="str">
        <f>IFERROR(VLOOKUP((LEFT(T21,4)),BASE!$E$12:$F$24,2,0),IFERROR(VLOOKUP((LEFT(T21,3)),BASE!$E$12:$F$24,2,0),IFERROR(VLOOKUP((LEFT(T21,2)),BASE!$E$12:$F$24,2,0),IFERROR(VLOOKUP((LEFT(T21,1)),BASE!$E$12:$F$24,2,0),T21))))</f>
        <v>நேர்</v>
      </c>
      <c r="CG21" s="58" t="str">
        <f>IFERROR(VLOOKUP((LEFT(S21,4)),BASE!$E$12:$F$23,2,0),IFERROR(VLOOKUP((LEFT(S21,3)),BASE!$E$12:$F$23,2,0),IFERROR(VLOOKUP((LEFT(S21,2)),BASE!$E$12:$F$23,2,0),IFERROR(VLOOKUP((LEFT(S21,1)),BASE!$E$12:$F$23,2,0),S21))))</f>
        <v>நேர்</v>
      </c>
      <c r="CH21" s="58" t="str">
        <f>IFERROR(VLOOKUP((LEFT(R21,4)),BASE!$E$12:$F$23,2,0),IFERROR(VLOOKUP((LEFT(R21,3)),BASE!$E$12:$F$23,2,0),IFERROR(VLOOKUP((LEFT(R21,2)),BASE!$E$12:$F$23,2,0),IFERROR(VLOOKUP((LEFT(R21,1)),BASE!$E$12:$F$23,2,0),R21))))</f>
        <v/>
      </c>
      <c r="CI21" s="58" t="str">
        <f>IFERROR(VLOOKUP((LEFT(Q21,4)),BASE!$E$12:$F$23,2,0),IFERROR(VLOOKUP((LEFT(Q21,3)),BASE!$E$12:$F$23,2,0),IFERROR(VLOOKUP((LEFT(Q21,2)),BASE!$E$12:$F$23,2,0),IFERROR(VLOOKUP((LEFT(Q21,1)),BASE!$E$12:$F$23,2,0),Q21))))</f>
        <v/>
      </c>
      <c r="CJ21" s="58" t="str">
        <f>IFERROR(VLOOKUP((LEFT(P21,4)),BASE!$E$12:$F$23,2,0),IFERROR(VLOOKUP((LEFT(P21,3)),BASE!$E$12:$F$23,2,0),IFERROR(VLOOKUP((LEFT(P21,2)),BASE!$E$12:$F$23,2,0),IFERROR(VLOOKUP((LEFT(P21,1)),BASE!$E$12:$F$23,2,0),P21))))</f>
        <v/>
      </c>
      <c r="CK21" s="58" t="str">
        <f>IFERROR(VLOOKUP((LEFT(O21,4)),BASE!$E$12:$F$23,2,0),IFERROR(VLOOKUP((LEFT(O21,3)),BASE!$E$12:$F$23,2,0),IFERROR(VLOOKUP((LEFT(O21,2)),BASE!$E$12:$F$23,2,0),IFERROR(VLOOKUP((LEFT(O21,1)),BASE!$E$12:$F$23,2,0),O21))))</f>
        <v/>
      </c>
      <c r="CL21" s="58" t="str">
        <f>IFERROR(VLOOKUP((LEFT(N21,4)),BASE!$E$12:$F$23,2,0),IFERROR(VLOOKUP((LEFT(N21,3)),BASE!$E$12:$F$23,2,0),IFERROR(VLOOKUP((LEFT(N21,2)),BASE!$E$12:$F$23,2,0),IFERROR(VLOOKUP((LEFT(N21,1)),BASE!$E$12:$F$23,2,0),N21))))</f>
        <v/>
      </c>
      <c r="CM21" s="58" t="str">
        <f>IFERROR(VLOOKUP((LEFT(M21,4)),BASE!$E$12:$F$23,2,0),IFERROR(VLOOKUP((LEFT(M21,3)),BASE!$E$12:$F$23,2,0),IFERROR(VLOOKUP((LEFT(M21,2)),BASE!$E$12:$F$23,2,0),IFERROR(VLOOKUP((LEFT(M21,1)),BASE!$E$12:$F$23,2,0),M21))))</f>
        <v/>
      </c>
      <c r="CN21" s="58" t="str">
        <f>IFERROR(VLOOKUP((LEFT(L21,4)),BASE!$E$12:$F$23,2,0),IFERROR(VLOOKUP((LEFT(L21,3)),BASE!$E$12:$F$23,2,0),IFERROR(VLOOKUP((LEFT(L21,2)),BASE!$E$12:$F$23,2,0),IFERROR(VLOOKUP((LEFT(L21,1)),BASE!$E$12:$F$23,2,0),L21))))</f>
        <v/>
      </c>
      <c r="CO21" s="58" t="str">
        <f t="shared" si="6"/>
        <v>நிரைநேர்நேர்</v>
      </c>
      <c r="CP21" s="58" t="str">
        <f>VLOOKUP(CO21,BASE!$E$25:$F$79,2,0)</f>
        <v>புளிமாங்காய்</v>
      </c>
      <c r="CQ21" s="58" t="str">
        <f>VLOOKUP(CO21,BASE!$E$25:$G$79,3,0)&amp;CE22</f>
        <v>காய்நேர்</v>
      </c>
      <c r="CR21" s="58" t="str">
        <f>VLOOKUP(CQ21,BASE!$E$86:$G$93,2,0)</f>
        <v>காய் முன் நேர்</v>
      </c>
      <c r="CS21" s="58" t="str">
        <f>VLOOKUP(CQ21,BASE!$E$86:$G$93,3,0)</f>
        <v>வெண்சீர் வெண்டளை</v>
      </c>
      <c r="CT21" s="58" t="str">
        <f t="shared" si="7"/>
        <v>மூவசைக்கு மிகவில்லை</v>
      </c>
      <c r="CU21" s="58" t="str">
        <f t="shared" si="8"/>
        <v>சரி</v>
      </c>
      <c r="CV21" s="193"/>
    </row>
    <row r="22" spans="1:100" ht="19.5" customHeight="1" x14ac:dyDescent="0.35">
      <c r="A22" s="119"/>
      <c r="B22" s="12">
        <f>IFERROR(VLOOKUP((LEFT(L22,4)),BASE!$E$12:$F$23,1,0),IFERROR(VLOOKUP((LEFT(L22,3)),BASE!$E$12:$F$23,1,0),IFERROR(VLOOKUP((LEFT(L22,2)),BASE!$E$12:$F$23,1,0),IFERROR(VLOOKUP((LEFT(L22,1)),BASE!$E$12:$F$23,1,0),100))))</f>
        <v>100</v>
      </c>
      <c r="C22" s="12">
        <f>IFERROR(VLOOKUP((LEFT(M22,4)),BASE!$E$12:$F$23,1,0),IFERROR(VLOOKUP((LEFT(M22,3)),BASE!$E$12:$F$23,1,0),IFERROR(VLOOKUP((LEFT(M22,2)),BASE!$E$12:$F$23,1,0),IFERROR(VLOOKUP((LEFT(M22,1)),BASE!$E$12:$F$23,1,0),100))))</f>
        <v>100</v>
      </c>
      <c r="D22" s="12">
        <f>IFERROR(VLOOKUP((LEFT(N22,4)),BASE!$E$12:$F$23,1,0),IFERROR(VLOOKUP((LEFT(N22,3)),BASE!$E$12:$F$23,1,0),IFERROR(VLOOKUP((LEFT(N22,2)),BASE!$E$12:$F$23,1,0),IFERROR(VLOOKUP((LEFT(N22,1)),BASE!$E$12:$F$23,1,0),100))))</f>
        <v>100</v>
      </c>
      <c r="E22" s="12">
        <f>IFERROR(VLOOKUP((LEFT(O22,4)),BASE!$E$12:$F$23,1,0),IFERROR(VLOOKUP((LEFT(O22,3)),BASE!$E$12:$F$23,1,0),IFERROR(VLOOKUP((LEFT(O22,2)),BASE!$E$12:$F$23,1,0),IFERROR(VLOOKUP((LEFT(O22,1)),BASE!$E$12:$F$23,1,0),100))))</f>
        <v>100</v>
      </c>
      <c r="F22" s="12">
        <f>IFERROR(VLOOKUP((LEFT(P22,4)),BASE!$E$12:$F$23,1,0),IFERROR(VLOOKUP((LEFT(P22,3)),BASE!$E$12:$F$23,1,0),IFERROR(VLOOKUP((LEFT(P22,2)),BASE!$E$12:$F$23,1,0),IFERROR(VLOOKUP((LEFT(P22,1)),BASE!$E$12:$F$23,1,0),100))))</f>
        <v>100</v>
      </c>
      <c r="G22" s="12">
        <f>IFERROR(VLOOKUP((LEFT(Q22,4)),BASE!$E$12:$F$23,1,0),IFERROR(VLOOKUP((LEFT(Q22,3)),BASE!$E$12:$F$23,1,0),IFERROR(VLOOKUP((LEFT(Q22,2)),BASE!$E$12:$F$23,1,0),IFERROR(VLOOKUP((LEFT(Q22,1)),BASE!$E$12:$F$23,1,0),100))))</f>
        <v>100</v>
      </c>
      <c r="H22" s="12">
        <f>IFERROR(VLOOKUP((LEFT(R22,4)),BASE!$E$12:$F$23,1,0),IFERROR(VLOOKUP((LEFT(R22,3)),BASE!$E$12:$F$23,1,0),IFERROR(VLOOKUP((LEFT(R22,2)),BASE!$E$12:$F$23,1,0),IFERROR(VLOOKUP((LEFT(R22,1)),BASE!$E$12:$F$23,1,0),100))))</f>
        <v>100</v>
      </c>
      <c r="I22" s="12">
        <f>IFERROR(VLOOKUP((LEFT(S22,4)),BASE!$E$12:$F$23,1,0),IFERROR(VLOOKUP((LEFT(S22,3)),BASE!$E$12:$F$23,1,0),IFERROR(VLOOKUP((LEFT(S22,2)),BASE!$E$12:$F$23,1,0),IFERROR(VLOOKUP((LEFT(S22,1)),BASE!$E$12:$F$23,1,0),100))))</f>
        <v>100</v>
      </c>
      <c r="J22" s="12" t="str">
        <f>IFERROR(VLOOKUP((LEFT(T22,4)),BASE!$E$12:$F$24,1,0),IFERROR(VLOOKUP((LEFT(T22,3)),BASE!$E$12:$F$24,1,0),IFERROR(VLOOKUP((LEFT(T22,2)),BASE!$E$12:$F$24,1,0),IFERROR(VLOOKUP((LEFT(T22,1)),BASE!$E$12:$F$24,1,0),100))))</f>
        <v>no</v>
      </c>
      <c r="K22" s="12" t="str">
        <f>IFERROR(VLOOKUP((LEFT(U22,4)),BASE!$E$12:$F$23,1,0),IFERROR(VLOOKUP((LEFT(U22,3)),BASE!$E$12:$F$23,1,0),IFERROR(VLOOKUP((LEFT(U22,2)),BASE!$E$12:$F$23,1,0),IFERROR(VLOOKUP((LEFT(U22,1)),BASE!$E$12:$F$23,1,0),100))))</f>
        <v>ko</v>
      </c>
      <c r="L22" s="14" t="str">
        <f t="shared" si="9"/>
        <v/>
      </c>
      <c r="M22" s="14" t="str">
        <f t="shared" si="10"/>
        <v/>
      </c>
      <c r="N22" s="14" t="str">
        <f t="shared" si="11"/>
        <v/>
      </c>
      <c r="O22" s="14" t="str">
        <f t="shared" si="12"/>
        <v/>
      </c>
      <c r="P22" s="14" t="str">
        <f t="shared" si="13"/>
        <v/>
      </c>
      <c r="Q22" s="14" t="str">
        <f t="shared" si="14"/>
        <v/>
      </c>
      <c r="R22" s="14" t="str">
        <f t="shared" si="15"/>
        <v/>
      </c>
      <c r="S22" s="14" t="str">
        <f t="shared" si="16"/>
        <v/>
      </c>
      <c r="T22" s="14" t="str">
        <f t="shared" si="17"/>
        <v>no</v>
      </c>
      <c r="U22" s="14" t="str">
        <f t="shared" si="1"/>
        <v>kono</v>
      </c>
      <c r="V22" s="13">
        <f>IFERROR(VLOOKUP(LEFT(AZ22,2),BASE!$C$96:$E$342,3,0),IFERROR(VLOOKUP(LEFT(AZ22,1),BASE!$C$96:$E$342,3,0),100))</f>
        <v>100</v>
      </c>
      <c r="W22" s="13">
        <f>IFERROR(VLOOKUP(LEFT(BA22,2),BASE!$C$96:$E$342,3,0),IFERROR(VLOOKUP(LEFT(BA22,1),BASE!$C$96:$E$342,3,0),100))</f>
        <v>100</v>
      </c>
      <c r="X22" s="13">
        <f>IFERROR(VLOOKUP(LEFT(BB22,2),BASE!$C$96:$E$342,3,0),IFERROR(VLOOKUP(LEFT(BB22,1),BASE!$C$96:$E$342,3,0),100))</f>
        <v>100</v>
      </c>
      <c r="Y22" s="13">
        <f>IFERROR(VLOOKUP(LEFT(BC22,2),BASE!$C$96:$E$342,3,0),IFERROR(VLOOKUP(LEFT(BC22,1),BASE!$C$96:$E$342,3,0),100))</f>
        <v>100</v>
      </c>
      <c r="Z22" s="13">
        <f>IFERROR(VLOOKUP(LEFT(BD22,2),BASE!$C$96:$E$342,3,0),IFERROR(VLOOKUP(LEFT(BD22,1),BASE!$C$96:$E$342,3,0),100))</f>
        <v>100</v>
      </c>
      <c r="AA22" s="13">
        <f>IFERROR(VLOOKUP(LEFT(BE22,2),BASE!$C$96:$E$342,3,0),IFERROR(VLOOKUP(LEFT(BE22,1),BASE!$C$96:$E$342,3,0),100))</f>
        <v>100</v>
      </c>
      <c r="AB22" s="13">
        <f>IFERROR(VLOOKUP(LEFT(BF22,2),BASE!$C$96:$E$342,3,0),IFERROR(VLOOKUP(LEFT(BF22,1),BASE!$C$96:$E$342,3,0),100))</f>
        <v>2</v>
      </c>
      <c r="AC22" s="13">
        <f>IFERROR(VLOOKUP(LEFT(BG22,2),BASE!$C$96:$E$342,3,0),IFERROR(VLOOKUP(LEFT(BG22,1),BASE!$C$96:$E$342,3,0),100))</f>
        <v>2</v>
      </c>
      <c r="AD22" s="13">
        <f>IFERROR(VLOOKUP(LEFT(BH22,2),BASE!$C$96:$E$342,3,0),IFERROR(VLOOKUP(LEFT(BH22,1),BASE!$C$96:$E$342,3,0),100))</f>
        <v>2</v>
      </c>
      <c r="AE22" s="13">
        <f>IFERROR(VLOOKUP(LEFT(BI22,2),BASE!$C$96:$E$342,3,0),IFERROR(VLOOKUP(LEFT(BI22,1),BASE!$C$96:$E$342,3,0),100))</f>
        <v>2</v>
      </c>
      <c r="AF22" s="187" t="str">
        <f>IF(AND(BS22=BR22,AG22="o"),"A", (IFERROR(VLOOKUP(LEFT(AZ22,2),BASE!$C$346:$D$592,2,0),IFERROR(VLOOKUP(LEFT(AZ22,1),BASE!$C$346:$D$5922,2,0),AZ22))))</f>
        <v/>
      </c>
      <c r="AG22" s="187" t="str">
        <f>IF(AND(BR22=BQ22,AH22="o"),"A", (IFERROR(VLOOKUP(LEFT(BA22,2),BASE!$C$346:$D$592,2,0),IFERROR(VLOOKUP(LEFT(BA22,1),BASE!$C$346:$D$592,2,0),BA22))))</f>
        <v/>
      </c>
      <c r="AH22" s="187" t="str">
        <f>IF(AND(BQ22=BP22,AI22="o"),"A", (IFERROR(VLOOKUP(LEFT(BB22,2),BASE!$C$346:$D$592,2,0),IFERROR(VLOOKUP(LEFT(BB22,1),BASE!$C$346:$D$592,2,0),BB22))))</f>
        <v/>
      </c>
      <c r="AI22" s="187" t="str">
        <f>IF(AND(BP22=BO22,AJ22="o"),"A", (IFERROR(VLOOKUP(LEFT(BC22,2),BASE!$C$346:$D$592,2,0),IFERROR(VLOOKUP(LEFT(BC22,1),BASE!$C$346:$D$592,2,0),BC22))))</f>
        <v/>
      </c>
      <c r="AJ22" s="187" t="str">
        <f>IF(AND(BO22=BN22,AK22="o"),"A", (IFERROR(VLOOKUP(LEFT(BD22,2),BASE!$C$346:$D$592,2,0),IFERROR(VLOOKUP(LEFT(BD22,1),BASE!$C$346:$D$592,2,0),BD22))))</f>
        <v/>
      </c>
      <c r="AK22" s="187" t="str">
        <f>IF(AND(BN22=BM22,AL22="o"),"A", (IFERROR(VLOOKUP(LEFT(BE22,2),BASE!$C$346:$D$592,2,0),IFERROR(VLOOKUP(LEFT(BE22,1),BASE!$C$346:$D$592,2,0),BE22))))</f>
        <v/>
      </c>
      <c r="AL22" s="187" t="str">
        <f>IF(AND(BM22=BL22,AM22="o"),"A", (IFERROR(VLOOKUP(LEFT(BF22,2),BASE!$C$346:$D$592,2,0),IFERROR(VLOOKUP(LEFT(BF22,1),BASE!$C$346:$D$592,2,0),BF22))))</f>
        <v>o</v>
      </c>
      <c r="AM22" s="187" t="str">
        <f>IF(AND(BL22=BK22,AN22="o"),"A",(IFERROR(VLOOKUP(LEFT(BG22,2),BASE!$C$346:$D$592,2,0),IFERROR(VLOOKUP(LEFT(BG22,1),BASE!$C$346:$D$592,2,0),BG22))))</f>
        <v>n</v>
      </c>
      <c r="AN22" s="187" t="str">
        <f>(IFERROR(VLOOKUP(LEFT(BH22,2),BASE!$C$346:$D$592,2,0),IFERROR(VLOOKUP(LEFT(BH22,1),BASE!$C$346:$D$592,2,0),BH22)))</f>
        <v>o</v>
      </c>
      <c r="AO22" s="187" t="str">
        <f>(IFERROR(VLOOKUP(LEFT(BI22,2),BASE!$C$96:$D$342,2,0),IFERROR(VLOOKUP(LEFT(BI22,1),BASE!$C$96:$D$342,2,0),BI22)))</f>
        <v>k</v>
      </c>
      <c r="AP22" s="5">
        <f t="shared" si="18"/>
        <v>8</v>
      </c>
      <c r="AQ22" s="5">
        <f t="shared" si="19"/>
        <v>8</v>
      </c>
      <c r="AR22" s="5">
        <f t="shared" si="20"/>
        <v>8</v>
      </c>
      <c r="AS22" s="5">
        <f t="shared" si="21"/>
        <v>8</v>
      </c>
      <c r="AT22" s="5">
        <f t="shared" si="22"/>
        <v>8</v>
      </c>
      <c r="AU22" s="5">
        <f t="shared" si="23"/>
        <v>8</v>
      </c>
      <c r="AV22" s="5">
        <f t="shared" si="24"/>
        <v>8</v>
      </c>
      <c r="AW22" s="5">
        <f t="shared" si="25"/>
        <v>8</v>
      </c>
      <c r="AX22" s="5">
        <f t="shared" si="26"/>
        <v>8</v>
      </c>
      <c r="AY22" s="5">
        <f t="shared" si="3"/>
        <v>8</v>
      </c>
      <c r="AZ22" s="12" t="str">
        <f t="shared" si="27"/>
        <v/>
      </c>
      <c r="BA22" s="12" t="str">
        <f t="shared" si="28"/>
        <v/>
      </c>
      <c r="BB22" s="12" t="str">
        <f t="shared" si="29"/>
        <v/>
      </c>
      <c r="BC22" s="12" t="str">
        <f t="shared" si="30"/>
        <v/>
      </c>
      <c r="BD22" s="12" t="str">
        <f t="shared" si="31"/>
        <v/>
      </c>
      <c r="BE22" s="12" t="str">
        <f t="shared" si="32"/>
        <v/>
      </c>
      <c r="BF22" s="12" t="str">
        <f t="shared" si="33"/>
        <v>ர்</v>
      </c>
      <c r="BG22" s="12" t="str">
        <f t="shared" si="34"/>
        <v>லார்</v>
      </c>
      <c r="BH22" s="43" t="str">
        <f t="shared" si="35"/>
        <v>ல்லார்</v>
      </c>
      <c r="BI22" s="57" t="str">
        <f>CG8</f>
        <v>பொல்லார்</v>
      </c>
      <c r="BJ22" s="58" t="str">
        <f>IFERROR(VLOOKUP(LEFT(BI22,2),BASE!$C$96:$F$342,1,0),IFERROR(VLOOKUP(LEFT(BI22,1),BASE!$C$96:$F$342,1,0),BI22))</f>
        <v>பொ</v>
      </c>
      <c r="BK22" s="58" t="str">
        <f>IFERROR(VLOOKUP(LEFT(BH22,2),BASE!$C$96:$D$342,1,0),IFERROR(VLOOKUP(LEFT(BH22,1),BASE!$C$96:$D$342,1,0),BH22))</f>
        <v>ல்</v>
      </c>
      <c r="BL22" s="58" t="str">
        <f>IFERROR(VLOOKUP(LEFT(BG22,2),BASE!$C$96:$D$342,1,0),IFERROR(VLOOKUP(LEFT(BG22,1),BASE!$C$96:$D$342,1,0),BG22))</f>
        <v>லா</v>
      </c>
      <c r="BM22" s="58" t="str">
        <f>IFERROR(VLOOKUP(LEFT(BF22,2),BASE!$C$96:$D$342,1,0),IFERROR(VLOOKUP(LEFT(BF22,1),BASE!$C$96:$D$342,1,0),BF22))</f>
        <v>ர்</v>
      </c>
      <c r="BN22" s="58" t="str">
        <f>IFERROR(VLOOKUP(LEFT(BE22,2),BASE!$C$96:$D$342,1,0),IFERROR(VLOOKUP(LEFT(BE22,1),BASE!$C$96:$D$342,1,0),BE22))</f>
        <v/>
      </c>
      <c r="BO22" s="58" t="str">
        <f>IFERROR(VLOOKUP(LEFT(BD22,2),BASE!$C$96:$D$342,1,0),IFERROR(VLOOKUP(LEFT(BD22,1),BASE!$C$96:$D$342,1,0),BD22))</f>
        <v/>
      </c>
      <c r="BP22" s="58" t="str">
        <f>IFERROR(VLOOKUP(LEFT(BC22,2),BASE!$C$96:$D$342,1,0),IFERROR(VLOOKUP(LEFT(BC22,1),BASE!$C$96:$D$342,1,0),BC22))</f>
        <v/>
      </c>
      <c r="BQ22" s="58" t="str">
        <f>IFERROR(VLOOKUP(LEFT(BB22,2),BASE!$C$96:$D$342,1,0),IFERROR(VLOOKUP(LEFT(BB22,1),BASE!$C$96:$D$342,1,0),BB22))</f>
        <v/>
      </c>
      <c r="BR22" s="58" t="str">
        <f>IFERROR(VLOOKUP(LEFT(BA22,2),BASE!$C$96:$D$342,1,0),IFERROR(VLOOKUP(LEFT(BA22,1),BASE!$C$96:$D$342,1,0),BA22))</f>
        <v/>
      </c>
      <c r="BS22" s="58" t="str">
        <f>IFERROR(VLOOKUP(LEFT(AZ22,2),BASE!$C$96:$D$342,1,0),IFERROR(VLOOKUP(LEFT(AZ22,1),BASE!$C$96:$D$342,1,0),AZ22))</f>
        <v/>
      </c>
      <c r="BT22" s="186" t="str">
        <f>(IFERROR(VLOOKUP(LEFT(BI22,2),BASE!$C$96:$F$342,4,0),IFERROR(VLOOKUP(LEFT(BI22,1),BASE!$C$96:$F$342,4,0),BI22)))</f>
        <v>கு</v>
      </c>
      <c r="BU22" s="186" t="str">
        <f>(IFERROR(VLOOKUP(LEFT(BH22,2),BASE!$C$346:$F$592,4,0),IFERROR(VLOOKUP(LEFT(BH22,1),BASE!$C$346:$F$592,4,0),BH22)))</f>
        <v>ஒ</v>
      </c>
      <c r="BV22" s="186" t="str">
        <f>(IFERROR(VLOOKUP(LEFT(BG22,2),BASE!$C$346:$F$592,4,0),IFERROR(VLOOKUP(LEFT(BG22,1),BASE!$C$346:$F$592,4,0),BG22)))</f>
        <v>நெ</v>
      </c>
      <c r="BW22" s="186" t="str">
        <f>(IFERROR(VLOOKUP(LEFT(BF22,2),BASE!$C$346:$F$592,4,0),IFERROR(VLOOKUP(LEFT(BF22,1),BASE!$C$346:$F$592,4,0),BF22)))</f>
        <v>ஒ</v>
      </c>
      <c r="BX22" s="186" t="str">
        <f>(IFERROR(VLOOKUP(LEFT(BE22,2),BASE!$C$346:$F$592,4,0),IFERROR(VLOOKUP(LEFT(BE22,1),BASE!$C$346:$F$592,4,0),BE22)))</f>
        <v/>
      </c>
      <c r="BY22" s="186" t="str">
        <f>(IFERROR(VLOOKUP(LEFT(BD22,2),BASE!$C$346:$F$592,4,0),IFERROR(VLOOKUP(LEFT(BD22,1),BASE!$C$346:$F$592,4,0),BD22)))</f>
        <v/>
      </c>
      <c r="BZ22" s="186" t="str">
        <f>(IFERROR(VLOOKUP(LEFT(BC22,2),BASE!$C$346:$F$592,4,0),IFERROR(VLOOKUP(LEFT(BC22,1),BASE!$C$346:$F$592,4,0),BC22)))</f>
        <v/>
      </c>
      <c r="CA22" s="186" t="str">
        <f>(IFERROR(VLOOKUP(LEFT(BB22,2),BASE!$C$346:$F$592,4,0),IFERROR(VLOOKUP(LEFT(BB22,1),BASE!$C$346:$F$592,4,0),BB22)))</f>
        <v/>
      </c>
      <c r="CB22" s="186" t="str">
        <f>(IFERROR(VLOOKUP(LEFT(BA22,2),BASE!$C$346:$F$592,4,0),IFERROR(VLOOKUP(LEFT(BA22,1),BASE!$C$346:$F$592,4,0),BA22)))</f>
        <v/>
      </c>
      <c r="CC22" s="186" t="str">
        <f>(IFERROR(VLOOKUP(LEFT(AZ22,2),BASE!$C$346:$F$592,4,0),IFERROR(VLOOKUP(LEFT(AZ22,1),BASE!$C$346:$F$592,4,0),AZ22)))</f>
        <v/>
      </c>
      <c r="CD22" s="58" t="str">
        <f t="shared" si="5"/>
        <v>குஒநெஒ</v>
      </c>
      <c r="CE22" s="58" t="str">
        <f>IFERROR(VLOOKUP((LEFT(U22,4)),BASE!$E$12:$F$23,2,0),IFERROR(VLOOKUP((LEFT(U22,3)),BASE!$E$12:$F$23,2,0),IFERROR(VLOOKUP((LEFT(U22,2)),BASE!$E$12:$F$23,2,0),IFERROR(VLOOKUP((LEFT(U22,1)),BASE!$E$12:$F$23,2,0),U22))))</f>
        <v>நேர்</v>
      </c>
      <c r="CF22" s="58" t="str">
        <f>IFERROR(VLOOKUP((LEFT(T22,4)),BASE!$E$12:$F$24,2,0),IFERROR(VLOOKUP((LEFT(T22,3)),BASE!$E$12:$F$24,2,0),IFERROR(VLOOKUP((LEFT(T22,2)),BASE!$E$12:$F$24,2,0),IFERROR(VLOOKUP((LEFT(T22,1)),BASE!$E$12:$F$24,2,0),T22))))</f>
        <v>நேர்</v>
      </c>
      <c r="CG22" s="58" t="str">
        <f>IFERROR(VLOOKUP((LEFT(S22,4)),BASE!$E$12:$F$23,2,0),IFERROR(VLOOKUP((LEFT(S22,3)),BASE!$E$12:$F$23,2,0),IFERROR(VLOOKUP((LEFT(S22,2)),BASE!$E$12:$F$23,2,0),IFERROR(VLOOKUP((LEFT(S22,1)),BASE!$E$12:$F$23,2,0),S22))))</f>
        <v/>
      </c>
      <c r="CH22" s="58" t="str">
        <f>IFERROR(VLOOKUP((LEFT(R22,4)),BASE!$E$12:$F$23,2,0),IFERROR(VLOOKUP((LEFT(R22,3)),BASE!$E$12:$F$23,2,0),IFERROR(VLOOKUP((LEFT(R22,2)),BASE!$E$12:$F$23,2,0),IFERROR(VLOOKUP((LEFT(R22,1)),BASE!$E$12:$F$23,2,0),R22))))</f>
        <v/>
      </c>
      <c r="CI22" s="58" t="str">
        <f>IFERROR(VLOOKUP((LEFT(Q22,4)),BASE!$E$12:$F$23,2,0),IFERROR(VLOOKUP((LEFT(Q22,3)),BASE!$E$12:$F$23,2,0),IFERROR(VLOOKUP((LEFT(Q22,2)),BASE!$E$12:$F$23,2,0),IFERROR(VLOOKUP((LEFT(Q22,1)),BASE!$E$12:$F$23,2,0),Q22))))</f>
        <v/>
      </c>
      <c r="CJ22" s="58" t="str">
        <f>IFERROR(VLOOKUP((LEFT(P22,4)),BASE!$E$12:$F$23,2,0),IFERROR(VLOOKUP((LEFT(P22,3)),BASE!$E$12:$F$23,2,0),IFERROR(VLOOKUP((LEFT(P22,2)),BASE!$E$12:$F$23,2,0),IFERROR(VLOOKUP((LEFT(P22,1)),BASE!$E$12:$F$23,2,0),P22))))</f>
        <v/>
      </c>
      <c r="CK22" s="58" t="str">
        <f>IFERROR(VLOOKUP((LEFT(O22,4)),BASE!$E$12:$F$23,2,0),IFERROR(VLOOKUP((LEFT(O22,3)),BASE!$E$12:$F$23,2,0),IFERROR(VLOOKUP((LEFT(O22,2)),BASE!$E$12:$F$23,2,0),IFERROR(VLOOKUP((LEFT(O22,1)),BASE!$E$12:$F$23,2,0),O22))))</f>
        <v/>
      </c>
      <c r="CL22" s="58" t="str">
        <f>IFERROR(VLOOKUP((LEFT(N22,4)),BASE!$E$12:$F$23,2,0),IFERROR(VLOOKUP((LEFT(N22,3)),BASE!$E$12:$F$23,2,0),IFERROR(VLOOKUP((LEFT(N22,2)),BASE!$E$12:$F$23,2,0),IFERROR(VLOOKUP((LEFT(N22,1)),BASE!$E$12:$F$23,2,0),N22))))</f>
        <v/>
      </c>
      <c r="CM22" s="58" t="str">
        <f>IFERROR(VLOOKUP((LEFT(M22,4)),BASE!$E$12:$F$23,2,0),IFERROR(VLOOKUP((LEFT(M22,3)),BASE!$E$12:$F$23,2,0),IFERROR(VLOOKUP((LEFT(M22,2)),BASE!$E$12:$F$23,2,0),IFERROR(VLOOKUP((LEFT(M22,1)),BASE!$E$12:$F$23,2,0),M22))))</f>
        <v/>
      </c>
      <c r="CN22" s="58" t="str">
        <f>IFERROR(VLOOKUP((LEFT(L22,4)),BASE!$E$12:$F$23,2,0),IFERROR(VLOOKUP((LEFT(L22,3)),BASE!$E$12:$F$23,2,0),IFERROR(VLOOKUP((LEFT(L22,2)),BASE!$E$12:$F$23,2,0),IFERROR(VLOOKUP((LEFT(L22,1)),BASE!$E$12:$F$23,2,0),L22))))</f>
        <v/>
      </c>
      <c r="CO22" s="58" t="str">
        <f t="shared" si="6"/>
        <v>நேர்நேர்</v>
      </c>
      <c r="CP22" s="58" t="str">
        <f>VLOOKUP(CO22,BASE!$E$25:$F$79,2,0)</f>
        <v>தேமா</v>
      </c>
      <c r="CQ22" s="58" t="str">
        <f>VLOOKUP(CO22,BASE!$E$25:$G$79,3,0)&amp;CE23</f>
        <v>மாநிரை</v>
      </c>
      <c r="CR22" s="58" t="str">
        <f>VLOOKUP(CQ22,BASE!$E$86:$G$93,2,0)</f>
        <v>மாமுன் நிரை</v>
      </c>
      <c r="CS22" s="58" t="str">
        <f>VLOOKUP(CQ22,BASE!$E$86:$G$93,3,0)</f>
        <v>இயற்சீர் வெண்டளை</v>
      </c>
      <c r="CT22" s="58" t="str">
        <f t="shared" si="7"/>
        <v>மூவசைக்கு மிகவில்லை</v>
      </c>
      <c r="CU22" s="58" t="str">
        <f t="shared" si="8"/>
        <v>சரி</v>
      </c>
      <c r="CV22" s="193"/>
    </row>
    <row r="23" spans="1:100" ht="19.5" customHeight="1" x14ac:dyDescent="0.35">
      <c r="A23" s="119"/>
      <c r="B23" s="12">
        <f>IFERROR(VLOOKUP((LEFT(L23,4)),BASE!$E$12:$F$23,1,0),IFERROR(VLOOKUP((LEFT(L23,3)),BASE!$E$12:$F$23,1,0),IFERROR(VLOOKUP((LEFT(L23,2)),BASE!$E$12:$F$23,1,0),IFERROR(VLOOKUP((LEFT(L23,1)),BASE!$E$12:$F$23,1,0),100))))</f>
        <v>100</v>
      </c>
      <c r="C23" s="12">
        <f>IFERROR(VLOOKUP((LEFT(M23,4)),BASE!$E$12:$F$23,1,0),IFERROR(VLOOKUP((LEFT(M23,3)),BASE!$E$12:$F$23,1,0),IFERROR(VLOOKUP((LEFT(M23,2)),BASE!$E$12:$F$23,1,0),IFERROR(VLOOKUP((LEFT(M23,1)),BASE!$E$12:$F$23,1,0),100))))</f>
        <v>100</v>
      </c>
      <c r="D23" s="12">
        <f>IFERROR(VLOOKUP((LEFT(N23,4)),BASE!$E$12:$F$23,1,0),IFERROR(VLOOKUP((LEFT(N23,3)),BASE!$E$12:$F$23,1,0),IFERROR(VLOOKUP((LEFT(N23,2)),BASE!$E$12:$F$23,1,0),IFERROR(VLOOKUP((LEFT(N23,1)),BASE!$E$12:$F$23,1,0),100))))</f>
        <v>100</v>
      </c>
      <c r="E23" s="12">
        <f>IFERROR(VLOOKUP((LEFT(O23,4)),BASE!$E$12:$F$23,1,0),IFERROR(VLOOKUP((LEFT(O23,3)),BASE!$E$12:$F$23,1,0),IFERROR(VLOOKUP((LEFT(O23,2)),BASE!$E$12:$F$23,1,0),IFERROR(VLOOKUP((LEFT(O23,1)),BASE!$E$12:$F$23,1,0),100))))</f>
        <v>100</v>
      </c>
      <c r="F23" s="12">
        <f>IFERROR(VLOOKUP((LEFT(P23,4)),BASE!$E$12:$F$23,1,0),IFERROR(VLOOKUP((LEFT(P23,3)),BASE!$E$12:$F$23,1,0),IFERROR(VLOOKUP((LEFT(P23,2)),BASE!$E$12:$F$23,1,0),IFERROR(VLOOKUP((LEFT(P23,1)),BASE!$E$12:$F$23,1,0),100))))</f>
        <v>100</v>
      </c>
      <c r="G23" s="12">
        <f>IFERROR(VLOOKUP((LEFT(Q23,4)),BASE!$E$12:$F$23,1,0),IFERROR(VLOOKUP((LEFT(Q23,3)),BASE!$E$12:$F$23,1,0),IFERROR(VLOOKUP((LEFT(Q23,2)),BASE!$E$12:$F$23,1,0),IFERROR(VLOOKUP((LEFT(Q23,1)),BASE!$E$12:$F$23,1,0),100))))</f>
        <v>100</v>
      </c>
      <c r="H23" s="12">
        <f>IFERROR(VLOOKUP((LEFT(R23,4)),BASE!$E$12:$F$23,1,0),IFERROR(VLOOKUP((LEFT(R23,3)),BASE!$E$12:$F$23,1,0),IFERROR(VLOOKUP((LEFT(R23,2)),BASE!$E$12:$F$23,1,0),IFERROR(VLOOKUP((LEFT(R23,1)),BASE!$E$12:$F$23,1,0),100))))</f>
        <v>100</v>
      </c>
      <c r="I23" s="12" t="str">
        <f>IFERROR(VLOOKUP((LEFT(S23,4)),BASE!$E$12:$F$23,1,0),IFERROR(VLOOKUP((LEFT(S23,3)),BASE!$E$12:$F$23,1,0),IFERROR(VLOOKUP((LEFT(S23,2)),BASE!$E$12:$F$23,1,0),IFERROR(VLOOKUP((LEFT(S23,1)),BASE!$E$12:$F$23,1,0),100))))</f>
        <v>ko</v>
      </c>
      <c r="J23" s="12" t="str">
        <f>IFERROR(VLOOKUP((LEFT(T23,4)),BASE!$E$12:$F$24,1,0),IFERROR(VLOOKUP((LEFT(T23,3)),BASE!$E$12:$F$24,1,0),IFERROR(VLOOKUP((LEFT(T23,2)),BASE!$E$12:$F$24,1,0),IFERROR(VLOOKUP((LEFT(T23,1)),BASE!$E$12:$F$24,1,0),100))))</f>
        <v>kk</v>
      </c>
      <c r="K23" s="12" t="str">
        <f>IFERROR(VLOOKUP((LEFT(U23,4)),BASE!$E$12:$F$23,1,0),IFERROR(VLOOKUP((LEFT(U23,3)),BASE!$E$12:$F$23,1,0),IFERROR(VLOOKUP((LEFT(U23,2)),BASE!$E$12:$F$23,1,0),IFERROR(VLOOKUP((LEFT(U23,1)),BASE!$E$12:$F$23,1,0),100))))</f>
        <v>kko</v>
      </c>
      <c r="L23" s="14" t="str">
        <f t="shared" si="9"/>
        <v/>
      </c>
      <c r="M23" s="14" t="str">
        <f t="shared" si="10"/>
        <v/>
      </c>
      <c r="N23" s="14" t="str">
        <f t="shared" si="11"/>
        <v/>
      </c>
      <c r="O23" s="14" t="str">
        <f t="shared" si="12"/>
        <v/>
      </c>
      <c r="P23" s="14" t="str">
        <f t="shared" si="13"/>
        <v/>
      </c>
      <c r="Q23" s="14" t="str">
        <f t="shared" si="14"/>
        <v/>
      </c>
      <c r="R23" s="14" t="str">
        <f t="shared" si="15"/>
        <v/>
      </c>
      <c r="S23" s="14" t="str">
        <f t="shared" si="16"/>
        <v>ko</v>
      </c>
      <c r="T23" s="14" t="str">
        <f t="shared" si="17"/>
        <v>kkko</v>
      </c>
      <c r="U23" s="14" t="str">
        <f t="shared" si="1"/>
        <v>kkokkko</v>
      </c>
      <c r="V23" s="13">
        <f>IFERROR(VLOOKUP(LEFT(AZ23,2),BASE!$C$96:$E$342,3,0),IFERROR(VLOOKUP(LEFT(AZ23,1),BASE!$C$96:$E$342,3,0),100))</f>
        <v>100</v>
      </c>
      <c r="W23" s="13">
        <f>IFERROR(VLOOKUP(LEFT(BA23,2),BASE!$C$96:$E$342,3,0),IFERROR(VLOOKUP(LEFT(BA23,1),BASE!$C$96:$E$342,3,0),100))</f>
        <v>100</v>
      </c>
      <c r="X23" s="13">
        <f>IFERROR(VLOOKUP(LEFT(BB23,2),BASE!$C$96:$E$342,3,0),IFERROR(VLOOKUP(LEFT(BB23,1),BASE!$C$96:$E$342,3,0),100))</f>
        <v>100</v>
      </c>
      <c r="Y23" s="13">
        <f>IFERROR(VLOOKUP(LEFT(BC23,2),BASE!$C$96:$E$342,3,0),IFERROR(VLOOKUP(LEFT(BC23,1),BASE!$C$96:$E$342,3,0),100))</f>
        <v>2</v>
      </c>
      <c r="Z23" s="13">
        <f>IFERROR(VLOOKUP(LEFT(BD23,2),BASE!$C$96:$E$342,3,0),IFERROR(VLOOKUP(LEFT(BD23,1),BASE!$C$96:$E$342,3,0),100))</f>
        <v>1</v>
      </c>
      <c r="AA23" s="13">
        <f>IFERROR(VLOOKUP(LEFT(BE23,2),BASE!$C$96:$E$342,3,0),IFERROR(VLOOKUP(LEFT(BE23,1),BASE!$C$96:$E$342,3,0),100))</f>
        <v>2</v>
      </c>
      <c r="AB23" s="13">
        <f>IFERROR(VLOOKUP(LEFT(BF23,2),BASE!$C$96:$E$342,3,0),IFERROR(VLOOKUP(LEFT(BF23,1),BASE!$C$96:$E$342,3,0),100))</f>
        <v>2</v>
      </c>
      <c r="AC23" s="13">
        <f>IFERROR(VLOOKUP(LEFT(BG23,2),BASE!$C$96:$E$342,3,0),IFERROR(VLOOKUP(LEFT(BG23,1),BASE!$C$96:$E$342,3,0),100))</f>
        <v>2</v>
      </c>
      <c r="AD23" s="13">
        <f>IFERROR(VLOOKUP(LEFT(BH23,2),BASE!$C$96:$E$342,3,0),IFERROR(VLOOKUP(LEFT(BH23,1),BASE!$C$96:$E$342,3,0),100))</f>
        <v>1</v>
      </c>
      <c r="AE23" s="13">
        <f>IFERROR(VLOOKUP(LEFT(BI23,2),BASE!$C$96:$E$342,3,0),IFERROR(VLOOKUP(LEFT(BI23,1),BASE!$C$96:$E$342,3,0),100))</f>
        <v>2</v>
      </c>
      <c r="AF23" s="187" t="str">
        <f>IF(AND(BS23=BR23,AG23="o"),"A", (IFERROR(VLOOKUP(LEFT(AZ23,2),BASE!$C$346:$D$592,2,0),IFERROR(VLOOKUP(LEFT(AZ23,1),BASE!$C$346:$D$5922,2,0),AZ23))))</f>
        <v/>
      </c>
      <c r="AG23" s="187" t="str">
        <f>IF(AND(BR23=BQ23,AH23="o"),"A", (IFERROR(VLOOKUP(LEFT(BA23,2),BASE!$C$346:$D$592,2,0),IFERROR(VLOOKUP(LEFT(BA23,1),BASE!$C$346:$D$592,2,0),BA23))))</f>
        <v/>
      </c>
      <c r="AH23" s="187" t="str">
        <f>IF(AND(BQ23=BP23,AI23="o"),"A", (IFERROR(VLOOKUP(LEFT(BB23,2),BASE!$C$346:$D$592,2,0),IFERROR(VLOOKUP(LEFT(BB23,1),BASE!$C$346:$D$592,2,0),BB23))))</f>
        <v/>
      </c>
      <c r="AI23" s="187" t="str">
        <f>IF(AND(BP23=BO23,AJ23="o"),"A", (IFERROR(VLOOKUP(LEFT(BC23,2),BASE!$C$346:$D$592,2,0),IFERROR(VLOOKUP(LEFT(BC23,1),BASE!$C$346:$D$592,2,0),BC23))))</f>
        <v>o</v>
      </c>
      <c r="AJ23" s="187" t="str">
        <f>IF(AND(BO23=BN23,AK23="o"),"A", (IFERROR(VLOOKUP(LEFT(BD23,2),BASE!$C$346:$D$592,2,0),IFERROR(VLOOKUP(LEFT(BD23,1),BASE!$C$346:$D$592,2,0),BD23))))</f>
        <v>k</v>
      </c>
      <c r="AK23" s="187" t="str">
        <f>IF(AND(BN23=BM23,AL23="o"),"A", (IFERROR(VLOOKUP(LEFT(BE23,2),BASE!$C$346:$D$592,2,0),IFERROR(VLOOKUP(LEFT(BE23,1),BASE!$C$346:$D$592,2,0),BE23))))</f>
        <v>k</v>
      </c>
      <c r="AL23" s="187" t="str">
        <f>IF(AND(BM23=BL23,AM23="o"),"A", (IFERROR(VLOOKUP(LEFT(BF23,2),BASE!$C$346:$D$592,2,0),IFERROR(VLOOKUP(LEFT(BF23,1),BASE!$C$346:$D$592,2,0),BF23))))</f>
        <v>k</v>
      </c>
      <c r="AM23" s="187" t="str">
        <f>IF(AND(BL23=BK23,AN23="o"),"A",(IFERROR(VLOOKUP(LEFT(BG23,2),BASE!$C$346:$D$592,2,0),IFERROR(VLOOKUP(LEFT(BG23,1),BASE!$C$346:$D$592,2,0),BG23))))</f>
        <v>o</v>
      </c>
      <c r="AN23" s="187" t="str">
        <f>(IFERROR(VLOOKUP(LEFT(BH23,2),BASE!$C$346:$D$592,2,0),IFERROR(VLOOKUP(LEFT(BH23,1),BASE!$C$346:$D$592,2,0),BH23)))</f>
        <v>k</v>
      </c>
      <c r="AO23" s="187" t="str">
        <f>(IFERROR(VLOOKUP(LEFT(BI23,2),BASE!$C$96:$D$342,2,0),IFERROR(VLOOKUP(LEFT(BI23,1),BASE!$C$96:$D$342,2,0),BI23)))</f>
        <v>k</v>
      </c>
      <c r="AP23" s="5">
        <f t="shared" si="18"/>
        <v>12</v>
      </c>
      <c r="AQ23" s="5">
        <f t="shared" si="19"/>
        <v>12</v>
      </c>
      <c r="AR23" s="5">
        <f t="shared" si="20"/>
        <v>12</v>
      </c>
      <c r="AS23" s="5">
        <f t="shared" si="21"/>
        <v>12</v>
      </c>
      <c r="AT23" s="5">
        <f t="shared" si="22"/>
        <v>12</v>
      </c>
      <c r="AU23" s="5">
        <f t="shared" si="23"/>
        <v>12</v>
      </c>
      <c r="AV23" s="5">
        <f t="shared" si="24"/>
        <v>12</v>
      </c>
      <c r="AW23" s="5">
        <f t="shared" si="25"/>
        <v>12</v>
      </c>
      <c r="AX23" s="5">
        <f t="shared" si="26"/>
        <v>12</v>
      </c>
      <c r="AY23" s="5">
        <f t="shared" si="3"/>
        <v>12</v>
      </c>
      <c r="AZ23" s="12" t="str">
        <f t="shared" si="27"/>
        <v/>
      </c>
      <c r="BA23" s="12" t="str">
        <f t="shared" si="28"/>
        <v/>
      </c>
      <c r="BB23" s="12" t="str">
        <f t="shared" si="29"/>
        <v/>
      </c>
      <c r="BC23" s="12" t="str">
        <f t="shared" si="30"/>
        <v>ல்</v>
      </c>
      <c r="BD23" s="12" t="str">
        <f t="shared" si="31"/>
        <v>தல்</v>
      </c>
      <c r="BE23" s="12" t="str">
        <f t="shared" si="32"/>
        <v>டுதல்</v>
      </c>
      <c r="BF23" s="12" t="str">
        <f t="shared" si="33"/>
        <v>விடுதல்</v>
      </c>
      <c r="BG23" s="12" t="str">
        <f t="shared" si="34"/>
        <v>ர்விடுதல்</v>
      </c>
      <c r="BH23" s="43" t="str">
        <f t="shared" si="35"/>
        <v>டர்விடுதல்</v>
      </c>
      <c r="BI23" s="57" t="str">
        <f>CD10</f>
        <v>தொடர்விடுதல்</v>
      </c>
      <c r="BJ23" s="58" t="str">
        <f>IFERROR(VLOOKUP(LEFT(BI23,2),BASE!$C$96:$F$342,1,0),IFERROR(VLOOKUP(LEFT(BI23,1),BASE!$C$96:$F$342,1,0),BI23))</f>
        <v>தொ</v>
      </c>
      <c r="BK23" s="58" t="str">
        <f>IFERROR(VLOOKUP(LEFT(BH23,2),BASE!$C$96:$D$342,1,0),IFERROR(VLOOKUP(LEFT(BH23,1),BASE!$C$96:$D$342,1,0),BH23))</f>
        <v>ட</v>
      </c>
      <c r="BL23" s="58" t="str">
        <f>IFERROR(VLOOKUP(LEFT(BG23,2),BASE!$C$96:$D$342,1,0),IFERROR(VLOOKUP(LEFT(BG23,1),BASE!$C$96:$D$342,1,0),BG23))</f>
        <v>ர்</v>
      </c>
      <c r="BM23" s="58" t="str">
        <f>IFERROR(VLOOKUP(LEFT(BF23,2),BASE!$C$96:$D$342,1,0),IFERROR(VLOOKUP(LEFT(BF23,1),BASE!$C$96:$D$342,1,0),BF23))</f>
        <v>வி</v>
      </c>
      <c r="BN23" s="58" t="str">
        <f>IFERROR(VLOOKUP(LEFT(BE23,2),BASE!$C$96:$D$342,1,0),IFERROR(VLOOKUP(LEFT(BE23,1),BASE!$C$96:$D$342,1,0),BE23))</f>
        <v>டு</v>
      </c>
      <c r="BO23" s="58" t="str">
        <f>IFERROR(VLOOKUP(LEFT(BD23,2),BASE!$C$96:$D$342,1,0),IFERROR(VLOOKUP(LEFT(BD23,1),BASE!$C$96:$D$342,1,0),BD23))</f>
        <v>த</v>
      </c>
      <c r="BP23" s="58" t="str">
        <f>IFERROR(VLOOKUP(LEFT(BC23,2),BASE!$C$96:$D$342,1,0),IFERROR(VLOOKUP(LEFT(BC23,1),BASE!$C$96:$D$342,1,0),BC23))</f>
        <v>ல்</v>
      </c>
      <c r="BQ23" s="58" t="str">
        <f>IFERROR(VLOOKUP(LEFT(BB23,2),BASE!$C$96:$D$342,1,0),IFERROR(VLOOKUP(LEFT(BB23,1),BASE!$C$96:$D$342,1,0),BB23))</f>
        <v/>
      </c>
      <c r="BR23" s="58" t="str">
        <f>IFERROR(VLOOKUP(LEFT(BA23,2),BASE!$C$96:$D$342,1,0),IFERROR(VLOOKUP(LEFT(BA23,1),BASE!$C$96:$D$342,1,0),BA23))</f>
        <v/>
      </c>
      <c r="BS23" s="58" t="str">
        <f>IFERROR(VLOOKUP(LEFT(AZ23,2),BASE!$C$96:$D$342,1,0),IFERROR(VLOOKUP(LEFT(AZ23,1),BASE!$C$96:$D$342,1,0),AZ23))</f>
        <v/>
      </c>
      <c r="BT23" s="186" t="str">
        <f>(IFERROR(VLOOKUP(LEFT(BI23,2),BASE!$C$96:$F$342,4,0),IFERROR(VLOOKUP(LEFT(BI23,1),BASE!$C$96:$F$342,4,0),BI23)))</f>
        <v>கு</v>
      </c>
      <c r="BU23" s="186" t="str">
        <f>(IFERROR(VLOOKUP(LEFT(BH23,2),BASE!$C$346:$F$592,4,0),IFERROR(VLOOKUP(LEFT(BH23,1),BASE!$C$346:$F$592,4,0),BH23)))</f>
        <v>கு</v>
      </c>
      <c r="BV23" s="186" t="str">
        <f>(IFERROR(VLOOKUP(LEFT(BG23,2),BASE!$C$346:$F$592,4,0),IFERROR(VLOOKUP(LEFT(BG23,1),BASE!$C$346:$F$592,4,0),BG23)))</f>
        <v>ஒ</v>
      </c>
      <c r="BW23" s="186" t="str">
        <f>(IFERROR(VLOOKUP(LEFT(BF23,2),BASE!$C$346:$F$592,4,0),IFERROR(VLOOKUP(LEFT(BF23,1),BASE!$C$346:$F$592,4,0),BF23)))</f>
        <v>கு</v>
      </c>
      <c r="BX23" s="186" t="str">
        <f>(IFERROR(VLOOKUP(LEFT(BE23,2),BASE!$C$346:$F$592,4,0),IFERROR(VLOOKUP(LEFT(BE23,1),BASE!$C$346:$F$592,4,0),BE23)))</f>
        <v>கு</v>
      </c>
      <c r="BY23" s="186" t="str">
        <f>(IFERROR(VLOOKUP(LEFT(BD23,2),BASE!$C$346:$F$592,4,0),IFERROR(VLOOKUP(LEFT(BD23,1),BASE!$C$346:$F$592,4,0),BD23)))</f>
        <v>கு</v>
      </c>
      <c r="BZ23" s="186" t="str">
        <f>(IFERROR(VLOOKUP(LEFT(BC23,2),BASE!$C$346:$F$592,4,0),IFERROR(VLOOKUP(LEFT(BC23,1),BASE!$C$346:$F$592,4,0),BC23)))</f>
        <v>ஒ</v>
      </c>
      <c r="CA23" s="186" t="str">
        <f>(IFERROR(VLOOKUP(LEFT(BB23,2),BASE!$C$346:$F$592,4,0),IFERROR(VLOOKUP(LEFT(BB23,1),BASE!$C$346:$F$592,4,0),BB23)))</f>
        <v/>
      </c>
      <c r="CB23" s="186" t="str">
        <f>(IFERROR(VLOOKUP(LEFT(BA23,2),BASE!$C$346:$F$592,4,0),IFERROR(VLOOKUP(LEFT(BA23,1),BASE!$C$346:$F$592,4,0),BA23)))</f>
        <v/>
      </c>
      <c r="CC23" s="186" t="str">
        <f>(IFERROR(VLOOKUP(LEFT(AZ23,2),BASE!$C$346:$F$592,4,0),IFERROR(VLOOKUP(LEFT(AZ23,1),BASE!$C$346:$F$592,4,0),AZ23)))</f>
        <v/>
      </c>
      <c r="CD23" s="58" t="str">
        <f t="shared" si="5"/>
        <v>குகுஒகுகுகுஒ</v>
      </c>
      <c r="CE23" s="58" t="str">
        <f>IFERROR(VLOOKUP((LEFT(U23,4)),BASE!$E$12:$F$23,2,0),IFERROR(VLOOKUP((LEFT(U23,3)),BASE!$E$12:$F$23,2,0),IFERROR(VLOOKUP((LEFT(U23,2)),BASE!$E$12:$F$23,2,0),IFERROR(VLOOKUP((LEFT(U23,1)),BASE!$E$12:$F$23,2,0),U23))))</f>
        <v>நிரை</v>
      </c>
      <c r="CF23" s="58" t="str">
        <f>IFERROR(VLOOKUP((LEFT(T23,4)),BASE!$E$12:$F$24,2,0),IFERROR(VLOOKUP((LEFT(T23,3)),BASE!$E$12:$F$24,2,0),IFERROR(VLOOKUP((LEFT(T23,2)),BASE!$E$12:$F$24,2,0),IFERROR(VLOOKUP((LEFT(T23,1)),BASE!$E$12:$F$24,2,0),T23))))</f>
        <v>நிரை</v>
      </c>
      <c r="CG23" s="58" t="str">
        <f>IFERROR(VLOOKUP((LEFT(S23,4)),BASE!$E$12:$F$23,2,0),IFERROR(VLOOKUP((LEFT(S23,3)),BASE!$E$12:$F$23,2,0),IFERROR(VLOOKUP((LEFT(S23,2)),BASE!$E$12:$F$23,2,0),IFERROR(VLOOKUP((LEFT(S23,1)),BASE!$E$12:$F$23,2,0),S23))))</f>
        <v>நேர்</v>
      </c>
      <c r="CH23" s="58" t="str">
        <f>IFERROR(VLOOKUP((LEFT(R23,4)),BASE!$E$12:$F$23,2,0),IFERROR(VLOOKUP((LEFT(R23,3)),BASE!$E$12:$F$23,2,0),IFERROR(VLOOKUP((LEFT(R23,2)),BASE!$E$12:$F$23,2,0),IFERROR(VLOOKUP((LEFT(R23,1)),BASE!$E$12:$F$23,2,0),R23))))</f>
        <v/>
      </c>
      <c r="CI23" s="58" t="str">
        <f>IFERROR(VLOOKUP((LEFT(Q23,4)),BASE!$E$12:$F$23,2,0),IFERROR(VLOOKUP((LEFT(Q23,3)),BASE!$E$12:$F$23,2,0),IFERROR(VLOOKUP((LEFT(Q23,2)),BASE!$E$12:$F$23,2,0),IFERROR(VLOOKUP((LEFT(Q23,1)),BASE!$E$12:$F$23,2,0),Q23))))</f>
        <v/>
      </c>
      <c r="CJ23" s="58" t="str">
        <f>IFERROR(VLOOKUP((LEFT(P23,4)),BASE!$E$12:$F$23,2,0),IFERROR(VLOOKUP((LEFT(P23,3)),BASE!$E$12:$F$23,2,0),IFERROR(VLOOKUP((LEFT(P23,2)),BASE!$E$12:$F$23,2,0),IFERROR(VLOOKUP((LEFT(P23,1)),BASE!$E$12:$F$23,2,0),P23))))</f>
        <v/>
      </c>
      <c r="CK23" s="58" t="str">
        <f>IFERROR(VLOOKUP((LEFT(O23,4)),BASE!$E$12:$F$23,2,0),IFERROR(VLOOKUP((LEFT(O23,3)),BASE!$E$12:$F$23,2,0),IFERROR(VLOOKUP((LEFT(O23,2)),BASE!$E$12:$F$23,2,0),IFERROR(VLOOKUP((LEFT(O23,1)),BASE!$E$12:$F$23,2,0),O23))))</f>
        <v/>
      </c>
      <c r="CL23" s="58" t="str">
        <f>IFERROR(VLOOKUP((LEFT(N23,4)),BASE!$E$12:$F$23,2,0),IFERROR(VLOOKUP((LEFT(N23,3)),BASE!$E$12:$F$23,2,0),IFERROR(VLOOKUP((LEFT(N23,2)),BASE!$E$12:$F$23,2,0),IFERROR(VLOOKUP((LEFT(N23,1)),BASE!$E$12:$F$23,2,0),N23))))</f>
        <v/>
      </c>
      <c r="CM23" s="58" t="str">
        <f>IFERROR(VLOOKUP((LEFT(M23,4)),BASE!$E$12:$F$23,2,0),IFERROR(VLOOKUP((LEFT(M23,3)),BASE!$E$12:$F$23,2,0),IFERROR(VLOOKUP((LEFT(M23,2)),BASE!$E$12:$F$23,2,0),IFERROR(VLOOKUP((LEFT(M23,1)),BASE!$E$12:$F$23,2,0),M23))))</f>
        <v/>
      </c>
      <c r="CN23" s="58" t="str">
        <f>IFERROR(VLOOKUP((LEFT(L23,4)),BASE!$E$12:$F$23,2,0),IFERROR(VLOOKUP((LEFT(L23,3)),BASE!$E$12:$F$23,2,0),IFERROR(VLOOKUP((LEFT(L23,2)),BASE!$E$12:$F$23,2,0),IFERROR(VLOOKUP((LEFT(L23,1)),BASE!$E$12:$F$23,2,0),L23))))</f>
        <v/>
      </c>
      <c r="CO23" s="58" t="str">
        <f t="shared" si="6"/>
        <v>நிரைநிரைநேர்</v>
      </c>
      <c r="CP23" s="58" t="str">
        <f>VLOOKUP(CO23,BASE!$E$25:$F$79,2,0)</f>
        <v>கருவிளங்காய்</v>
      </c>
      <c r="CQ23" s="58" t="str">
        <f>VLOOKUP(CO23,BASE!$E$25:$G$79,3,0)&amp;CE24</f>
        <v>காய்நேர்</v>
      </c>
      <c r="CR23" s="58" t="str">
        <f>VLOOKUP(CQ23,BASE!$E$86:$G$93,2,0)</f>
        <v>காய் முன் நேர்</v>
      </c>
      <c r="CS23" s="58" t="str">
        <f>VLOOKUP(CQ23,BASE!$E$86:$G$93,3,0)</f>
        <v>வெண்சீர் வெண்டளை</v>
      </c>
      <c r="CT23" s="58" t="str">
        <f t="shared" si="7"/>
        <v>மூவசைக்கு மிகவில்லை</v>
      </c>
      <c r="CU23" s="58" t="str">
        <f t="shared" si="8"/>
        <v>சரி</v>
      </c>
      <c r="CV23" s="193"/>
    </row>
    <row r="24" spans="1:100" ht="19.5" customHeight="1" x14ac:dyDescent="0.35">
      <c r="A24" s="119"/>
      <c r="B24" s="12">
        <f>IFERROR(VLOOKUP((LEFT(L24,4)),BASE!$E$12:$F$23,1,0),IFERROR(VLOOKUP((LEFT(L24,3)),BASE!$E$12:$F$23,1,0),IFERROR(VLOOKUP((LEFT(L24,2)),BASE!$E$12:$F$23,1,0),IFERROR(VLOOKUP((LEFT(L24,1)),BASE!$E$12:$F$23,1,0),100))))</f>
        <v>100</v>
      </c>
      <c r="C24" s="12">
        <f>IFERROR(VLOOKUP((LEFT(M24,4)),BASE!$E$12:$F$23,1,0),IFERROR(VLOOKUP((LEFT(M24,3)),BASE!$E$12:$F$23,1,0),IFERROR(VLOOKUP((LEFT(M24,2)),BASE!$E$12:$F$23,1,0),IFERROR(VLOOKUP((LEFT(M24,1)),BASE!$E$12:$F$23,1,0),100))))</f>
        <v>100</v>
      </c>
      <c r="D24" s="12">
        <f>IFERROR(VLOOKUP((LEFT(N24,4)),BASE!$E$12:$F$23,1,0),IFERROR(VLOOKUP((LEFT(N24,3)),BASE!$E$12:$F$23,1,0),IFERROR(VLOOKUP((LEFT(N24,2)),BASE!$E$12:$F$23,1,0),IFERROR(VLOOKUP((LEFT(N24,1)),BASE!$E$12:$F$23,1,0),100))))</f>
        <v>100</v>
      </c>
      <c r="E24" s="12">
        <f>IFERROR(VLOOKUP((LEFT(O24,4)),BASE!$E$12:$F$23,1,0),IFERROR(VLOOKUP((LEFT(O24,3)),BASE!$E$12:$F$23,1,0),IFERROR(VLOOKUP((LEFT(O24,2)),BASE!$E$12:$F$23,1,0),IFERROR(VLOOKUP((LEFT(O24,1)),BASE!$E$12:$F$23,1,0),100))))</f>
        <v>100</v>
      </c>
      <c r="F24" s="12">
        <f>IFERROR(VLOOKUP((LEFT(P24,4)),BASE!$E$12:$F$23,1,0),IFERROR(VLOOKUP((LEFT(P24,3)),BASE!$E$12:$F$23,1,0),IFERROR(VLOOKUP((LEFT(P24,2)),BASE!$E$12:$F$23,1,0),IFERROR(VLOOKUP((LEFT(P24,1)),BASE!$E$12:$F$23,1,0),100))))</f>
        <v>100</v>
      </c>
      <c r="G24" s="12">
        <f>IFERROR(VLOOKUP((LEFT(Q24,4)),BASE!$E$12:$F$23,1,0),IFERROR(VLOOKUP((LEFT(Q24,3)),BASE!$E$12:$F$23,1,0),IFERROR(VLOOKUP((LEFT(Q24,2)),BASE!$E$12:$F$23,1,0),IFERROR(VLOOKUP((LEFT(Q24,1)),BASE!$E$12:$F$23,1,0),100))))</f>
        <v>100</v>
      </c>
      <c r="H24" s="12">
        <f>IFERROR(VLOOKUP((LEFT(R24,4)),BASE!$E$12:$F$23,1,0),IFERROR(VLOOKUP((LEFT(R24,3)),BASE!$E$12:$F$23,1,0),IFERROR(VLOOKUP((LEFT(R24,2)),BASE!$E$12:$F$23,1,0),IFERROR(VLOOKUP((LEFT(R24,1)),BASE!$E$12:$F$23,1,0),100))))</f>
        <v>100</v>
      </c>
      <c r="I24" s="12">
        <f>IFERROR(VLOOKUP((LEFT(S24,4)),BASE!$E$12:$F$23,1,0),IFERROR(VLOOKUP((LEFT(S24,3)),BASE!$E$12:$F$23,1,0),IFERROR(VLOOKUP((LEFT(S24,2)),BASE!$E$12:$F$23,1,0),IFERROR(VLOOKUP((LEFT(S24,1)),BASE!$E$12:$F$23,1,0),100))))</f>
        <v>100</v>
      </c>
      <c r="J24" s="12" t="str">
        <f>IFERROR(VLOOKUP((LEFT(T24,4)),BASE!$E$12:$F$24,1,0),IFERROR(VLOOKUP((LEFT(T24,3)),BASE!$E$12:$F$24,1,0),IFERROR(VLOOKUP((LEFT(T24,2)),BASE!$E$12:$F$24,1,0),IFERROR(VLOOKUP((LEFT(T24,1)),BASE!$E$12:$F$24,1,0),100))))</f>
        <v>no</v>
      </c>
      <c r="K24" s="12" t="str">
        <f>IFERROR(VLOOKUP((LEFT(U24,4)),BASE!$E$12:$F$23,1,0),IFERROR(VLOOKUP((LEFT(U24,3)),BASE!$E$12:$F$23,1,0),IFERROR(VLOOKUP((LEFT(U24,2)),BASE!$E$12:$F$23,1,0),IFERROR(VLOOKUP((LEFT(U24,1)),BASE!$E$12:$F$23,1,0),100))))</f>
        <v>n</v>
      </c>
      <c r="L24" s="14" t="str">
        <f t="shared" si="9"/>
        <v/>
      </c>
      <c r="M24" s="14" t="str">
        <f t="shared" si="10"/>
        <v/>
      </c>
      <c r="N24" s="14" t="str">
        <f t="shared" si="11"/>
        <v/>
      </c>
      <c r="O24" s="14" t="str">
        <f t="shared" si="12"/>
        <v/>
      </c>
      <c r="P24" s="14" t="str">
        <f t="shared" si="13"/>
        <v/>
      </c>
      <c r="Q24" s="14" t="str">
        <f t="shared" si="14"/>
        <v/>
      </c>
      <c r="R24" s="14" t="str">
        <f t="shared" si="15"/>
        <v/>
      </c>
      <c r="S24" s="14" t="str">
        <f t="shared" si="16"/>
        <v/>
      </c>
      <c r="T24" s="14" t="str">
        <f t="shared" si="17"/>
        <v>no</v>
      </c>
      <c r="U24" s="14" t="str">
        <f t="shared" si="1"/>
        <v>nno</v>
      </c>
      <c r="V24" s="13">
        <f>IFERROR(VLOOKUP(LEFT(AZ24,2),BASE!$C$96:$E$342,3,0),IFERROR(VLOOKUP(LEFT(AZ24,1),BASE!$C$96:$E$342,3,0),100))</f>
        <v>100</v>
      </c>
      <c r="W24" s="13">
        <f>IFERROR(VLOOKUP(LEFT(BA24,2),BASE!$C$96:$E$342,3,0),IFERROR(VLOOKUP(LEFT(BA24,1),BASE!$C$96:$E$342,3,0),100))</f>
        <v>100</v>
      </c>
      <c r="X24" s="13">
        <f>IFERROR(VLOOKUP(LEFT(BB24,2),BASE!$C$96:$E$342,3,0),IFERROR(VLOOKUP(LEFT(BB24,1),BASE!$C$96:$E$342,3,0),100))</f>
        <v>100</v>
      </c>
      <c r="Y24" s="13">
        <f>IFERROR(VLOOKUP(LEFT(BC24,2),BASE!$C$96:$E$342,3,0),IFERROR(VLOOKUP(LEFT(BC24,1),BASE!$C$96:$E$342,3,0),100))</f>
        <v>100</v>
      </c>
      <c r="Z24" s="13">
        <f>IFERROR(VLOOKUP(LEFT(BD24,2),BASE!$C$96:$E$342,3,0),IFERROR(VLOOKUP(LEFT(BD24,1),BASE!$C$96:$E$342,3,0),100))</f>
        <v>100</v>
      </c>
      <c r="AA24" s="13">
        <f>IFERROR(VLOOKUP(LEFT(BE24,2),BASE!$C$96:$E$342,3,0),IFERROR(VLOOKUP(LEFT(BE24,1),BASE!$C$96:$E$342,3,0),100))</f>
        <v>100</v>
      </c>
      <c r="AB24" s="13">
        <f>IFERROR(VLOOKUP(LEFT(BF24,2),BASE!$C$96:$E$342,3,0),IFERROR(VLOOKUP(LEFT(BF24,1),BASE!$C$96:$E$342,3,0),100))</f>
        <v>100</v>
      </c>
      <c r="AC24" s="13">
        <f>IFERROR(VLOOKUP(LEFT(BG24,2),BASE!$C$96:$E$342,3,0),IFERROR(VLOOKUP(LEFT(BG24,1),BASE!$C$96:$E$342,3,0),100))</f>
        <v>2</v>
      </c>
      <c r="AD24" s="13">
        <f>IFERROR(VLOOKUP(LEFT(BH24,2),BASE!$C$96:$E$342,3,0),IFERROR(VLOOKUP(LEFT(BH24,1),BASE!$C$96:$E$342,3,0),100))</f>
        <v>2</v>
      </c>
      <c r="AE24" s="13">
        <f>IFERROR(VLOOKUP(LEFT(BI24,2),BASE!$C$96:$E$342,3,0),IFERROR(VLOOKUP(LEFT(BI24,1),BASE!$C$96:$E$342,3,0),100))</f>
        <v>2</v>
      </c>
      <c r="AF24" s="187" t="str">
        <f>IF(AND(BS24=BR24,AG24="o"),"A", (IFERROR(VLOOKUP(LEFT(AZ24,2),BASE!$C$346:$D$592,2,0),IFERROR(VLOOKUP(LEFT(AZ24,1),BASE!$C$346:$D$5922,2,0),AZ24))))</f>
        <v/>
      </c>
      <c r="AG24" s="187" t="str">
        <f>IF(AND(BR24=BQ24,AH24="o"),"A", (IFERROR(VLOOKUP(LEFT(BA24,2),BASE!$C$346:$D$592,2,0),IFERROR(VLOOKUP(LEFT(BA24,1),BASE!$C$346:$D$592,2,0),BA24))))</f>
        <v/>
      </c>
      <c r="AH24" s="187" t="str">
        <f>IF(AND(BQ24=BP24,AI24="o"),"A", (IFERROR(VLOOKUP(LEFT(BB24,2),BASE!$C$346:$D$592,2,0),IFERROR(VLOOKUP(LEFT(BB24,1),BASE!$C$346:$D$592,2,0),BB24))))</f>
        <v/>
      </c>
      <c r="AI24" s="187" t="str">
        <f>IF(AND(BP24=BO24,AJ24="o"),"A", (IFERROR(VLOOKUP(LEFT(BC24,2),BASE!$C$346:$D$592,2,0),IFERROR(VLOOKUP(LEFT(BC24,1),BASE!$C$346:$D$592,2,0),BC24))))</f>
        <v/>
      </c>
      <c r="AJ24" s="187" t="str">
        <f>IF(AND(BO24=BN24,AK24="o"),"A", (IFERROR(VLOOKUP(LEFT(BD24,2),BASE!$C$346:$D$592,2,0),IFERROR(VLOOKUP(LEFT(BD24,1),BASE!$C$346:$D$592,2,0),BD24))))</f>
        <v/>
      </c>
      <c r="AK24" s="187" t="str">
        <f>IF(AND(BN24=BM24,AL24="o"),"A", (IFERROR(VLOOKUP(LEFT(BE24,2),BASE!$C$346:$D$592,2,0),IFERROR(VLOOKUP(LEFT(BE24,1),BASE!$C$346:$D$592,2,0),BE24))))</f>
        <v/>
      </c>
      <c r="AL24" s="187" t="str">
        <f>IF(AND(BM24=BL24,AM24="o"),"A", (IFERROR(VLOOKUP(LEFT(BF24,2),BASE!$C$346:$D$592,2,0),IFERROR(VLOOKUP(LEFT(BF24,1),BASE!$C$346:$D$592,2,0),BF24))))</f>
        <v/>
      </c>
      <c r="AM24" s="187" t="str">
        <f>IF(AND(BL24=BK24,AN24="o"),"A",(IFERROR(VLOOKUP(LEFT(BG24,2),BASE!$C$346:$D$592,2,0),IFERROR(VLOOKUP(LEFT(BG24,1),BASE!$C$346:$D$592,2,0),BG24))))</f>
        <v>o</v>
      </c>
      <c r="AN24" s="187" t="str">
        <f>(IFERROR(VLOOKUP(LEFT(BH24,2),BASE!$C$346:$D$592,2,0),IFERROR(VLOOKUP(LEFT(BH24,1),BASE!$C$346:$D$592,2,0),BH24)))</f>
        <v>n</v>
      </c>
      <c r="AO24" s="187" t="str">
        <f>(IFERROR(VLOOKUP(LEFT(BI24,2),BASE!$C$96:$D$342,2,0),IFERROR(VLOOKUP(LEFT(BI24,1),BASE!$C$96:$D$342,2,0),BI24)))</f>
        <v>n</v>
      </c>
      <c r="AP24" s="5">
        <f t="shared" si="18"/>
        <v>6</v>
      </c>
      <c r="AQ24" s="5">
        <f t="shared" si="19"/>
        <v>6</v>
      </c>
      <c r="AR24" s="5">
        <f t="shared" si="20"/>
        <v>6</v>
      </c>
      <c r="AS24" s="5">
        <f t="shared" si="21"/>
        <v>6</v>
      </c>
      <c r="AT24" s="5">
        <f t="shared" si="22"/>
        <v>6</v>
      </c>
      <c r="AU24" s="5">
        <f t="shared" si="23"/>
        <v>6</v>
      </c>
      <c r="AV24" s="5">
        <f t="shared" si="24"/>
        <v>6</v>
      </c>
      <c r="AW24" s="5">
        <f t="shared" si="25"/>
        <v>6</v>
      </c>
      <c r="AX24" s="5">
        <f t="shared" si="26"/>
        <v>6</v>
      </c>
      <c r="AY24" s="5">
        <f t="shared" si="3"/>
        <v>6</v>
      </c>
      <c r="AZ24" s="12" t="str">
        <f t="shared" si="27"/>
        <v/>
      </c>
      <c r="BA24" s="12" t="str">
        <f t="shared" si="28"/>
        <v/>
      </c>
      <c r="BB24" s="12" t="str">
        <f t="shared" si="29"/>
        <v/>
      </c>
      <c r="BC24" s="12" t="str">
        <f t="shared" si="30"/>
        <v/>
      </c>
      <c r="BD24" s="12" t="str">
        <f t="shared" si="31"/>
        <v/>
      </c>
      <c r="BE24" s="12" t="str">
        <f t="shared" si="32"/>
        <v/>
      </c>
      <c r="BF24" s="12" t="str">
        <f t="shared" si="33"/>
        <v/>
      </c>
      <c r="BG24" s="12" t="str">
        <f t="shared" si="34"/>
        <v>ந்</v>
      </c>
      <c r="BH24" s="43" t="str">
        <f t="shared" si="35"/>
        <v>லாந்</v>
      </c>
      <c r="BI24" s="57" t="str">
        <f>CE10</f>
        <v>மேலாந்</v>
      </c>
      <c r="BJ24" s="58" t="str">
        <f>IFERROR(VLOOKUP(LEFT(BI24,2),BASE!$C$96:$F$342,1,0),IFERROR(VLOOKUP(LEFT(BI24,1),BASE!$C$96:$F$342,1,0),BI24))</f>
        <v>மே</v>
      </c>
      <c r="BK24" s="58" t="str">
        <f>IFERROR(VLOOKUP(LEFT(BH24,2),BASE!$C$96:$D$342,1,0),IFERROR(VLOOKUP(LEFT(BH24,1),BASE!$C$96:$D$342,1,0),BH24))</f>
        <v>லா</v>
      </c>
      <c r="BL24" s="58" t="str">
        <f>IFERROR(VLOOKUP(LEFT(BG24,2),BASE!$C$96:$D$342,1,0),IFERROR(VLOOKUP(LEFT(BG24,1),BASE!$C$96:$D$342,1,0),BG24))</f>
        <v>ந்</v>
      </c>
      <c r="BM24" s="58" t="str">
        <f>IFERROR(VLOOKUP(LEFT(BF24,2),BASE!$C$96:$D$342,1,0),IFERROR(VLOOKUP(LEFT(BF24,1),BASE!$C$96:$D$342,1,0),BF24))</f>
        <v/>
      </c>
      <c r="BN24" s="58" t="str">
        <f>IFERROR(VLOOKUP(LEFT(BE24,2),BASE!$C$96:$D$342,1,0),IFERROR(VLOOKUP(LEFT(BE24,1),BASE!$C$96:$D$342,1,0),BE24))</f>
        <v/>
      </c>
      <c r="BO24" s="58" t="str">
        <f>IFERROR(VLOOKUP(LEFT(BD24,2),BASE!$C$96:$D$342,1,0),IFERROR(VLOOKUP(LEFT(BD24,1),BASE!$C$96:$D$342,1,0),BD24))</f>
        <v/>
      </c>
      <c r="BP24" s="58" t="str">
        <f>IFERROR(VLOOKUP(LEFT(BC24,2),BASE!$C$96:$D$342,1,0),IFERROR(VLOOKUP(LEFT(BC24,1),BASE!$C$96:$D$342,1,0),BC24))</f>
        <v/>
      </c>
      <c r="BQ24" s="58" t="str">
        <f>IFERROR(VLOOKUP(LEFT(BB24,2),BASE!$C$96:$D$342,1,0),IFERROR(VLOOKUP(LEFT(BB24,1),BASE!$C$96:$D$342,1,0),BB24))</f>
        <v/>
      </c>
      <c r="BR24" s="58" t="str">
        <f>IFERROR(VLOOKUP(LEFT(BA24,2),BASE!$C$96:$D$342,1,0),IFERROR(VLOOKUP(LEFT(BA24,1),BASE!$C$96:$D$342,1,0),BA24))</f>
        <v/>
      </c>
      <c r="BS24" s="58" t="str">
        <f>IFERROR(VLOOKUP(LEFT(AZ24,2),BASE!$C$96:$D$342,1,0),IFERROR(VLOOKUP(LEFT(AZ24,1),BASE!$C$96:$D$342,1,0),AZ24))</f>
        <v/>
      </c>
      <c r="BT24" s="186" t="str">
        <f>(IFERROR(VLOOKUP(LEFT(BI24,2),BASE!$C$96:$F$342,4,0),IFERROR(VLOOKUP(LEFT(BI24,1),BASE!$C$96:$F$342,4,0),BI24)))</f>
        <v>நெ</v>
      </c>
      <c r="BU24" s="186" t="str">
        <f>(IFERROR(VLOOKUP(LEFT(BH24,2),BASE!$C$346:$F$592,4,0),IFERROR(VLOOKUP(LEFT(BH24,1),BASE!$C$346:$F$592,4,0),BH24)))</f>
        <v>நெ</v>
      </c>
      <c r="BV24" s="186" t="str">
        <f>(IFERROR(VLOOKUP(LEFT(BG24,2),BASE!$C$346:$F$592,4,0),IFERROR(VLOOKUP(LEFT(BG24,1),BASE!$C$346:$F$592,4,0),BG24)))</f>
        <v>ஒ</v>
      </c>
      <c r="BW24" s="186" t="str">
        <f>(IFERROR(VLOOKUP(LEFT(BF24,2),BASE!$C$346:$F$592,4,0),IFERROR(VLOOKUP(LEFT(BF24,1),BASE!$C$346:$F$592,4,0),BF24)))</f>
        <v/>
      </c>
      <c r="BX24" s="186" t="str">
        <f>(IFERROR(VLOOKUP(LEFT(BE24,2),BASE!$C$346:$F$592,4,0),IFERROR(VLOOKUP(LEFT(BE24,1),BASE!$C$346:$F$592,4,0),BE24)))</f>
        <v/>
      </c>
      <c r="BY24" s="186" t="str">
        <f>(IFERROR(VLOOKUP(LEFT(BD24,2),BASE!$C$346:$F$592,4,0),IFERROR(VLOOKUP(LEFT(BD24,1),BASE!$C$346:$F$592,4,0),BD24)))</f>
        <v/>
      </c>
      <c r="BZ24" s="186" t="str">
        <f>(IFERROR(VLOOKUP(LEFT(BC24,2),BASE!$C$346:$F$592,4,0),IFERROR(VLOOKUP(LEFT(BC24,1),BASE!$C$346:$F$592,4,0),BC24)))</f>
        <v/>
      </c>
      <c r="CA24" s="186" t="str">
        <f>(IFERROR(VLOOKUP(LEFT(BB24,2),BASE!$C$346:$F$592,4,0),IFERROR(VLOOKUP(LEFT(BB24,1),BASE!$C$346:$F$592,4,0),BB24)))</f>
        <v/>
      </c>
      <c r="CB24" s="186" t="str">
        <f>(IFERROR(VLOOKUP(LEFT(BA24,2),BASE!$C$346:$F$592,4,0),IFERROR(VLOOKUP(LEFT(BA24,1),BASE!$C$346:$F$592,4,0),BA24)))</f>
        <v/>
      </c>
      <c r="CC24" s="186" t="str">
        <f>(IFERROR(VLOOKUP(LEFT(AZ24,2),BASE!$C$346:$F$592,4,0),IFERROR(VLOOKUP(LEFT(AZ24,1),BASE!$C$346:$F$592,4,0),AZ24)))</f>
        <v/>
      </c>
      <c r="CD24" s="58" t="str">
        <f t="shared" si="5"/>
        <v>நெநெஒ</v>
      </c>
      <c r="CE24" s="58" t="str">
        <f>IFERROR(VLOOKUP((LEFT(U24,4)),BASE!$E$12:$F$23,2,0),IFERROR(VLOOKUP((LEFT(U24,3)),BASE!$E$12:$F$23,2,0),IFERROR(VLOOKUP((LEFT(U24,2)),BASE!$E$12:$F$23,2,0),IFERROR(VLOOKUP((LEFT(U24,1)),BASE!$E$12:$F$23,2,0),U24))))</f>
        <v>நேர்</v>
      </c>
      <c r="CF24" s="58" t="str">
        <f>IFERROR(VLOOKUP((LEFT(T24,4)),BASE!$E$12:$F$24,2,0),IFERROR(VLOOKUP((LEFT(T24,3)),BASE!$E$12:$F$24,2,0),IFERROR(VLOOKUP((LEFT(T24,2)),BASE!$E$12:$F$24,2,0),IFERROR(VLOOKUP((LEFT(T24,1)),BASE!$E$12:$F$24,2,0),T24))))</f>
        <v>நேர்</v>
      </c>
      <c r="CG24" s="58" t="str">
        <f>IFERROR(VLOOKUP((LEFT(S24,4)),BASE!$E$12:$F$23,2,0),IFERROR(VLOOKUP((LEFT(S24,3)),BASE!$E$12:$F$23,2,0),IFERROR(VLOOKUP((LEFT(S24,2)),BASE!$E$12:$F$23,2,0),IFERROR(VLOOKUP((LEFT(S24,1)),BASE!$E$12:$F$23,2,0),S24))))</f>
        <v/>
      </c>
      <c r="CH24" s="58" t="str">
        <f>IFERROR(VLOOKUP((LEFT(R24,4)),BASE!$E$12:$F$23,2,0),IFERROR(VLOOKUP((LEFT(R24,3)),BASE!$E$12:$F$23,2,0),IFERROR(VLOOKUP((LEFT(R24,2)),BASE!$E$12:$F$23,2,0),IFERROR(VLOOKUP((LEFT(R24,1)),BASE!$E$12:$F$23,2,0),R24))))</f>
        <v/>
      </c>
      <c r="CI24" s="58" t="str">
        <f>IFERROR(VLOOKUP((LEFT(Q24,4)),BASE!$E$12:$F$23,2,0),IFERROR(VLOOKUP((LEFT(Q24,3)),BASE!$E$12:$F$23,2,0),IFERROR(VLOOKUP((LEFT(Q24,2)),BASE!$E$12:$F$23,2,0),IFERROR(VLOOKUP((LEFT(Q24,1)),BASE!$E$12:$F$23,2,0),Q24))))</f>
        <v/>
      </c>
      <c r="CJ24" s="58" t="str">
        <f>IFERROR(VLOOKUP((LEFT(P24,4)),BASE!$E$12:$F$23,2,0),IFERROR(VLOOKUP((LEFT(P24,3)),BASE!$E$12:$F$23,2,0),IFERROR(VLOOKUP((LEFT(P24,2)),BASE!$E$12:$F$23,2,0),IFERROR(VLOOKUP((LEFT(P24,1)),BASE!$E$12:$F$23,2,0),P24))))</f>
        <v/>
      </c>
      <c r="CK24" s="58" t="str">
        <f>IFERROR(VLOOKUP((LEFT(O24,4)),BASE!$E$12:$F$23,2,0),IFERROR(VLOOKUP((LEFT(O24,3)),BASE!$E$12:$F$23,2,0),IFERROR(VLOOKUP((LEFT(O24,2)),BASE!$E$12:$F$23,2,0),IFERROR(VLOOKUP((LEFT(O24,1)),BASE!$E$12:$F$23,2,0),O24))))</f>
        <v/>
      </c>
      <c r="CL24" s="58" t="str">
        <f>IFERROR(VLOOKUP((LEFT(N24,4)),BASE!$E$12:$F$23,2,0),IFERROR(VLOOKUP((LEFT(N24,3)),BASE!$E$12:$F$23,2,0),IFERROR(VLOOKUP((LEFT(N24,2)),BASE!$E$12:$F$23,2,0),IFERROR(VLOOKUP((LEFT(N24,1)),BASE!$E$12:$F$23,2,0),N24))))</f>
        <v/>
      </c>
      <c r="CM24" s="58" t="str">
        <f>IFERROR(VLOOKUP((LEFT(M24,4)),BASE!$E$12:$F$23,2,0),IFERROR(VLOOKUP((LEFT(M24,3)),BASE!$E$12:$F$23,2,0),IFERROR(VLOOKUP((LEFT(M24,2)),BASE!$E$12:$F$23,2,0),IFERROR(VLOOKUP((LEFT(M24,1)),BASE!$E$12:$F$23,2,0),M24))))</f>
        <v/>
      </c>
      <c r="CN24" s="58" t="str">
        <f>IFERROR(VLOOKUP((LEFT(L24,4)),BASE!$E$12:$F$23,2,0),IFERROR(VLOOKUP((LEFT(L24,3)),BASE!$E$12:$F$23,2,0),IFERROR(VLOOKUP((LEFT(L24,2)),BASE!$E$12:$F$23,2,0),IFERROR(VLOOKUP((LEFT(L24,1)),BASE!$E$12:$F$23,2,0),L24))))</f>
        <v/>
      </c>
      <c r="CO24" s="58" t="str">
        <f t="shared" si="6"/>
        <v>நேர்நேர்</v>
      </c>
      <c r="CP24" s="58" t="str">
        <f>VLOOKUP(CO24,BASE!$E$25:$F$79,2,0)</f>
        <v>தேமா</v>
      </c>
      <c r="CQ24" s="58" t="str">
        <f>VLOOKUP(CO24,BASE!$E$25:$G$79,3,0)&amp;CE25</f>
        <v>மாநிரை</v>
      </c>
      <c r="CR24" s="58" t="str">
        <f>VLOOKUP(CQ24,BASE!$E$86:$G$93,2,0)</f>
        <v>மாமுன் நிரை</v>
      </c>
      <c r="CS24" s="58" t="str">
        <f>VLOOKUP(CQ24,BASE!$E$86:$G$93,3,0)</f>
        <v>இயற்சீர் வெண்டளை</v>
      </c>
      <c r="CT24" s="58" t="str">
        <f t="shared" si="7"/>
        <v>மூவசைக்கு மிகவில்லை</v>
      </c>
      <c r="CU24" s="58" t="str">
        <f t="shared" si="8"/>
        <v>சரி</v>
      </c>
      <c r="CV24" s="193"/>
    </row>
    <row r="25" spans="1:100" ht="19.5" customHeight="1" x14ac:dyDescent="0.35">
      <c r="A25" s="119"/>
      <c r="B25" s="12">
        <f>IFERROR(VLOOKUP((LEFT(L25,4)),BASE!$E$12:$F$23,1,0),IFERROR(VLOOKUP((LEFT(L25,3)),BASE!$E$12:$F$23,1,0),IFERROR(VLOOKUP((LEFT(L25,2)),BASE!$E$12:$F$23,1,0),IFERROR(VLOOKUP((LEFT(L25,1)),BASE!$E$12:$F$23,1,0),100))))</f>
        <v>100</v>
      </c>
      <c r="C25" s="12">
        <f>IFERROR(VLOOKUP((LEFT(M25,4)),BASE!$E$12:$F$23,1,0),IFERROR(VLOOKUP((LEFT(M25,3)),BASE!$E$12:$F$23,1,0),IFERROR(VLOOKUP((LEFT(M25,2)),BASE!$E$12:$F$23,1,0),IFERROR(VLOOKUP((LEFT(M25,1)),BASE!$E$12:$F$23,1,0),100))))</f>
        <v>100</v>
      </c>
      <c r="D25" s="12">
        <f>IFERROR(VLOOKUP((LEFT(N25,4)),BASE!$E$12:$F$23,1,0),IFERROR(VLOOKUP((LEFT(N25,3)),BASE!$E$12:$F$23,1,0),IFERROR(VLOOKUP((LEFT(N25,2)),BASE!$E$12:$F$23,1,0),IFERROR(VLOOKUP((LEFT(N25,1)),BASE!$E$12:$F$23,1,0),100))))</f>
        <v>100</v>
      </c>
      <c r="E25" s="12">
        <f>IFERROR(VLOOKUP((LEFT(O25,4)),BASE!$E$12:$F$23,1,0),IFERROR(VLOOKUP((LEFT(O25,3)),BASE!$E$12:$F$23,1,0),IFERROR(VLOOKUP((LEFT(O25,2)),BASE!$E$12:$F$23,1,0),IFERROR(VLOOKUP((LEFT(O25,1)),BASE!$E$12:$F$23,1,0),100))))</f>
        <v>100</v>
      </c>
      <c r="F25" s="12">
        <f>IFERROR(VLOOKUP((LEFT(P25,4)),BASE!$E$12:$F$23,1,0),IFERROR(VLOOKUP((LEFT(P25,3)),BASE!$E$12:$F$23,1,0),IFERROR(VLOOKUP((LEFT(P25,2)),BASE!$E$12:$F$23,1,0),IFERROR(VLOOKUP((LEFT(P25,1)),BASE!$E$12:$F$23,1,0),100))))</f>
        <v>100</v>
      </c>
      <c r="G25" s="12">
        <f>IFERROR(VLOOKUP((LEFT(Q25,4)),BASE!$E$12:$F$23,1,0),IFERROR(VLOOKUP((LEFT(Q25,3)),BASE!$E$12:$F$23,1,0),IFERROR(VLOOKUP((LEFT(Q25,2)),BASE!$E$12:$F$23,1,0),IFERROR(VLOOKUP((LEFT(Q25,1)),BASE!$E$12:$F$23,1,0),100))))</f>
        <v>100</v>
      </c>
      <c r="H25" s="12">
        <f>IFERROR(VLOOKUP((LEFT(R25,4)),BASE!$E$12:$F$23,1,0),IFERROR(VLOOKUP((LEFT(R25,3)),BASE!$E$12:$F$23,1,0),IFERROR(VLOOKUP((LEFT(R25,2)),BASE!$E$12:$F$23,1,0),IFERROR(VLOOKUP((LEFT(R25,1)),BASE!$E$12:$F$23,1,0),100))))</f>
        <v>100</v>
      </c>
      <c r="I25" s="12">
        <f>IFERROR(VLOOKUP((LEFT(S25,4)),BASE!$E$12:$F$23,1,0),IFERROR(VLOOKUP((LEFT(S25,3)),BASE!$E$12:$F$23,1,0),IFERROR(VLOOKUP((LEFT(S25,2)),BASE!$E$12:$F$23,1,0),IFERROR(VLOOKUP((LEFT(S25,1)),BASE!$E$12:$F$23,1,0),100))))</f>
        <v>100</v>
      </c>
      <c r="J25" s="12">
        <f>IFERROR(VLOOKUP((LEFT(T25,4)),BASE!$E$12:$F$24,1,0),IFERROR(VLOOKUP((LEFT(T25,3)),BASE!$E$12:$F$24,1,0),IFERROR(VLOOKUP((LEFT(T25,2)),BASE!$E$12:$F$24,1,0),IFERROR(VLOOKUP((LEFT(T25,1)),BASE!$E$12:$F$24,1,0),100))))</f>
        <v>100</v>
      </c>
      <c r="K25" s="12" t="str">
        <f>IFERROR(VLOOKUP((LEFT(U25,4)),BASE!$E$12:$F$23,1,0),IFERROR(VLOOKUP((LEFT(U25,3)),BASE!$E$12:$F$23,1,0),IFERROR(VLOOKUP((LEFT(U25,2)),BASE!$E$12:$F$23,1,0),IFERROR(VLOOKUP((LEFT(U25,1)),BASE!$E$12:$F$23,1,0),100))))</f>
        <v>kk</v>
      </c>
      <c r="L25" s="14" t="str">
        <f t="shared" si="9"/>
        <v/>
      </c>
      <c r="M25" s="14" t="str">
        <f t="shared" si="10"/>
        <v/>
      </c>
      <c r="N25" s="14" t="str">
        <f t="shared" si="11"/>
        <v/>
      </c>
      <c r="O25" s="14" t="str">
        <f t="shared" si="12"/>
        <v/>
      </c>
      <c r="P25" s="14" t="str">
        <f t="shared" si="13"/>
        <v/>
      </c>
      <c r="Q25" s="14" t="str">
        <f t="shared" si="14"/>
        <v/>
      </c>
      <c r="R25" s="14" t="str">
        <f t="shared" si="15"/>
        <v/>
      </c>
      <c r="S25" s="14" t="str">
        <f t="shared" si="16"/>
        <v/>
      </c>
      <c r="T25" s="14" t="str">
        <f t="shared" si="17"/>
        <v/>
      </c>
      <c r="U25" s="14" t="str">
        <f t="shared" ref="U25" si="36">AO25&amp;AN25&amp;AM25&amp;AL25&amp;AK25&amp;AJ25&amp;AI25&amp;AH25&amp;AG25&amp;AF25</f>
        <v>kk</v>
      </c>
      <c r="V25" s="13">
        <f>IFERROR(VLOOKUP(LEFT(AZ25,2),BASE!$C$96:$E$342,3,0),IFERROR(VLOOKUP(LEFT(AZ25,1),BASE!$C$96:$E$342,3,0),100))</f>
        <v>100</v>
      </c>
      <c r="W25" s="13">
        <f>IFERROR(VLOOKUP(LEFT(BA25,2),BASE!$C$96:$E$342,3,0),IFERROR(VLOOKUP(LEFT(BA25,1),BASE!$C$96:$E$342,3,0),100))</f>
        <v>100</v>
      </c>
      <c r="X25" s="13">
        <f>IFERROR(VLOOKUP(LEFT(BB25,2),BASE!$C$96:$E$342,3,0),IFERROR(VLOOKUP(LEFT(BB25,1),BASE!$C$96:$E$342,3,0),100))</f>
        <v>100</v>
      </c>
      <c r="Y25" s="13">
        <f>IFERROR(VLOOKUP(LEFT(BC25,2),BASE!$C$96:$E$342,3,0),IFERROR(VLOOKUP(LEFT(BC25,1),BASE!$C$96:$E$342,3,0),100))</f>
        <v>100</v>
      </c>
      <c r="Z25" s="13">
        <f>IFERROR(VLOOKUP(LEFT(BD25,2),BASE!$C$96:$E$342,3,0),IFERROR(VLOOKUP(LEFT(BD25,1),BASE!$C$96:$E$342,3,0),100))</f>
        <v>100</v>
      </c>
      <c r="AA25" s="13">
        <f>IFERROR(VLOOKUP(LEFT(BE25,2),BASE!$C$96:$E$342,3,0),IFERROR(VLOOKUP(LEFT(BE25,1),BASE!$C$96:$E$342,3,0),100))</f>
        <v>100</v>
      </c>
      <c r="AB25" s="13">
        <f>IFERROR(VLOOKUP(LEFT(BF25,2),BASE!$C$96:$E$342,3,0),IFERROR(VLOOKUP(LEFT(BF25,1),BASE!$C$96:$E$342,3,0),100))</f>
        <v>100</v>
      </c>
      <c r="AC25" s="13">
        <f>IFERROR(VLOOKUP(LEFT(BG25,2),BASE!$C$96:$E$342,3,0),IFERROR(VLOOKUP(LEFT(BG25,1),BASE!$C$96:$E$342,3,0),100))</f>
        <v>100</v>
      </c>
      <c r="AD25" s="13">
        <f>IFERROR(VLOOKUP(LEFT(BH25,2),BASE!$C$96:$E$342,3,0),IFERROR(VLOOKUP(LEFT(BH25,1),BASE!$C$96:$E$342,3,0),100))</f>
        <v>2</v>
      </c>
      <c r="AE25" s="13">
        <f>IFERROR(VLOOKUP(LEFT(BI25,2),BASE!$C$96:$E$342,3,0),IFERROR(VLOOKUP(LEFT(BI25,1),BASE!$C$96:$E$342,3,0),100))</f>
        <v>2</v>
      </c>
      <c r="AF25" s="187" t="str">
        <f>IF(AND(BS25=BR25,AG25="o"),"A", (IFERROR(VLOOKUP(LEFT(AZ25,2),BASE!$C$346:$D$592,2,0),IFERROR(VLOOKUP(LEFT(AZ25,1),BASE!$C$346:$D$5922,2,0),AZ25))))</f>
        <v/>
      </c>
      <c r="AG25" s="187" t="str">
        <f>IF(AND(BR25=BQ25,AH25="o"),"A", (IFERROR(VLOOKUP(LEFT(BA25,2),BASE!$C$346:$D$592,2,0),IFERROR(VLOOKUP(LEFT(BA25,1),BASE!$C$346:$D$592,2,0),BA25))))</f>
        <v/>
      </c>
      <c r="AH25" s="187" t="str">
        <f>IF(AND(BQ25=BP25,AI25="o"),"A", (IFERROR(VLOOKUP(LEFT(BB25,2),BASE!$C$346:$D$592,2,0),IFERROR(VLOOKUP(LEFT(BB25,1),BASE!$C$346:$D$592,2,0),BB25))))</f>
        <v/>
      </c>
      <c r="AI25" s="187" t="str">
        <f>IF(AND(BP25=BO25,AJ25="o"),"A", (IFERROR(VLOOKUP(LEFT(BC25,2),BASE!$C$346:$D$592,2,0),IFERROR(VLOOKUP(LEFT(BC25,1),BASE!$C$346:$D$592,2,0),BC25))))</f>
        <v/>
      </c>
      <c r="AJ25" s="187" t="str">
        <f>IF(AND(BO25=BN25,AK25="o"),"A", (IFERROR(VLOOKUP(LEFT(BD25,2),BASE!$C$346:$D$592,2,0),IFERROR(VLOOKUP(LEFT(BD25,1),BASE!$C$346:$D$592,2,0),BD25))))</f>
        <v/>
      </c>
      <c r="AK25" s="187" t="str">
        <f>IF(AND(BN25=BM25,AL25="o"),"A", (IFERROR(VLOOKUP(LEFT(BE25,2),BASE!$C$346:$D$592,2,0),IFERROR(VLOOKUP(LEFT(BE25,1),BASE!$C$346:$D$592,2,0),BE25))))</f>
        <v/>
      </c>
      <c r="AL25" s="187" t="str">
        <f>IF(AND(BM25=BL25,AM25="o"),"A", (IFERROR(VLOOKUP(LEFT(BF25,2),BASE!$C$346:$D$592,2,0),IFERROR(VLOOKUP(LEFT(BF25,1),BASE!$C$346:$D$592,2,0),BF25))))</f>
        <v/>
      </c>
      <c r="AM25" s="187" t="str">
        <f>IF(AND(BL25=BK25,AN25="o"),"A",(IFERROR(VLOOKUP(LEFT(BG25,2),BASE!$C$346:$D$592,2,0),IFERROR(VLOOKUP(LEFT(BG25,1),BASE!$C$346:$D$592,2,0),BG25))))</f>
        <v/>
      </c>
      <c r="AN25" s="187" t="str">
        <f>(IFERROR(VLOOKUP(LEFT(BH25,2),BASE!$C$346:$D$592,2,0),IFERROR(VLOOKUP(LEFT(BH25,1),BASE!$C$346:$D$592,2,0),BH25)))</f>
        <v>k</v>
      </c>
      <c r="AO25" s="187" t="str">
        <f>(IFERROR(VLOOKUP(LEFT(BI25,2),BASE!$C$96:$D$342,2,0),IFERROR(VLOOKUP(LEFT(BI25,1),BASE!$C$96:$D$342,2,0),BI25)))</f>
        <v>k</v>
      </c>
      <c r="AP25" s="5">
        <f t="shared" si="18"/>
        <v>4</v>
      </c>
      <c r="AQ25" s="5">
        <f t="shared" si="19"/>
        <v>4</v>
      </c>
      <c r="AR25" s="5">
        <f t="shared" si="20"/>
        <v>4</v>
      </c>
      <c r="AS25" s="5">
        <f t="shared" si="21"/>
        <v>4</v>
      </c>
      <c r="AT25" s="5">
        <f t="shared" si="22"/>
        <v>4</v>
      </c>
      <c r="AU25" s="5">
        <f t="shared" si="23"/>
        <v>4</v>
      </c>
      <c r="AV25" s="5">
        <f t="shared" si="24"/>
        <v>4</v>
      </c>
      <c r="AW25" s="5">
        <f t="shared" si="25"/>
        <v>4</v>
      </c>
      <c r="AX25" s="5">
        <f t="shared" si="26"/>
        <v>4</v>
      </c>
      <c r="AY25" s="5">
        <f t="shared" ref="AY25" si="37">LEN(BI25)</f>
        <v>4</v>
      </c>
      <c r="AZ25" s="12" t="str">
        <f t="shared" si="27"/>
        <v/>
      </c>
      <c r="BA25" s="12" t="str">
        <f t="shared" si="28"/>
        <v/>
      </c>
      <c r="BB25" s="12" t="str">
        <f t="shared" si="29"/>
        <v/>
      </c>
      <c r="BC25" s="12" t="str">
        <f t="shared" si="30"/>
        <v/>
      </c>
      <c r="BD25" s="12" t="str">
        <f t="shared" si="31"/>
        <v/>
      </c>
      <c r="BE25" s="12" t="str">
        <f t="shared" si="32"/>
        <v/>
      </c>
      <c r="BF25" s="12" t="str">
        <f t="shared" si="33"/>
        <v/>
      </c>
      <c r="BG25" s="12" t="str">
        <f t="shared" si="34"/>
        <v/>
      </c>
      <c r="BH25" s="43" t="str">
        <f t="shared" si="35"/>
        <v>ணை</v>
      </c>
      <c r="BI25" s="57" t="str">
        <f>CF10</f>
        <v>துணை</v>
      </c>
      <c r="BJ25" s="58" t="str">
        <f>IFERROR(VLOOKUP(LEFT(BI25,2),BASE!$C$96:$F$342,1,0),IFERROR(VLOOKUP(LEFT(BI25,1),BASE!$C$96:$F$342,1,0),BI25))</f>
        <v>து</v>
      </c>
      <c r="BK25" s="58" t="str">
        <f>IFERROR(VLOOKUP(LEFT(BH25,2),BASE!$C$96:$D$342,1,0),IFERROR(VLOOKUP(LEFT(BH25,1),BASE!$C$96:$D$342,1,0),BH25))</f>
        <v>ணை</v>
      </c>
      <c r="BL25" s="58" t="str">
        <f>IFERROR(VLOOKUP(LEFT(BG25,2),BASE!$C$96:$D$342,1,0),IFERROR(VLOOKUP(LEFT(BG25,1),BASE!$C$96:$D$342,1,0),BG25))</f>
        <v/>
      </c>
      <c r="BM25" s="58" t="str">
        <f>IFERROR(VLOOKUP(LEFT(BF25,2),BASE!$C$96:$D$342,1,0),IFERROR(VLOOKUP(LEFT(BF25,1),BASE!$C$96:$D$342,1,0),BF25))</f>
        <v/>
      </c>
      <c r="BN25" s="58" t="str">
        <f>IFERROR(VLOOKUP(LEFT(BE25,2),BASE!$C$96:$D$342,1,0),IFERROR(VLOOKUP(LEFT(BE25,1),BASE!$C$96:$D$342,1,0),BE25))</f>
        <v/>
      </c>
      <c r="BO25" s="58" t="str">
        <f>IFERROR(VLOOKUP(LEFT(BD25,2),BASE!$C$96:$D$342,1,0),IFERROR(VLOOKUP(LEFT(BD25,1),BASE!$C$96:$D$342,1,0),BD25))</f>
        <v/>
      </c>
      <c r="BP25" s="58" t="str">
        <f>IFERROR(VLOOKUP(LEFT(BC25,2),BASE!$C$96:$D$342,1,0),IFERROR(VLOOKUP(LEFT(BC25,1),BASE!$C$96:$D$342,1,0),BC25))</f>
        <v/>
      </c>
      <c r="BQ25" s="58" t="str">
        <f>IFERROR(VLOOKUP(LEFT(BB25,2),BASE!$C$96:$D$342,1,0),IFERROR(VLOOKUP(LEFT(BB25,1),BASE!$C$96:$D$342,1,0),BB25))</f>
        <v/>
      </c>
      <c r="BR25" s="58" t="str">
        <f>IFERROR(VLOOKUP(LEFT(BA25,2),BASE!$C$96:$D$342,1,0),IFERROR(VLOOKUP(LEFT(BA25,1),BASE!$C$96:$D$342,1,0),BA25))</f>
        <v/>
      </c>
      <c r="BS25" s="58" t="str">
        <f>IFERROR(VLOOKUP(LEFT(AZ25,2),BASE!$C$96:$D$342,1,0),IFERROR(VLOOKUP(LEFT(AZ25,1),BASE!$C$96:$D$342,1,0),AZ25))</f>
        <v/>
      </c>
      <c r="BT25" s="186" t="str">
        <f>(IFERROR(VLOOKUP(LEFT(BI25,2),BASE!$C$96:$F$342,4,0),IFERROR(VLOOKUP(LEFT(BI25,1),BASE!$C$96:$F$342,4,0),BI25)))</f>
        <v>கு</v>
      </c>
      <c r="BU25" s="186" t="str">
        <f>(IFERROR(VLOOKUP(LEFT(BH25,2),BASE!$C$346:$F$592,4,0),IFERROR(VLOOKUP(LEFT(BH25,1),BASE!$C$346:$F$592,4,0),BH25)))</f>
        <v>கு</v>
      </c>
      <c r="BV25" s="186" t="str">
        <f>(IFERROR(VLOOKUP(LEFT(BG25,2),BASE!$C$346:$F$592,4,0),IFERROR(VLOOKUP(LEFT(BG25,1),BASE!$C$346:$F$592,4,0),BG25)))</f>
        <v/>
      </c>
      <c r="BW25" s="186" t="str">
        <f>(IFERROR(VLOOKUP(LEFT(BF25,2),BASE!$C$346:$F$592,4,0),IFERROR(VLOOKUP(LEFT(BF25,1),BASE!$C$346:$F$592,4,0),BF25)))</f>
        <v/>
      </c>
      <c r="BX25" s="186" t="str">
        <f>(IFERROR(VLOOKUP(LEFT(BE25,2),BASE!$C$346:$F$592,4,0),IFERROR(VLOOKUP(LEFT(BE25,1),BASE!$C$346:$F$592,4,0),BE25)))</f>
        <v/>
      </c>
      <c r="BY25" s="186" t="str">
        <f>(IFERROR(VLOOKUP(LEFT(BD25,2),BASE!$C$346:$F$592,4,0),IFERROR(VLOOKUP(LEFT(BD25,1),BASE!$C$346:$F$592,4,0),BD25)))</f>
        <v/>
      </c>
      <c r="BZ25" s="186" t="str">
        <f>(IFERROR(VLOOKUP(LEFT(BC25,2),BASE!$C$346:$F$592,4,0),IFERROR(VLOOKUP(LEFT(BC25,1),BASE!$C$346:$F$592,4,0),BC25)))</f>
        <v/>
      </c>
      <c r="CA25" s="186" t="str">
        <f>(IFERROR(VLOOKUP(LEFT(BB25,2),BASE!$C$346:$F$592,4,0),IFERROR(VLOOKUP(LEFT(BB25,1),BASE!$C$346:$F$592,4,0),BB25)))</f>
        <v/>
      </c>
      <c r="CB25" s="186" t="str">
        <f>(IFERROR(VLOOKUP(LEFT(BA25,2),BASE!$C$346:$F$592,4,0),IFERROR(VLOOKUP(LEFT(BA25,1),BASE!$C$346:$F$592,4,0),BA25)))</f>
        <v/>
      </c>
      <c r="CC25" s="186" t="str">
        <f>(IFERROR(VLOOKUP(LEFT(AZ25,2),BASE!$C$346:$F$592,4,0),IFERROR(VLOOKUP(LEFT(AZ25,1),BASE!$C$346:$F$592,4,0),AZ25)))</f>
        <v/>
      </c>
      <c r="CD25" s="58" t="str">
        <f t="shared" ref="CD25" si="38">BT25&amp;BU25&amp;BV25&amp;BW25&amp;BX25&amp;BY25&amp;BZ25&amp;CA25&amp;CB25&amp;CC25</f>
        <v>குகு</v>
      </c>
      <c r="CE25" s="58" t="str">
        <f>IFERROR(VLOOKUP((LEFT(U25,4)),BASE!$E$12:$F$23,2,0),IFERROR(VLOOKUP((LEFT(U25,3)),BASE!$E$12:$F$23,2,0),IFERROR(VLOOKUP((LEFT(U25,2)),BASE!$E$12:$F$23,2,0),IFERROR(VLOOKUP((LEFT(U25,1)),BASE!$E$12:$F$23,2,0),U25))))</f>
        <v>நிரை</v>
      </c>
      <c r="CF25" s="58" t="str">
        <f>IFERROR(VLOOKUP((LEFT(T25,4)),BASE!$E$12:$F$24,2,0),IFERROR(VLOOKUP((LEFT(T25,3)),BASE!$E$12:$F$24,2,0),IFERROR(VLOOKUP((LEFT(T25,2)),BASE!$E$12:$F$24,2,0),IFERROR(VLOOKUP((LEFT(T25,1)),BASE!$E$12:$F$24,2,0),T25))))</f>
        <v/>
      </c>
      <c r="CG25" s="58" t="str">
        <f>IFERROR(VLOOKUP((LEFT(S25,4)),BASE!$E$12:$F$23,2,0),IFERROR(VLOOKUP((LEFT(S25,3)),BASE!$E$12:$F$23,2,0),IFERROR(VLOOKUP((LEFT(S25,2)),BASE!$E$12:$F$23,2,0),IFERROR(VLOOKUP((LEFT(S25,1)),BASE!$E$12:$F$23,2,0),S25))))</f>
        <v/>
      </c>
      <c r="CH25" s="58" t="str">
        <f>IFERROR(VLOOKUP((LEFT(R25,4)),BASE!$E$12:$F$23,2,0),IFERROR(VLOOKUP((LEFT(R25,3)),BASE!$E$12:$F$23,2,0),IFERROR(VLOOKUP((LEFT(R25,2)),BASE!$E$12:$F$23,2,0),IFERROR(VLOOKUP((LEFT(R25,1)),BASE!$E$12:$F$23,2,0),R25))))</f>
        <v/>
      </c>
      <c r="CI25" s="58" t="str">
        <f>IFERROR(VLOOKUP((LEFT(Q25,4)),BASE!$E$12:$F$23,2,0),IFERROR(VLOOKUP((LEFT(Q25,3)),BASE!$E$12:$F$23,2,0),IFERROR(VLOOKUP((LEFT(Q25,2)),BASE!$E$12:$F$23,2,0),IFERROR(VLOOKUP((LEFT(Q25,1)),BASE!$E$12:$F$23,2,0),Q25))))</f>
        <v/>
      </c>
      <c r="CJ25" s="58" t="str">
        <f>IFERROR(VLOOKUP((LEFT(P25,4)),BASE!$E$12:$F$23,2,0),IFERROR(VLOOKUP((LEFT(P25,3)),BASE!$E$12:$F$23,2,0),IFERROR(VLOOKUP((LEFT(P25,2)),BASE!$E$12:$F$23,2,0),IFERROR(VLOOKUP((LEFT(P25,1)),BASE!$E$12:$F$23,2,0),P25))))</f>
        <v/>
      </c>
      <c r="CK25" s="58" t="str">
        <f>IFERROR(VLOOKUP((LEFT(O25,4)),BASE!$E$12:$F$23,2,0),IFERROR(VLOOKUP((LEFT(O25,3)),BASE!$E$12:$F$23,2,0),IFERROR(VLOOKUP((LEFT(O25,2)),BASE!$E$12:$F$23,2,0),IFERROR(VLOOKUP((LEFT(O25,1)),BASE!$E$12:$F$23,2,0),O25))))</f>
        <v/>
      </c>
      <c r="CL25" s="58" t="str">
        <f>IFERROR(VLOOKUP((LEFT(N25,4)),BASE!$E$12:$F$23,2,0),IFERROR(VLOOKUP((LEFT(N25,3)),BASE!$E$12:$F$23,2,0),IFERROR(VLOOKUP((LEFT(N25,2)),BASE!$E$12:$F$23,2,0),IFERROR(VLOOKUP((LEFT(N25,1)),BASE!$E$12:$F$23,2,0),N25))))</f>
        <v/>
      </c>
      <c r="CM25" s="58" t="str">
        <f>IFERROR(VLOOKUP((LEFT(M25,4)),BASE!$E$12:$F$23,2,0),IFERROR(VLOOKUP((LEFT(M25,3)),BASE!$E$12:$F$23,2,0),IFERROR(VLOOKUP((LEFT(M25,2)),BASE!$E$12:$F$23,2,0),IFERROR(VLOOKUP((LEFT(M25,1)),BASE!$E$12:$F$23,2,0),M25))))</f>
        <v/>
      </c>
      <c r="CN25" s="58" t="str">
        <f>IFERROR(VLOOKUP((LEFT(L25,4)),BASE!$E$12:$F$23,2,0),IFERROR(VLOOKUP((LEFT(L25,3)),BASE!$E$12:$F$23,2,0),IFERROR(VLOOKUP((LEFT(L25,2)),BASE!$E$12:$F$23,2,0),IFERROR(VLOOKUP((LEFT(L25,1)),BASE!$E$12:$F$23,2,0),L25))))</f>
        <v/>
      </c>
      <c r="CO25" s="58" t="str">
        <f t="shared" ref="CO25" si="39">CE25&amp;CF25&amp;CG25&amp;CH25</f>
        <v>நிரை</v>
      </c>
      <c r="CP25" s="58" t="str">
        <f>VLOOKUP(CO25,BASE!E81:F85,2,0)</f>
        <v>மலர்</v>
      </c>
      <c r="CQ25" s="58"/>
      <c r="CR25" s="58"/>
      <c r="CS25" s="58"/>
      <c r="CT25" s="58" t="str">
        <f>IF((OR(CG25="நிரை",CG25="நேர்")),"இரு அசைகட்கு மிகக்கூடாது","ஈரசைக்கு மிகவில்லை")</f>
        <v>ஈரசைக்கு மிகவில்லை</v>
      </c>
      <c r="CU25" s="58" t="str">
        <f>IFERROR((IF((OR(CP25="நாள்",CP25="மலர்",CP25="காசு",CP25="பிறப்பு")),"சரி","தளை தட்டுகிறது")),"பிழை")</f>
        <v>சரி</v>
      </c>
      <c r="CV25" s="193"/>
    </row>
    <row r="26" spans="1:100" ht="19.5" customHeight="1" x14ac:dyDescent="0.35"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12"/>
      <c r="BA26" s="12"/>
      <c r="BB26" s="12"/>
      <c r="BC26" s="12"/>
      <c r="BD26" s="12"/>
      <c r="BE26" s="12"/>
      <c r="BF26" s="12"/>
      <c r="BG26" s="12"/>
      <c r="BH26" s="43"/>
      <c r="BI26" s="48"/>
      <c r="BJ26" s="31"/>
      <c r="BK26" s="31"/>
      <c r="BL26" s="31"/>
      <c r="BM26" s="31"/>
      <c r="BN26" s="31"/>
      <c r="BO26" s="31"/>
      <c r="BP26" s="31"/>
      <c r="BQ26" s="31"/>
      <c r="BR26" s="31"/>
      <c r="BS26" s="31"/>
      <c r="BT26" s="31"/>
      <c r="BU26" s="31"/>
      <c r="BV26" s="31"/>
      <c r="BW26" s="31"/>
      <c r="BX26" s="31"/>
      <c r="BY26" s="31"/>
      <c r="BZ26" s="31"/>
      <c r="CA26" s="31"/>
      <c r="CB26" s="31"/>
      <c r="CC26" s="31"/>
      <c r="CD26" s="31"/>
      <c r="CE26" s="31"/>
      <c r="CF26" s="31"/>
      <c r="CG26" s="31"/>
      <c r="CH26" s="31"/>
      <c r="CI26" s="31"/>
      <c r="CJ26" s="31"/>
      <c r="CK26" s="31"/>
      <c r="CL26" s="31"/>
      <c r="CM26" s="31"/>
      <c r="CN26" s="31"/>
      <c r="CO26" s="31"/>
      <c r="CP26" s="31"/>
      <c r="CQ26" s="31"/>
      <c r="CR26" s="31"/>
      <c r="CS26" s="31"/>
      <c r="CT26" s="31"/>
      <c r="CU26" s="31"/>
      <c r="CV26" s="49"/>
    </row>
    <row r="27" spans="1:100" ht="19.5" customHeight="1" x14ac:dyDescent="0.35"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12"/>
      <c r="BA27" s="12"/>
      <c r="BB27" s="12"/>
      <c r="BC27" s="12"/>
      <c r="BD27" s="12"/>
      <c r="BE27" s="12"/>
      <c r="BF27" s="12"/>
      <c r="BG27" s="12"/>
      <c r="BH27" s="43"/>
      <c r="BI27" s="48"/>
      <c r="BJ27" s="31"/>
      <c r="BK27" s="31"/>
      <c r="BL27" s="31"/>
      <c r="BM27" s="31"/>
      <c r="BN27" s="31"/>
      <c r="BO27" s="31"/>
      <c r="BP27" s="31"/>
      <c r="BQ27" s="31"/>
      <c r="BR27" s="31"/>
      <c r="BS27" s="31"/>
      <c r="BT27" s="31"/>
      <c r="BU27" s="31"/>
      <c r="BV27" s="31"/>
      <c r="BW27" s="31"/>
      <c r="BX27" s="31"/>
      <c r="BY27" s="31"/>
      <c r="BZ27" s="31"/>
      <c r="CA27" s="31"/>
      <c r="CB27" s="31"/>
      <c r="CC27" s="31"/>
      <c r="CD27" s="31"/>
      <c r="CE27" s="31"/>
      <c r="CF27" s="31"/>
      <c r="CG27" s="31"/>
      <c r="CH27" s="31"/>
      <c r="CI27" s="31"/>
      <c r="CJ27" s="31"/>
      <c r="CK27" s="31"/>
      <c r="CL27" s="31"/>
      <c r="CM27" s="31"/>
      <c r="CN27" s="31"/>
      <c r="CO27" s="31"/>
      <c r="CP27" s="31"/>
      <c r="CQ27" s="31"/>
      <c r="CR27" s="31"/>
      <c r="CS27" s="31"/>
      <c r="CT27" s="31"/>
      <c r="CU27" s="31"/>
      <c r="CV27" s="49"/>
    </row>
    <row r="28" spans="1:100" ht="19.5" customHeight="1" thickBot="1" x14ac:dyDescent="0.4"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12"/>
      <c r="BA28" s="12"/>
      <c r="BB28" s="12"/>
      <c r="BC28" s="12"/>
      <c r="BD28" s="12"/>
      <c r="BE28" s="12"/>
      <c r="BF28" s="12"/>
      <c r="BG28" s="12"/>
      <c r="BH28" s="43"/>
      <c r="BI28" s="54"/>
      <c r="BJ28" s="55"/>
      <c r="BK28" s="55"/>
      <c r="BL28" s="55"/>
      <c r="BM28" s="55"/>
      <c r="BN28" s="55"/>
      <c r="BO28" s="55"/>
      <c r="BP28" s="55"/>
      <c r="BQ28" s="55"/>
      <c r="BR28" s="55"/>
      <c r="BS28" s="55"/>
      <c r="BT28" s="55"/>
      <c r="BU28" s="55"/>
      <c r="BV28" s="55"/>
      <c r="BW28" s="55"/>
      <c r="BX28" s="55"/>
      <c r="BY28" s="55"/>
      <c r="BZ28" s="55"/>
      <c r="CA28" s="55"/>
      <c r="CB28" s="55"/>
      <c r="CC28" s="55"/>
      <c r="CD28" s="55"/>
      <c r="CE28" s="55"/>
      <c r="CF28" s="55"/>
      <c r="CG28" s="55"/>
      <c r="CH28" s="55"/>
      <c r="CI28" s="55"/>
      <c r="CJ28" s="55"/>
      <c r="CK28" s="55"/>
      <c r="CL28" s="55"/>
      <c r="CM28" s="55"/>
      <c r="CN28" s="55"/>
      <c r="CO28" s="55"/>
      <c r="CP28" s="55"/>
      <c r="CQ28" s="55"/>
      <c r="CR28" s="55"/>
      <c r="CS28" s="55"/>
      <c r="CT28" s="55"/>
      <c r="CU28" s="55"/>
      <c r="CV28" s="56"/>
    </row>
    <row r="29" spans="1:100" s="82" customFormat="1" ht="19.5" customHeight="1" x14ac:dyDescent="0.35"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1"/>
    </row>
    <row r="30" spans="1:100" s="82" customFormat="1" ht="19.5" customHeight="1" x14ac:dyDescent="0.35">
      <c r="B30" s="80"/>
      <c r="C30" s="80"/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</row>
    <row r="31" spans="1:100" s="82" customFormat="1" ht="19.5" customHeight="1" x14ac:dyDescent="0.35">
      <c r="B31" s="80"/>
      <c r="C31" s="80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</row>
    <row r="32" spans="1:100" s="82" customFormat="1" ht="19.5" customHeight="1" x14ac:dyDescent="0.35">
      <c r="B32" s="80"/>
      <c r="C32" s="80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</row>
    <row r="33" spans="2:92" s="82" customFormat="1" ht="19.5" customHeight="1" x14ac:dyDescent="0.35">
      <c r="B33" s="80"/>
      <c r="C33" s="80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</row>
    <row r="34" spans="2:92" s="82" customFormat="1" ht="19.5" customHeight="1" x14ac:dyDescent="0.35">
      <c r="B34" s="80"/>
      <c r="C34" s="80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</row>
    <row r="35" spans="2:92" s="82" customFormat="1" ht="19.5" customHeight="1" x14ac:dyDescent="0.35">
      <c r="B35" s="80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</row>
    <row r="36" spans="2:92" s="82" customFormat="1" ht="19.5" customHeight="1" x14ac:dyDescent="0.35"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</row>
    <row r="37" spans="2:92" s="82" customFormat="1" ht="19.5" customHeight="1" x14ac:dyDescent="0.35">
      <c r="B37" s="80"/>
      <c r="C37" s="80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</row>
    <row r="38" spans="2:92" s="82" customFormat="1" ht="19.5" customHeight="1" x14ac:dyDescent="0.35">
      <c r="B38" s="80"/>
      <c r="C38" s="80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</row>
    <row r="39" spans="2:92" s="82" customFormat="1" ht="19.5" customHeight="1" x14ac:dyDescent="0.35">
      <c r="B39" s="80"/>
      <c r="C39" s="80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</row>
    <row r="40" spans="2:92" s="82" customFormat="1" ht="19.5" customHeight="1" x14ac:dyDescent="0.35">
      <c r="B40" s="80"/>
      <c r="C40" s="80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</row>
    <row r="41" spans="2:92" s="82" customFormat="1" ht="19.5" customHeight="1" x14ac:dyDescent="0.35">
      <c r="B41" s="80"/>
      <c r="C41" s="80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</row>
    <row r="42" spans="2:92" s="82" customFormat="1" ht="15.75" customHeight="1" x14ac:dyDescent="0.35">
      <c r="B42" s="80"/>
      <c r="C42" s="80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  <c r="O42" s="80"/>
      <c r="P42" s="80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3"/>
    </row>
    <row r="43" spans="2:92" s="82" customFormat="1" ht="29.25" customHeight="1" x14ac:dyDescent="0.35">
      <c r="BH43" s="84"/>
      <c r="BI43" s="85"/>
      <c r="BJ43" s="86"/>
      <c r="BK43" s="86"/>
      <c r="BL43" s="86"/>
      <c r="BM43" s="86"/>
      <c r="BN43" s="84"/>
      <c r="BO43" s="84"/>
      <c r="BP43" s="84"/>
      <c r="BQ43" s="84"/>
      <c r="BR43" s="84"/>
      <c r="BS43" s="84"/>
      <c r="BT43" s="84"/>
      <c r="BU43" s="84"/>
      <c r="BV43" s="84"/>
      <c r="BW43" s="84"/>
      <c r="BX43" s="84"/>
      <c r="BY43" s="84"/>
      <c r="BZ43" s="84"/>
      <c r="CA43" s="84"/>
      <c r="CB43" s="84"/>
      <c r="CC43" s="84"/>
      <c r="CD43" s="84"/>
      <c r="CE43" s="84"/>
      <c r="CF43" s="84"/>
      <c r="CG43" s="84"/>
      <c r="CH43" s="84"/>
      <c r="CI43" s="84"/>
      <c r="CJ43" s="84"/>
      <c r="CK43" s="84"/>
      <c r="CL43" s="84"/>
      <c r="CM43" s="84"/>
      <c r="CN43" s="84"/>
    </row>
    <row r="44" spans="2:92" s="82" customFormat="1" ht="15.75" customHeight="1" x14ac:dyDescent="0.35">
      <c r="BH44" s="84"/>
      <c r="BI44" s="85"/>
      <c r="BJ44" s="86"/>
      <c r="BK44" s="86"/>
      <c r="BL44" s="86"/>
      <c r="BM44" s="86"/>
      <c r="BN44" s="84"/>
      <c r="BO44" s="84"/>
      <c r="BP44" s="84"/>
      <c r="BQ44" s="84"/>
      <c r="BR44" s="84"/>
      <c r="BS44" s="84"/>
      <c r="BT44" s="84"/>
      <c r="BU44" s="84"/>
      <c r="BV44" s="84"/>
      <c r="BW44" s="84"/>
      <c r="BX44" s="84"/>
      <c r="BY44" s="84"/>
      <c r="BZ44" s="84"/>
      <c r="CA44" s="84"/>
      <c r="CB44" s="84"/>
      <c r="CC44" s="84"/>
      <c r="CD44" s="84"/>
      <c r="CE44" s="84"/>
      <c r="CF44" s="84"/>
      <c r="CG44" s="84"/>
      <c r="CH44" s="84"/>
      <c r="CI44" s="84"/>
      <c r="CJ44" s="84"/>
      <c r="CK44" s="84"/>
      <c r="CL44" s="84"/>
      <c r="CM44" s="84"/>
      <c r="CN44" s="84"/>
    </row>
    <row r="45" spans="2:92" s="82" customFormat="1" ht="18" x14ac:dyDescent="0.35">
      <c r="BH45" s="84"/>
      <c r="BI45" s="85"/>
      <c r="BJ45" s="86"/>
      <c r="BK45" s="86"/>
      <c r="BL45" s="86"/>
      <c r="BM45" s="86"/>
      <c r="BN45" s="84"/>
      <c r="BO45" s="84"/>
      <c r="BP45" s="84"/>
      <c r="BQ45" s="84"/>
      <c r="BR45" s="84"/>
      <c r="BS45" s="84"/>
      <c r="BT45" s="84"/>
      <c r="BU45" s="84"/>
      <c r="BV45" s="84"/>
      <c r="BW45" s="84"/>
      <c r="BX45" s="84"/>
      <c r="BY45" s="84"/>
      <c r="BZ45" s="84"/>
      <c r="CA45" s="84"/>
      <c r="CB45" s="84"/>
      <c r="CC45" s="84"/>
      <c r="CD45" s="84"/>
      <c r="CE45" s="84"/>
      <c r="CF45" s="84"/>
      <c r="CG45" s="84"/>
      <c r="CH45" s="84"/>
      <c r="CI45" s="84"/>
      <c r="CJ45" s="84"/>
      <c r="CK45" s="84"/>
      <c r="CL45" s="84"/>
      <c r="CM45" s="84"/>
      <c r="CN45" s="84"/>
    </row>
    <row r="46" spans="2:92" s="82" customFormat="1" ht="18" x14ac:dyDescent="0.35">
      <c r="BH46" s="84"/>
      <c r="BI46" s="85"/>
      <c r="BJ46" s="86"/>
      <c r="BK46" s="86"/>
      <c r="BL46" s="86"/>
      <c r="BM46" s="86"/>
      <c r="BN46" s="84"/>
      <c r="BO46" s="84"/>
      <c r="BP46" s="84"/>
      <c r="BQ46" s="84"/>
      <c r="BR46" s="84"/>
      <c r="BS46" s="84"/>
      <c r="BT46" s="84"/>
      <c r="BU46" s="84"/>
      <c r="BV46" s="84"/>
      <c r="BW46" s="84"/>
      <c r="BX46" s="84"/>
      <c r="BY46" s="84"/>
      <c r="BZ46" s="84"/>
      <c r="CA46" s="84"/>
      <c r="CB46" s="84"/>
      <c r="CC46" s="84"/>
      <c r="CD46" s="84"/>
      <c r="CE46" s="84"/>
      <c r="CF46" s="84"/>
      <c r="CG46" s="84"/>
      <c r="CH46" s="84"/>
      <c r="CI46" s="84"/>
      <c r="CJ46" s="84"/>
      <c r="CK46" s="84"/>
      <c r="CL46" s="84"/>
      <c r="CM46" s="84"/>
      <c r="CN46" s="84"/>
    </row>
    <row r="47" spans="2:92" s="82" customFormat="1" ht="18" x14ac:dyDescent="0.35">
      <c r="BH47" s="84"/>
      <c r="BI47" s="85"/>
      <c r="BJ47" s="86"/>
      <c r="BK47" s="86"/>
      <c r="BL47" s="86"/>
      <c r="BM47" s="86"/>
      <c r="BN47" s="84"/>
      <c r="BO47" s="84"/>
      <c r="BP47" s="84"/>
      <c r="BQ47" s="84"/>
      <c r="BR47" s="84"/>
      <c r="BS47" s="84"/>
      <c r="BT47" s="84"/>
      <c r="BU47" s="84"/>
      <c r="BV47" s="84"/>
      <c r="BW47" s="84"/>
      <c r="BX47" s="84"/>
      <c r="BY47" s="84"/>
      <c r="BZ47" s="84"/>
      <c r="CA47" s="84"/>
      <c r="CB47" s="84"/>
      <c r="CC47" s="84"/>
      <c r="CD47" s="84"/>
      <c r="CE47" s="84"/>
      <c r="CF47" s="84"/>
      <c r="CG47" s="84"/>
      <c r="CH47" s="84"/>
      <c r="CI47" s="84"/>
      <c r="CJ47" s="84"/>
      <c r="CK47" s="84"/>
      <c r="CL47" s="84"/>
      <c r="CM47" s="84"/>
      <c r="CN47" s="84"/>
    </row>
    <row r="48" spans="2:92" ht="15.75" customHeight="1" x14ac:dyDescent="0.35">
      <c r="BH48"/>
      <c r="BI48" s="16"/>
      <c r="BJ48" s="10"/>
      <c r="BK48" s="10"/>
      <c r="BL48" s="10"/>
      <c r="BM48" s="10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</row>
    <row r="49" spans="60:92" ht="15.75" customHeight="1" x14ac:dyDescent="0.35">
      <c r="BH49"/>
      <c r="BI49" s="16"/>
      <c r="BJ49" s="10"/>
      <c r="BK49" s="10"/>
      <c r="BL49" s="10"/>
      <c r="BM49" s="10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</row>
    <row r="50" spans="60:92" ht="15.75" customHeight="1" x14ac:dyDescent="0.35">
      <c r="BH50"/>
      <c r="BI50" s="16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</row>
    <row r="51" spans="60:92" ht="15.75" customHeight="1" x14ac:dyDescent="0.35">
      <c r="BH51"/>
      <c r="BI51" s="16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</row>
    <row r="52" spans="60:92" ht="15.75" customHeight="1" x14ac:dyDescent="0.35">
      <c r="BH52"/>
      <c r="BI52" s="16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</row>
    <row r="53" spans="60:92" ht="15.75" customHeight="1" x14ac:dyDescent="0.35">
      <c r="BH53"/>
      <c r="BI53" s="16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</row>
    <row r="54" spans="60:92" ht="15.75" customHeight="1" x14ac:dyDescent="0.35">
      <c r="BH54"/>
      <c r="BI54" s="16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</row>
    <row r="55" spans="60:92" ht="15.75" customHeight="1" x14ac:dyDescent="0.35">
      <c r="BH55"/>
      <c r="BI55" s="16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</row>
    <row r="56" spans="60:92" ht="15.75" customHeight="1" x14ac:dyDescent="0.35">
      <c r="BH56"/>
      <c r="BI56" s="1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</row>
    <row r="57" spans="60:92" ht="15.75" customHeight="1" x14ac:dyDescent="0.35">
      <c r="BH57"/>
      <c r="BI57" s="16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</row>
    <row r="58" spans="60:92" ht="15.75" customHeight="1" x14ac:dyDescent="0.35">
      <c r="BH58"/>
      <c r="BI58" s="16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</row>
    <row r="59" spans="60:92" ht="15.75" customHeight="1" x14ac:dyDescent="0.35">
      <c r="BH59"/>
      <c r="BI59" s="16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</row>
    <row r="60" spans="60:92" ht="15.75" customHeight="1" x14ac:dyDescent="0.35">
      <c r="BH60"/>
      <c r="BI60" s="16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</row>
    <row r="61" spans="60:92" ht="15.75" customHeight="1" x14ac:dyDescent="0.35">
      <c r="BH61"/>
      <c r="BI61" s="16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</row>
    <row r="62" spans="60:92" ht="15.75" customHeight="1" x14ac:dyDescent="0.35">
      <c r="BH62"/>
      <c r="BI62" s="16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</row>
    <row r="63" spans="60:92" ht="15.75" customHeight="1" x14ac:dyDescent="0.35">
      <c r="BH63"/>
      <c r="BI63" s="16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</row>
    <row r="64" spans="60:92" ht="15.75" customHeight="1" x14ac:dyDescent="0.35">
      <c r="BH64"/>
      <c r="BI64" s="16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</row>
    <row r="65" spans="60:92" ht="15.75" customHeight="1" x14ac:dyDescent="0.35">
      <c r="BH65"/>
      <c r="BI65" s="16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</row>
    <row r="66" spans="60:92" ht="15.75" customHeight="1" x14ac:dyDescent="0.35">
      <c r="BH66"/>
      <c r="BI66" s="1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</row>
    <row r="67" spans="60:92" ht="15.75" customHeight="1" x14ac:dyDescent="0.35">
      <c r="BH67"/>
      <c r="BI67" s="16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</row>
    <row r="68" spans="60:92" ht="15.75" customHeight="1" x14ac:dyDescent="0.35">
      <c r="BH68"/>
      <c r="BI68" s="16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</row>
    <row r="69" spans="60:92" ht="15.75" customHeight="1" x14ac:dyDescent="0.35">
      <c r="BH69"/>
      <c r="BI69" s="16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</row>
    <row r="70" spans="60:92" ht="15.75" customHeight="1" x14ac:dyDescent="0.35">
      <c r="BH70"/>
      <c r="BI70" s="16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</row>
    <row r="71" spans="60:92" ht="15.75" customHeight="1" x14ac:dyDescent="0.35">
      <c r="BH71"/>
      <c r="BI71" s="16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</row>
    <row r="72" spans="60:92" ht="15.75" customHeight="1" x14ac:dyDescent="0.35">
      <c r="BH72"/>
      <c r="BI72" s="16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</row>
    <row r="73" spans="60:92" ht="15.75" customHeight="1" x14ac:dyDescent="0.35">
      <c r="BH73"/>
      <c r="BI73" s="16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</row>
    <row r="74" spans="60:92" ht="15.75" customHeight="1" x14ac:dyDescent="0.35">
      <c r="BH74"/>
      <c r="BI74" s="16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</row>
    <row r="75" spans="60:92" ht="15.75" customHeight="1" x14ac:dyDescent="0.35">
      <c r="BH75"/>
      <c r="BI75" s="16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</row>
    <row r="76" spans="60:92" ht="15.75" customHeight="1" x14ac:dyDescent="0.35">
      <c r="BH76"/>
      <c r="BI76" s="1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</row>
    <row r="77" spans="60:92" ht="15.75" customHeight="1" x14ac:dyDescent="0.35">
      <c r="BH77"/>
      <c r="BI77" s="16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</row>
    <row r="78" spans="60:92" ht="15.75" customHeight="1" x14ac:dyDescent="0.35">
      <c r="BH78"/>
      <c r="BI78" s="16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</row>
    <row r="79" spans="60:92" ht="15.75" customHeight="1" x14ac:dyDescent="0.35">
      <c r="BH79"/>
      <c r="BI79" s="16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</row>
    <row r="80" spans="60:92" ht="15.75" customHeight="1" x14ac:dyDescent="0.35">
      <c r="BH80"/>
      <c r="BI80" s="16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</row>
    <row r="81" spans="60:92" ht="15.75" customHeight="1" x14ac:dyDescent="0.35">
      <c r="BH81"/>
      <c r="BI81" s="16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</row>
    <row r="82" spans="60:92" ht="15.75" customHeight="1" x14ac:dyDescent="0.35">
      <c r="BH82"/>
      <c r="BI82" s="16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</row>
    <row r="83" spans="60:92" ht="15.75" customHeight="1" x14ac:dyDescent="0.35">
      <c r="BH83"/>
      <c r="BI83" s="16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</row>
    <row r="84" spans="60:92" ht="15.75" customHeight="1" x14ac:dyDescent="0.35">
      <c r="BH84"/>
      <c r="BI84" s="16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</row>
    <row r="85" spans="60:92" ht="15.75" customHeight="1" x14ac:dyDescent="0.35">
      <c r="BH85"/>
      <c r="BI85" s="16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</row>
    <row r="86" spans="60:92" ht="15.75" customHeight="1" x14ac:dyDescent="0.35">
      <c r="BH86"/>
      <c r="BI86" s="1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</row>
    <row r="87" spans="60:92" ht="15.75" customHeight="1" x14ac:dyDescent="0.35">
      <c r="BH87"/>
      <c r="BI87" s="16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</row>
    <row r="88" spans="60:92" ht="15.75" customHeight="1" x14ac:dyDescent="0.35">
      <c r="BH88"/>
      <c r="BI88" s="16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</row>
    <row r="89" spans="60:92" ht="15.75" customHeight="1" x14ac:dyDescent="0.35">
      <c r="BH89"/>
      <c r="BI89" s="16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</row>
    <row r="90" spans="60:92" ht="15.75" customHeight="1" x14ac:dyDescent="0.35">
      <c r="BH90"/>
      <c r="BI90" s="16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</row>
    <row r="91" spans="60:92" ht="15.75" customHeight="1" x14ac:dyDescent="0.45">
      <c r="BK91" s="2"/>
      <c r="BL91" s="2"/>
    </row>
    <row r="92" spans="60:92" ht="15.75" customHeight="1" x14ac:dyDescent="0.45">
      <c r="BK92" s="2"/>
      <c r="BL92" s="2"/>
    </row>
    <row r="93" spans="60:92" ht="15.75" customHeight="1" x14ac:dyDescent="0.45">
      <c r="BK93" s="2"/>
      <c r="BL93" s="2"/>
    </row>
    <row r="94" spans="60:92" ht="15.75" customHeight="1" x14ac:dyDescent="0.45">
      <c r="BK94" s="2"/>
      <c r="BL94" s="2"/>
    </row>
    <row r="95" spans="60:92" ht="15.75" customHeight="1" x14ac:dyDescent="0.45">
      <c r="BK95" s="2"/>
      <c r="BL95" s="2"/>
    </row>
    <row r="96" spans="60:92" ht="15.75" customHeight="1" x14ac:dyDescent="0.45">
      <c r="BK96" s="2"/>
      <c r="BL96" s="2"/>
    </row>
    <row r="97" spans="63:64" ht="15.75" customHeight="1" x14ac:dyDescent="0.45">
      <c r="BK97" s="2"/>
      <c r="BL97" s="2"/>
    </row>
    <row r="98" spans="63:64" ht="15.75" customHeight="1" x14ac:dyDescent="0.45">
      <c r="BK98" s="2"/>
      <c r="BL98" s="2"/>
    </row>
    <row r="99" spans="63:64" ht="15.75" customHeight="1" x14ac:dyDescent="0.45">
      <c r="BK99" s="2"/>
      <c r="BL99" s="2"/>
    </row>
    <row r="100" spans="63:64" ht="15.75" customHeight="1" x14ac:dyDescent="0.45">
      <c r="BK100" s="2"/>
      <c r="BL100" s="2"/>
    </row>
    <row r="101" spans="63:64" ht="15.75" customHeight="1" x14ac:dyDescent="0.45">
      <c r="BK101" s="2"/>
      <c r="BL101" s="2"/>
    </row>
    <row r="102" spans="63:64" ht="15.75" customHeight="1" x14ac:dyDescent="0.45">
      <c r="BK102" s="2"/>
      <c r="BL102" s="2"/>
    </row>
    <row r="103" spans="63:64" ht="15.75" customHeight="1" x14ac:dyDescent="0.45">
      <c r="BK103" s="2"/>
      <c r="BL103" s="2"/>
    </row>
    <row r="104" spans="63:64" ht="15.75" customHeight="1" x14ac:dyDescent="0.45">
      <c r="BK104" s="2"/>
      <c r="BL104" s="2"/>
    </row>
    <row r="105" spans="63:64" ht="15.75" customHeight="1" x14ac:dyDescent="0.45">
      <c r="BK105" s="2"/>
      <c r="BL105" s="2"/>
    </row>
    <row r="106" spans="63:64" ht="15.75" customHeight="1" x14ac:dyDescent="0.45">
      <c r="BK106" s="2"/>
      <c r="BL106" s="2"/>
    </row>
    <row r="107" spans="63:64" ht="15.75" customHeight="1" x14ac:dyDescent="0.45">
      <c r="BK107" s="2"/>
      <c r="BL107" s="2"/>
    </row>
    <row r="108" spans="63:64" ht="15.75" customHeight="1" x14ac:dyDescent="0.45">
      <c r="BK108" s="2"/>
      <c r="BL108" s="2"/>
    </row>
    <row r="109" spans="63:64" ht="15.75" customHeight="1" x14ac:dyDescent="0.45">
      <c r="BK109" s="2"/>
      <c r="BL109" s="2"/>
    </row>
    <row r="110" spans="63:64" ht="15.75" customHeight="1" x14ac:dyDescent="0.45">
      <c r="BK110" s="2"/>
      <c r="BL110" s="2"/>
    </row>
    <row r="111" spans="63:64" ht="15.75" customHeight="1" x14ac:dyDescent="0.45">
      <c r="BK111" s="2"/>
      <c r="BL111" s="2"/>
    </row>
    <row r="112" spans="63:64" ht="15.75" customHeight="1" x14ac:dyDescent="0.45">
      <c r="BK112" s="2"/>
      <c r="BL112" s="2"/>
    </row>
    <row r="113" spans="63:64" ht="15.75" customHeight="1" x14ac:dyDescent="0.45">
      <c r="BK113" s="2"/>
      <c r="BL113" s="2"/>
    </row>
    <row r="114" spans="63:64" ht="15.75" customHeight="1" x14ac:dyDescent="0.45">
      <c r="BK114" s="2"/>
      <c r="BL114" s="2"/>
    </row>
    <row r="115" spans="63:64" ht="15.75" customHeight="1" x14ac:dyDescent="0.45">
      <c r="BK115" s="2"/>
      <c r="BL115" s="2"/>
    </row>
    <row r="116" spans="63:64" ht="15.75" customHeight="1" x14ac:dyDescent="0.45">
      <c r="BK116" s="2"/>
      <c r="BL116" s="2"/>
    </row>
    <row r="117" spans="63:64" ht="15.75" customHeight="1" x14ac:dyDescent="0.45">
      <c r="BK117" s="2"/>
      <c r="BL117" s="2"/>
    </row>
    <row r="118" spans="63:64" ht="15.75" customHeight="1" x14ac:dyDescent="0.45">
      <c r="BK118" s="2"/>
      <c r="BL118" s="2"/>
    </row>
    <row r="119" spans="63:64" ht="15.75" customHeight="1" x14ac:dyDescent="0.45">
      <c r="BK119" s="2"/>
      <c r="BL119" s="2"/>
    </row>
    <row r="120" spans="63:64" ht="15.75" customHeight="1" x14ac:dyDescent="0.45">
      <c r="BK120" s="2"/>
      <c r="BL120" s="2"/>
    </row>
    <row r="121" spans="63:64" ht="15.75" customHeight="1" x14ac:dyDescent="0.45">
      <c r="BK121" s="2"/>
      <c r="BL121" s="2"/>
    </row>
    <row r="122" spans="63:64" ht="15.75" customHeight="1" x14ac:dyDescent="0.45">
      <c r="BK122" s="2"/>
      <c r="BL122" s="2"/>
    </row>
    <row r="123" spans="63:64" ht="15.75" customHeight="1" x14ac:dyDescent="0.45">
      <c r="BK123" s="2"/>
      <c r="BL123" s="2"/>
    </row>
    <row r="124" spans="63:64" ht="15.75" customHeight="1" x14ac:dyDescent="0.45">
      <c r="BK124" s="2"/>
      <c r="BL124" s="2"/>
    </row>
    <row r="125" spans="63:64" ht="15.75" customHeight="1" x14ac:dyDescent="0.45">
      <c r="BK125" s="2"/>
      <c r="BL125" s="2"/>
    </row>
    <row r="126" spans="63:64" ht="15.75" customHeight="1" x14ac:dyDescent="0.45">
      <c r="BK126" s="2"/>
      <c r="BL126" s="2"/>
    </row>
    <row r="127" spans="63:64" ht="15.75" customHeight="1" x14ac:dyDescent="0.45">
      <c r="BK127" s="2"/>
      <c r="BL127" s="2"/>
    </row>
    <row r="128" spans="63:64" ht="15.75" customHeight="1" x14ac:dyDescent="0.45">
      <c r="BK128" s="2"/>
      <c r="BL128" s="2"/>
    </row>
    <row r="129" spans="63:64" ht="15.75" customHeight="1" x14ac:dyDescent="0.45">
      <c r="BK129" s="2"/>
      <c r="BL129" s="2"/>
    </row>
    <row r="130" spans="63:64" ht="15.75" customHeight="1" x14ac:dyDescent="0.45">
      <c r="BK130" s="2"/>
      <c r="BL130" s="2"/>
    </row>
    <row r="131" spans="63:64" ht="15.75" customHeight="1" x14ac:dyDescent="0.45">
      <c r="BK131" s="2"/>
      <c r="BL131" s="2"/>
    </row>
    <row r="132" spans="63:64" ht="15.75" customHeight="1" x14ac:dyDescent="0.45">
      <c r="BK132" s="2"/>
      <c r="BL132" s="2"/>
    </row>
    <row r="133" spans="63:64" ht="15.75" customHeight="1" x14ac:dyDescent="0.45">
      <c r="BK133" s="2"/>
      <c r="BL133" s="2"/>
    </row>
    <row r="134" spans="63:64" ht="15.75" customHeight="1" x14ac:dyDescent="0.45">
      <c r="BK134" s="2"/>
      <c r="BL134" s="2"/>
    </row>
    <row r="135" spans="63:64" ht="15.75" customHeight="1" x14ac:dyDescent="0.45">
      <c r="BK135" s="2"/>
      <c r="BL135" s="2"/>
    </row>
    <row r="136" spans="63:64" ht="15.75" customHeight="1" x14ac:dyDescent="0.45">
      <c r="BK136" s="2"/>
      <c r="BL136" s="2"/>
    </row>
    <row r="137" spans="63:64" ht="15.75" customHeight="1" x14ac:dyDescent="0.45">
      <c r="BK137" s="2"/>
      <c r="BL137" s="2"/>
    </row>
    <row r="138" spans="63:64" ht="15.75" customHeight="1" x14ac:dyDescent="0.45">
      <c r="BK138" s="2"/>
      <c r="BL138" s="2"/>
    </row>
    <row r="139" spans="63:64" ht="15.75" customHeight="1" x14ac:dyDescent="0.45">
      <c r="BK139" s="2"/>
      <c r="BL139" s="2"/>
    </row>
    <row r="140" spans="63:64" ht="15.75" customHeight="1" x14ac:dyDescent="0.45">
      <c r="BK140" s="2"/>
      <c r="BL140" s="2"/>
    </row>
    <row r="141" spans="63:64" ht="15.75" customHeight="1" x14ac:dyDescent="0.45">
      <c r="BK141" s="2"/>
      <c r="BL141" s="2"/>
    </row>
    <row r="142" spans="63:64" ht="15.75" customHeight="1" x14ac:dyDescent="0.45">
      <c r="BK142" s="2"/>
      <c r="BL142" s="2"/>
    </row>
    <row r="143" spans="63:64" ht="15.75" customHeight="1" x14ac:dyDescent="0.45">
      <c r="BK143" s="2"/>
      <c r="BL143" s="2"/>
    </row>
    <row r="144" spans="63:64" ht="15.75" customHeight="1" x14ac:dyDescent="0.45">
      <c r="BK144" s="2"/>
      <c r="BL144" s="2"/>
    </row>
    <row r="145" spans="63:64" ht="15.75" customHeight="1" x14ac:dyDescent="0.45">
      <c r="BK145" s="2"/>
      <c r="BL145" s="2"/>
    </row>
    <row r="146" spans="63:64" ht="15.75" customHeight="1" x14ac:dyDescent="0.45">
      <c r="BK146" s="2"/>
      <c r="BL146" s="2"/>
    </row>
    <row r="147" spans="63:64" ht="15.75" customHeight="1" x14ac:dyDescent="0.45">
      <c r="BK147" s="2"/>
      <c r="BL147" s="2"/>
    </row>
    <row r="148" spans="63:64" ht="15.75" customHeight="1" x14ac:dyDescent="0.45">
      <c r="BK148" s="2"/>
      <c r="BL148" s="2"/>
    </row>
    <row r="149" spans="63:64" ht="15.75" customHeight="1" x14ac:dyDescent="0.45">
      <c r="BK149" s="2"/>
      <c r="BL149" s="2"/>
    </row>
    <row r="150" spans="63:64" ht="15.75" customHeight="1" x14ac:dyDescent="0.45">
      <c r="BK150" s="2"/>
      <c r="BL150" s="2"/>
    </row>
    <row r="151" spans="63:64" ht="15.75" customHeight="1" x14ac:dyDescent="0.45">
      <c r="BK151" s="2"/>
      <c r="BL151" s="2"/>
    </row>
    <row r="152" spans="63:64" ht="15.75" customHeight="1" x14ac:dyDescent="0.45">
      <c r="BK152" s="2"/>
      <c r="BL152" s="2"/>
    </row>
    <row r="153" spans="63:64" ht="15.75" customHeight="1" x14ac:dyDescent="0.45">
      <c r="BK153" s="2"/>
      <c r="BL153" s="2"/>
    </row>
    <row r="154" spans="63:64" ht="15.75" customHeight="1" x14ac:dyDescent="0.45">
      <c r="BK154" s="2"/>
      <c r="BL154" s="2"/>
    </row>
    <row r="155" spans="63:64" ht="15.75" customHeight="1" x14ac:dyDescent="0.45">
      <c r="BK155" s="2"/>
      <c r="BL155" s="2"/>
    </row>
    <row r="156" spans="63:64" ht="15.75" customHeight="1" x14ac:dyDescent="0.45">
      <c r="BK156" s="2"/>
      <c r="BL156" s="2"/>
    </row>
    <row r="157" spans="63:64" ht="15.75" customHeight="1" x14ac:dyDescent="0.45">
      <c r="BK157" s="2"/>
      <c r="BL157" s="2"/>
    </row>
    <row r="158" spans="63:64" ht="15.75" customHeight="1" x14ac:dyDescent="0.45">
      <c r="BK158" s="2"/>
      <c r="BL158" s="2"/>
    </row>
    <row r="159" spans="63:64" ht="15.75" customHeight="1" x14ac:dyDescent="0.45">
      <c r="BK159" s="2"/>
      <c r="BL159" s="2"/>
    </row>
    <row r="160" spans="63:64" ht="15.75" customHeight="1" x14ac:dyDescent="0.45">
      <c r="BK160" s="2"/>
      <c r="BL160" s="2"/>
    </row>
    <row r="161" spans="63:64" ht="15.75" customHeight="1" x14ac:dyDescent="0.45">
      <c r="BK161" s="2"/>
      <c r="BL161" s="2"/>
    </row>
    <row r="162" spans="63:64" ht="15.75" customHeight="1" x14ac:dyDescent="0.45">
      <c r="BK162" s="2"/>
      <c r="BL162" s="2"/>
    </row>
    <row r="163" spans="63:64" ht="15.75" customHeight="1" x14ac:dyDescent="0.45">
      <c r="BK163" s="2"/>
      <c r="BL163" s="2"/>
    </row>
    <row r="164" spans="63:64" ht="15.75" customHeight="1" x14ac:dyDescent="0.45">
      <c r="BK164" s="2"/>
      <c r="BL164" s="2"/>
    </row>
    <row r="165" spans="63:64" ht="15.75" customHeight="1" x14ac:dyDescent="0.45">
      <c r="BK165" s="2"/>
      <c r="BL165" s="2"/>
    </row>
    <row r="166" spans="63:64" ht="15.75" customHeight="1" x14ac:dyDescent="0.45">
      <c r="BK166" s="2"/>
      <c r="BL166" s="2"/>
    </row>
    <row r="167" spans="63:64" ht="15.75" customHeight="1" x14ac:dyDescent="0.45">
      <c r="BK167" s="2"/>
      <c r="BL167" s="2"/>
    </row>
    <row r="168" spans="63:64" ht="15.75" customHeight="1" x14ac:dyDescent="0.45">
      <c r="BK168" s="2"/>
      <c r="BL168" s="2"/>
    </row>
    <row r="169" spans="63:64" ht="15.75" customHeight="1" x14ac:dyDescent="0.45">
      <c r="BK169" s="2"/>
      <c r="BL169" s="2"/>
    </row>
    <row r="170" spans="63:64" ht="15.75" customHeight="1" x14ac:dyDescent="0.45">
      <c r="BK170" s="2"/>
      <c r="BL170" s="2"/>
    </row>
    <row r="171" spans="63:64" ht="15.75" customHeight="1" x14ac:dyDescent="0.45">
      <c r="BK171" s="2"/>
      <c r="BL171" s="2"/>
    </row>
    <row r="172" spans="63:64" ht="15.75" customHeight="1" x14ac:dyDescent="0.45">
      <c r="BK172" s="2"/>
      <c r="BL172" s="2"/>
    </row>
    <row r="173" spans="63:64" ht="15.75" customHeight="1" x14ac:dyDescent="0.45">
      <c r="BK173" s="2"/>
      <c r="BL173" s="2"/>
    </row>
    <row r="174" spans="63:64" ht="15.75" customHeight="1" x14ac:dyDescent="0.45">
      <c r="BK174" s="2"/>
      <c r="BL174" s="2"/>
    </row>
    <row r="175" spans="63:64" ht="15.75" customHeight="1" x14ac:dyDescent="0.45">
      <c r="BK175" s="2"/>
      <c r="BL175" s="2"/>
    </row>
    <row r="176" spans="63:64" ht="15.75" customHeight="1" x14ac:dyDescent="0.45">
      <c r="BK176" s="2"/>
      <c r="BL176" s="2"/>
    </row>
    <row r="177" spans="63:64" ht="15.75" customHeight="1" x14ac:dyDescent="0.45">
      <c r="BK177" s="2"/>
      <c r="BL177" s="2"/>
    </row>
    <row r="178" spans="63:64" ht="15.75" customHeight="1" x14ac:dyDescent="0.45">
      <c r="BK178" s="2"/>
      <c r="BL178" s="2"/>
    </row>
    <row r="179" spans="63:64" ht="15.75" customHeight="1" x14ac:dyDescent="0.45">
      <c r="BK179" s="2"/>
      <c r="BL179" s="2"/>
    </row>
    <row r="180" spans="63:64" ht="15.75" customHeight="1" x14ac:dyDescent="0.45">
      <c r="BK180" s="2"/>
      <c r="BL180" s="2"/>
    </row>
    <row r="181" spans="63:64" ht="15.75" customHeight="1" x14ac:dyDescent="0.45">
      <c r="BK181" s="2"/>
      <c r="BL181" s="2"/>
    </row>
    <row r="182" spans="63:64" ht="15.75" customHeight="1" x14ac:dyDescent="0.45">
      <c r="BK182" s="2"/>
      <c r="BL182" s="2"/>
    </row>
    <row r="183" spans="63:64" ht="15.75" customHeight="1" x14ac:dyDescent="0.45">
      <c r="BK183" s="2"/>
      <c r="BL183" s="2"/>
    </row>
    <row r="184" spans="63:64" ht="15.75" customHeight="1" x14ac:dyDescent="0.45">
      <c r="BK184" s="2"/>
      <c r="BL184" s="2"/>
    </row>
    <row r="185" spans="63:64" ht="15.75" customHeight="1" x14ac:dyDescent="0.45">
      <c r="BK185" s="2"/>
      <c r="BL185" s="2"/>
    </row>
    <row r="186" spans="63:64" ht="15.75" customHeight="1" x14ac:dyDescent="0.45">
      <c r="BK186" s="2"/>
      <c r="BL186" s="2"/>
    </row>
    <row r="187" spans="63:64" ht="15.75" customHeight="1" x14ac:dyDescent="0.45">
      <c r="BK187" s="2"/>
      <c r="BL187" s="2"/>
    </row>
    <row r="188" spans="63:64" ht="15.75" customHeight="1" x14ac:dyDescent="0.45">
      <c r="BK188" s="2"/>
      <c r="BL188" s="2"/>
    </row>
    <row r="189" spans="63:64" ht="15.75" customHeight="1" x14ac:dyDescent="0.45">
      <c r="BK189" s="2"/>
      <c r="BL189" s="2"/>
    </row>
    <row r="190" spans="63:64" ht="15.75" customHeight="1" x14ac:dyDescent="0.45">
      <c r="BK190" s="2"/>
      <c r="BL190" s="2"/>
    </row>
    <row r="191" spans="63:64" ht="15.75" customHeight="1" x14ac:dyDescent="0.45">
      <c r="BK191" s="2"/>
      <c r="BL191" s="2"/>
    </row>
    <row r="192" spans="63:64" ht="15.75" customHeight="1" x14ac:dyDescent="0.45">
      <c r="BK192" s="2"/>
      <c r="BL192" s="2"/>
    </row>
    <row r="193" spans="63:64" ht="15.75" customHeight="1" x14ac:dyDescent="0.45">
      <c r="BK193" s="2"/>
      <c r="BL193" s="2"/>
    </row>
    <row r="194" spans="63:64" ht="15.75" customHeight="1" x14ac:dyDescent="0.45">
      <c r="BK194" s="2"/>
      <c r="BL194" s="2"/>
    </row>
    <row r="195" spans="63:64" ht="15.75" customHeight="1" x14ac:dyDescent="0.45">
      <c r="BK195" s="2"/>
      <c r="BL195" s="2"/>
    </row>
    <row r="196" spans="63:64" ht="15.75" customHeight="1" x14ac:dyDescent="0.45">
      <c r="BK196" s="2"/>
      <c r="BL196" s="2"/>
    </row>
    <row r="197" spans="63:64" ht="15.75" customHeight="1" x14ac:dyDescent="0.45">
      <c r="BK197" s="2"/>
      <c r="BL197" s="2"/>
    </row>
    <row r="198" spans="63:64" ht="15.75" customHeight="1" x14ac:dyDescent="0.45">
      <c r="BK198" s="2"/>
      <c r="BL198" s="2"/>
    </row>
    <row r="199" spans="63:64" ht="15.75" customHeight="1" x14ac:dyDescent="0.45">
      <c r="BK199" s="2"/>
      <c r="BL199" s="2"/>
    </row>
    <row r="200" spans="63:64" ht="15.75" customHeight="1" x14ac:dyDescent="0.45">
      <c r="BK200" s="2"/>
      <c r="BL200" s="2"/>
    </row>
    <row r="201" spans="63:64" ht="15.75" customHeight="1" x14ac:dyDescent="0.45">
      <c r="BK201" s="2"/>
      <c r="BL201" s="2"/>
    </row>
    <row r="202" spans="63:64" ht="15.75" customHeight="1" x14ac:dyDescent="0.45">
      <c r="BK202" s="2"/>
      <c r="BL202" s="2"/>
    </row>
    <row r="203" spans="63:64" ht="15.75" customHeight="1" x14ac:dyDescent="0.45">
      <c r="BK203" s="2"/>
      <c r="BL203" s="2"/>
    </row>
    <row r="204" spans="63:64" ht="15.75" customHeight="1" x14ac:dyDescent="0.45">
      <c r="BK204" s="2"/>
      <c r="BL204" s="2"/>
    </row>
    <row r="205" spans="63:64" ht="15.75" customHeight="1" x14ac:dyDescent="0.45">
      <c r="BK205" s="2"/>
      <c r="BL205" s="2"/>
    </row>
    <row r="206" spans="63:64" ht="15.75" customHeight="1" x14ac:dyDescent="0.45">
      <c r="BK206" s="2"/>
      <c r="BL206" s="2"/>
    </row>
    <row r="207" spans="63:64" ht="15.75" customHeight="1" x14ac:dyDescent="0.45">
      <c r="BK207" s="2"/>
      <c r="BL207" s="2"/>
    </row>
    <row r="208" spans="63:64" ht="15.75" customHeight="1" x14ac:dyDescent="0.45">
      <c r="BK208" s="2"/>
      <c r="BL208" s="2"/>
    </row>
    <row r="209" spans="63:64" ht="15.75" customHeight="1" x14ac:dyDescent="0.45">
      <c r="BK209" s="2"/>
      <c r="BL209" s="2"/>
    </row>
    <row r="210" spans="63:64" ht="15.75" customHeight="1" x14ac:dyDescent="0.45">
      <c r="BK210" s="2"/>
      <c r="BL210" s="2"/>
    </row>
    <row r="211" spans="63:64" ht="15.75" customHeight="1" x14ac:dyDescent="0.45">
      <c r="BK211" s="2"/>
      <c r="BL211" s="2"/>
    </row>
    <row r="212" spans="63:64" ht="15.75" customHeight="1" x14ac:dyDescent="0.45">
      <c r="BK212" s="2"/>
      <c r="BL212" s="2"/>
    </row>
    <row r="213" spans="63:64" ht="15.75" customHeight="1" x14ac:dyDescent="0.45">
      <c r="BK213" s="2"/>
      <c r="BL213" s="2"/>
    </row>
    <row r="214" spans="63:64" ht="15.75" customHeight="1" x14ac:dyDescent="0.45">
      <c r="BK214" s="2"/>
      <c r="BL214" s="2"/>
    </row>
    <row r="215" spans="63:64" ht="15.75" customHeight="1" x14ac:dyDescent="0.45">
      <c r="BK215" s="2"/>
      <c r="BL215" s="2"/>
    </row>
    <row r="216" spans="63:64" ht="15.75" customHeight="1" x14ac:dyDescent="0.45">
      <c r="BK216" s="2"/>
      <c r="BL216" s="2"/>
    </row>
    <row r="217" spans="63:64" ht="15.75" customHeight="1" x14ac:dyDescent="0.45">
      <c r="BK217" s="2"/>
      <c r="BL217" s="2"/>
    </row>
    <row r="218" spans="63:64" ht="15.75" customHeight="1" x14ac:dyDescent="0.45">
      <c r="BK218" s="2"/>
      <c r="BL218" s="2"/>
    </row>
    <row r="219" spans="63:64" ht="15.75" customHeight="1" x14ac:dyDescent="0.45">
      <c r="BK219" s="2"/>
      <c r="BL219" s="2"/>
    </row>
    <row r="220" spans="63:64" ht="15.75" customHeight="1" x14ac:dyDescent="0.45">
      <c r="BK220" s="2"/>
      <c r="BL220" s="2"/>
    </row>
    <row r="221" spans="63:64" ht="15.75" customHeight="1" x14ac:dyDescent="0.45">
      <c r="BK221" s="2"/>
      <c r="BL221" s="2"/>
    </row>
    <row r="222" spans="63:64" ht="15.75" customHeight="1" x14ac:dyDescent="0.45">
      <c r="BK222" s="2"/>
      <c r="BL222" s="2"/>
    </row>
    <row r="223" spans="63:64" ht="15.75" customHeight="1" x14ac:dyDescent="0.45">
      <c r="BK223" s="2"/>
      <c r="BL223" s="2"/>
    </row>
    <row r="224" spans="63:64" ht="15.75" customHeight="1" x14ac:dyDescent="0.45">
      <c r="BK224" s="2"/>
      <c r="BL224" s="2"/>
    </row>
    <row r="225" spans="63:64" ht="15.75" customHeight="1" x14ac:dyDescent="0.45">
      <c r="BK225" s="2"/>
      <c r="BL225" s="2"/>
    </row>
    <row r="226" spans="63:64" ht="15.75" customHeight="1" x14ac:dyDescent="0.45">
      <c r="BK226" s="2"/>
      <c r="BL226" s="2"/>
    </row>
    <row r="227" spans="63:64" ht="15.75" customHeight="1" x14ac:dyDescent="0.45">
      <c r="BK227" s="2"/>
      <c r="BL227" s="2"/>
    </row>
    <row r="228" spans="63:64" ht="15.75" customHeight="1" x14ac:dyDescent="0.45">
      <c r="BK228" s="2"/>
      <c r="BL228" s="2"/>
    </row>
    <row r="229" spans="63:64" ht="15.75" customHeight="1" x14ac:dyDescent="0.45">
      <c r="BK229" s="2"/>
      <c r="BL229" s="2"/>
    </row>
    <row r="230" spans="63:64" ht="15.75" customHeight="1" x14ac:dyDescent="0.45">
      <c r="BK230" s="2"/>
      <c r="BL230" s="2"/>
    </row>
    <row r="231" spans="63:64" ht="15.75" customHeight="1" x14ac:dyDescent="0.45">
      <c r="BK231" s="2"/>
      <c r="BL231" s="2"/>
    </row>
    <row r="232" spans="63:64" ht="15.75" customHeight="1" x14ac:dyDescent="0.45">
      <c r="BK232" s="2"/>
      <c r="BL232" s="2"/>
    </row>
    <row r="233" spans="63:64" ht="15.75" customHeight="1" x14ac:dyDescent="0.45">
      <c r="BK233" s="2"/>
      <c r="BL233" s="2"/>
    </row>
    <row r="234" spans="63:64" ht="15.75" customHeight="1" x14ac:dyDescent="0.45">
      <c r="BK234" s="2"/>
      <c r="BL234" s="2"/>
    </row>
    <row r="235" spans="63:64" ht="15.75" customHeight="1" x14ac:dyDescent="0.45">
      <c r="BK235" s="2"/>
      <c r="BL235" s="2"/>
    </row>
    <row r="236" spans="63:64" ht="15.75" customHeight="1" x14ac:dyDescent="0.45">
      <c r="BK236" s="2"/>
      <c r="BL236" s="2"/>
    </row>
    <row r="237" spans="63:64" ht="15.75" customHeight="1" x14ac:dyDescent="0.45">
      <c r="BK237" s="2"/>
      <c r="BL237" s="2"/>
    </row>
    <row r="238" spans="63:64" ht="15.75" customHeight="1" x14ac:dyDescent="0.45">
      <c r="BK238" s="2"/>
      <c r="BL238" s="2"/>
    </row>
    <row r="239" spans="63:64" x14ac:dyDescent="0.45">
      <c r="BK239" s="2"/>
      <c r="BL239" s="2"/>
    </row>
    <row r="240" spans="63:64" ht="15.75" customHeight="1" x14ac:dyDescent="0.45">
      <c r="BK240" s="2"/>
      <c r="BL240" s="2"/>
    </row>
    <row r="241" spans="63:64" ht="15.75" customHeight="1" x14ac:dyDescent="0.45">
      <c r="BK241" s="2"/>
      <c r="BL241" s="2"/>
    </row>
    <row r="242" spans="63:64" ht="15.75" customHeight="1" x14ac:dyDescent="0.45"/>
    <row r="243" spans="63:64" ht="15.75" customHeight="1" x14ac:dyDescent="0.45"/>
    <row r="244" spans="63:64" ht="15.75" customHeight="1" x14ac:dyDescent="0.45"/>
    <row r="245" spans="63:64" ht="15.75" customHeight="1" x14ac:dyDescent="0.45"/>
    <row r="246" spans="63:64" ht="15.75" customHeight="1" x14ac:dyDescent="0.45"/>
    <row r="247" spans="63:64" ht="15.75" customHeight="1" x14ac:dyDescent="0.45"/>
    <row r="248" spans="63:64" ht="15.75" customHeight="1" x14ac:dyDescent="0.45"/>
    <row r="249" spans="63:64" ht="15.75" customHeight="1" x14ac:dyDescent="0.45"/>
    <row r="250" spans="63:64" ht="15.75" customHeight="1" x14ac:dyDescent="0.45"/>
    <row r="251" spans="63:64" ht="15.75" customHeight="1" x14ac:dyDescent="0.45"/>
    <row r="252" spans="63:64" ht="15.75" customHeight="1" x14ac:dyDescent="0.45"/>
    <row r="253" spans="63:64" ht="15.75" customHeight="1" x14ac:dyDescent="0.45"/>
    <row r="254" spans="63:64" ht="15.75" customHeight="1" x14ac:dyDescent="0.45"/>
    <row r="255" spans="63:64" ht="15.75" customHeight="1" x14ac:dyDescent="0.45"/>
    <row r="256" spans="63:64" ht="15.75" customHeight="1" x14ac:dyDescent="0.45"/>
    <row r="257" ht="15.75" customHeight="1" x14ac:dyDescent="0.45"/>
    <row r="258" ht="23.25" customHeight="1" x14ac:dyDescent="0.45"/>
    <row r="259" ht="15" customHeight="1" x14ac:dyDescent="0.45"/>
    <row r="260" ht="15.75" customHeight="1" x14ac:dyDescent="0.45"/>
    <row r="261" ht="15" customHeight="1" x14ac:dyDescent="0.45"/>
    <row r="262" ht="15.75" customHeight="1" x14ac:dyDescent="0.45"/>
    <row r="263" ht="15" customHeight="1" x14ac:dyDescent="0.45"/>
    <row r="264" ht="15.75" customHeight="1" x14ac:dyDescent="0.45"/>
    <row r="265" ht="15" customHeight="1" x14ac:dyDescent="0.45"/>
    <row r="266" ht="15.75" customHeight="1" x14ac:dyDescent="0.45"/>
    <row r="267" ht="15" customHeight="1" x14ac:dyDescent="0.45"/>
    <row r="268" ht="15.75" customHeight="1" x14ac:dyDescent="0.45"/>
    <row r="269" ht="15" customHeight="1" x14ac:dyDescent="0.45"/>
    <row r="270" ht="15.75" customHeight="1" x14ac:dyDescent="0.45"/>
    <row r="271" ht="15" customHeight="1" x14ac:dyDescent="0.45"/>
    <row r="272" ht="15.75" customHeight="1" x14ac:dyDescent="0.45"/>
    <row r="273" ht="15" customHeight="1" x14ac:dyDescent="0.45"/>
    <row r="274" ht="15.75" customHeight="1" x14ac:dyDescent="0.45"/>
    <row r="275" ht="15" customHeight="1" x14ac:dyDescent="0.45"/>
    <row r="276" ht="15.75" customHeight="1" x14ac:dyDescent="0.45"/>
    <row r="277" ht="15" customHeight="1" x14ac:dyDescent="0.45"/>
    <row r="278" ht="15.75" customHeight="1" x14ac:dyDescent="0.45"/>
    <row r="279" ht="15" customHeight="1" x14ac:dyDescent="0.45"/>
    <row r="280" ht="15.75" customHeight="1" x14ac:dyDescent="0.45"/>
    <row r="281" ht="15" customHeight="1" x14ac:dyDescent="0.45"/>
    <row r="282" ht="15.75" customHeight="1" x14ac:dyDescent="0.45"/>
    <row r="283" ht="15" customHeight="1" x14ac:dyDescent="0.45"/>
    <row r="284" ht="15.75" customHeight="1" x14ac:dyDescent="0.45"/>
    <row r="285" ht="15" customHeight="1" x14ac:dyDescent="0.45"/>
    <row r="286" ht="15.75" customHeight="1" x14ac:dyDescent="0.45"/>
    <row r="287" ht="15" customHeight="1" x14ac:dyDescent="0.45"/>
    <row r="288" ht="15.75" customHeight="1" x14ac:dyDescent="0.45"/>
    <row r="289" ht="15" customHeight="1" x14ac:dyDescent="0.45"/>
    <row r="290" ht="15.75" customHeight="1" x14ac:dyDescent="0.45"/>
  </sheetData>
  <mergeCells count="1">
    <mergeCell ref="CR6:CR8"/>
  </mergeCells>
  <conditionalFormatting sqref="CR6:CR8">
    <cfRule type="containsText" dxfId="233" priority="45" operator="containsText" text="பிழை">
      <formula>NOT(ISERROR(SEARCH("பிழை",CR6)))</formula>
    </cfRule>
    <cfRule type="cellIs" dxfId="232" priority="46" operator="equal">
      <formula>"சரி"</formula>
    </cfRule>
  </conditionalFormatting>
  <conditionalFormatting sqref="CU15">
    <cfRule type="notContainsText" dxfId="231" priority="41" operator="notContains" text="சரி">
      <formula>ISERROR(SEARCH("சரி",CU15))</formula>
    </cfRule>
    <cfRule type="containsText" dxfId="230" priority="42" operator="containsText" text="சரி">
      <formula>NOT(ISERROR(SEARCH("சரி",CU15)))</formula>
    </cfRule>
  </conditionalFormatting>
  <conditionalFormatting sqref="CU15:CU16">
    <cfRule type="containsText" dxfId="229" priority="38" operator="containsText" text="சரி">
      <formula>NOT(ISERROR(SEARCH("சரி",CU15)))</formula>
    </cfRule>
    <cfRule type="notContainsText" dxfId="228" priority="37" operator="notContains" text="சரி">
      <formula>ISERROR(SEARCH("சரி",CU15))</formula>
    </cfRule>
  </conditionalFormatting>
  <conditionalFormatting sqref="CU15:CU25">
    <cfRule type="containsText" dxfId="227" priority="44" operator="containsText" text="சரி">
      <formula>NOT(ISERROR(SEARCH("சரி",CU15)))</formula>
    </cfRule>
    <cfRule type="notContainsText" dxfId="226" priority="43" operator="notContains" text="சரி">
      <formula>ISERROR(SEARCH("சரி",CU15))</formula>
    </cfRule>
  </conditionalFormatting>
  <conditionalFormatting sqref="CU16">
    <cfRule type="containsText" dxfId="225" priority="36" operator="containsText" text="சரி">
      <formula>NOT(ISERROR(SEARCH("சரி",CU16)))</formula>
    </cfRule>
    <cfRule type="notContainsText" dxfId="224" priority="35" operator="notContains" text="சரி">
      <formula>ISERROR(SEARCH("சரி",CU16))</formula>
    </cfRule>
  </conditionalFormatting>
  <conditionalFormatting sqref="CU16:CU17">
    <cfRule type="containsText" dxfId="223" priority="34" operator="containsText" text="சரி">
      <formula>NOT(ISERROR(SEARCH("சரி",CU16)))</formula>
    </cfRule>
    <cfRule type="notContainsText" dxfId="222" priority="33" operator="notContains" text="சரி">
      <formula>ISERROR(SEARCH("சரி",CU16))</formula>
    </cfRule>
    <cfRule type="containsText" dxfId="221" priority="32" operator="containsText" text="சரி">
      <formula>NOT(ISERROR(SEARCH("சரி",CU16)))</formula>
    </cfRule>
    <cfRule type="notContainsText" dxfId="220" priority="31" operator="notContains" text="சரி">
      <formula>ISERROR(SEARCH("சரி",CU16))</formula>
    </cfRule>
  </conditionalFormatting>
  <conditionalFormatting sqref="CU16:CU18">
    <cfRule type="notContainsText" dxfId="219" priority="29" operator="notContains" text="சரி">
      <formula>ISERROR(SEARCH("சரி",CU16))</formula>
    </cfRule>
    <cfRule type="containsText" dxfId="218" priority="30" operator="containsText" text="சரி">
      <formula>NOT(ISERROR(SEARCH("சரி",CU16)))</formula>
    </cfRule>
    <cfRule type="containsText" dxfId="217" priority="28" operator="containsText" text="சரி">
      <formula>NOT(ISERROR(SEARCH("சரி",CU16)))</formula>
    </cfRule>
    <cfRule type="notContainsText" dxfId="216" priority="27" operator="notContains" text="சரி">
      <formula>ISERROR(SEARCH("சரி",CU16))</formula>
    </cfRule>
  </conditionalFormatting>
  <conditionalFormatting sqref="CU16:CU19">
    <cfRule type="notContainsText" dxfId="215" priority="23" operator="notContains" text="சரி">
      <formula>ISERROR(SEARCH("சரி",CU16))</formula>
    </cfRule>
    <cfRule type="containsText" dxfId="214" priority="24" operator="containsText" text="சரி">
      <formula>NOT(ISERROR(SEARCH("சரி",CU16)))</formula>
    </cfRule>
    <cfRule type="notContainsText" dxfId="213" priority="25" operator="notContains" text="சரி">
      <formula>ISERROR(SEARCH("சரி",CU16))</formula>
    </cfRule>
    <cfRule type="containsText" dxfId="212" priority="26" operator="containsText" text="சரி">
      <formula>NOT(ISERROR(SEARCH("சரி",CU16)))</formula>
    </cfRule>
  </conditionalFormatting>
  <conditionalFormatting sqref="CU16:CU20">
    <cfRule type="containsText" dxfId="211" priority="22" operator="containsText" text="சரி">
      <formula>NOT(ISERROR(SEARCH("சரி",CU16)))</formula>
    </cfRule>
    <cfRule type="notContainsText" dxfId="210" priority="21" operator="notContains" text="சரி">
      <formula>ISERROR(SEARCH("சரி",CU16))</formula>
    </cfRule>
    <cfRule type="notContainsText" dxfId="209" priority="19" operator="notContains" text="சரி">
      <formula>ISERROR(SEARCH("சரி",CU16))</formula>
    </cfRule>
    <cfRule type="containsText" dxfId="208" priority="20" operator="containsText" text="சரி">
      <formula>NOT(ISERROR(SEARCH("சரி",CU16)))</formula>
    </cfRule>
  </conditionalFormatting>
  <conditionalFormatting sqref="CU16:CU21">
    <cfRule type="containsText" dxfId="207" priority="18" operator="containsText" text="சரி">
      <formula>NOT(ISERROR(SEARCH("சரி",CU16)))</formula>
    </cfRule>
    <cfRule type="notContainsText" dxfId="206" priority="17" operator="notContains" text="சரி">
      <formula>ISERROR(SEARCH("சரி",CU16))</formula>
    </cfRule>
    <cfRule type="containsText" dxfId="205" priority="16" operator="containsText" text="சரி">
      <formula>NOT(ISERROR(SEARCH("சரி",CU16)))</formula>
    </cfRule>
    <cfRule type="notContainsText" dxfId="204" priority="15" operator="notContains" text="சரி">
      <formula>ISERROR(SEARCH("சரி",CU16))</formula>
    </cfRule>
  </conditionalFormatting>
  <conditionalFormatting sqref="CU16:CU22">
    <cfRule type="notContainsText" dxfId="203" priority="11" operator="notContains" text="சரி">
      <formula>ISERROR(SEARCH("சரி",CU16))</formula>
    </cfRule>
    <cfRule type="containsText" dxfId="202" priority="14" operator="containsText" text="சரி">
      <formula>NOT(ISERROR(SEARCH("சரி",CU16)))</formula>
    </cfRule>
    <cfRule type="notContainsText" dxfId="201" priority="13" operator="notContains" text="சரி">
      <formula>ISERROR(SEARCH("சரி",CU16))</formula>
    </cfRule>
    <cfRule type="containsText" dxfId="200" priority="12" operator="containsText" text="சரி">
      <formula>NOT(ISERROR(SEARCH("சரி",CU16)))</formula>
    </cfRule>
  </conditionalFormatting>
  <conditionalFormatting sqref="CU16:CU23">
    <cfRule type="containsText" dxfId="199" priority="10" operator="containsText" text="சரி">
      <formula>NOT(ISERROR(SEARCH("சரி",CU16)))</formula>
    </cfRule>
    <cfRule type="notContainsText" dxfId="198" priority="9" operator="notContains" text="சரி">
      <formula>ISERROR(SEARCH("சரி",CU16))</formula>
    </cfRule>
    <cfRule type="containsText" dxfId="197" priority="8" operator="containsText" text="சரி">
      <formula>NOT(ISERROR(SEARCH("சரி",CU16)))</formula>
    </cfRule>
    <cfRule type="notContainsText" dxfId="196" priority="7" operator="notContains" text="சரி">
      <formula>ISERROR(SEARCH("சரி",CU16))</formula>
    </cfRule>
  </conditionalFormatting>
  <conditionalFormatting sqref="CU16:CU24">
    <cfRule type="containsText" dxfId="195" priority="6" operator="containsText" text="சரி">
      <formula>NOT(ISERROR(SEARCH("சரி",CU16)))</formula>
    </cfRule>
    <cfRule type="notContainsText" dxfId="194" priority="5" operator="notContains" text="சரி">
      <formula>ISERROR(SEARCH("சரி",CU16))</formula>
    </cfRule>
  </conditionalFormatting>
  <conditionalFormatting sqref="CU16:CU25">
    <cfRule type="containsText" dxfId="193" priority="2" operator="containsText" text="சரி">
      <formula>NOT(ISERROR(SEARCH("சரி",CU16)))</formula>
    </cfRule>
    <cfRule type="notContainsText" dxfId="192" priority="1" operator="notContains" text="சரி">
      <formula>ISERROR(SEARCH("சரி",CU16))</formula>
    </cfRule>
  </conditionalFormatting>
  <pageMargins left="0.7" right="0.7" top="0.75" bottom="0.75" header="0.3" footer="0.3"/>
  <pageSetup scale="63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B050"/>
  </sheetPr>
  <dimension ref="A1:DQ297"/>
  <sheetViews>
    <sheetView view="pageBreakPreview" topLeftCell="BI13" zoomScale="85" zoomScaleNormal="85" zoomScaleSheetLayoutView="85" workbookViewId="0">
      <selection activeCell="CT32" sqref="CT32"/>
    </sheetView>
  </sheetViews>
  <sheetFormatPr defaultColWidth="9.109375" defaultRowHeight="20.399999999999999" x14ac:dyDescent="0.45"/>
  <cols>
    <col min="1" max="22" width="8.109375" style="1" hidden="1" customWidth="1"/>
    <col min="23" max="27" width="5.109375" style="1" hidden="1" customWidth="1"/>
    <col min="28" max="31" width="2.5546875" style="1" hidden="1" customWidth="1"/>
    <col min="32" max="37" width="8.109375" style="1" hidden="1" customWidth="1"/>
    <col min="38" max="38" width="2.5546875" style="1" hidden="1" customWidth="1"/>
    <col min="39" max="39" width="2.44140625" style="1" hidden="1" customWidth="1"/>
    <col min="40" max="40" width="2.5546875" style="1" hidden="1" customWidth="1"/>
    <col min="41" max="41" width="2.44140625" style="1" hidden="1" customWidth="1"/>
    <col min="42" max="51" width="2.5546875" style="1" hidden="1" customWidth="1"/>
    <col min="52" max="56" width="8.109375" style="1" hidden="1" customWidth="1"/>
    <col min="57" max="57" width="11.109375" style="1" hidden="1" customWidth="1"/>
    <col min="58" max="60" width="9.109375" style="1" hidden="1" customWidth="1"/>
    <col min="61" max="61" width="25.6640625" style="17" bestFit="1" customWidth="1"/>
    <col min="62" max="63" width="4" style="1" hidden="1" customWidth="1"/>
    <col min="64" max="64" width="4.5546875" style="1" hidden="1" customWidth="1"/>
    <col min="65" max="65" width="3" style="1" hidden="1" customWidth="1"/>
    <col min="66" max="71" width="2.6640625" style="1" hidden="1" customWidth="1"/>
    <col min="72" max="81" width="4.33203125" style="1" hidden="1" customWidth="1"/>
    <col min="82" max="82" width="19" style="1" bestFit="1" customWidth="1"/>
    <col min="83" max="84" width="17.44140625" style="1" customWidth="1"/>
    <col min="85" max="85" width="13" style="1" bestFit="1" customWidth="1"/>
    <col min="86" max="86" width="7.6640625" style="1" hidden="1" customWidth="1"/>
    <col min="87" max="92" width="4.44140625" style="1" hidden="1" customWidth="1"/>
    <col min="93" max="93" width="21.5546875" style="1" hidden="1" customWidth="1"/>
    <col min="94" max="94" width="18" style="1" customWidth="1"/>
    <col min="95" max="95" width="9.109375" style="1" hidden="1" customWidth="1"/>
    <col min="96" max="96" width="16.33203125" style="1" bestFit="1" customWidth="1"/>
    <col min="97" max="97" width="23.88671875" style="1" bestFit="1" customWidth="1"/>
    <col min="98" max="98" width="26" style="1" bestFit="1" customWidth="1"/>
    <col min="99" max="99" width="9.109375" style="1"/>
    <col min="100" max="100" width="7.109375" style="1" customWidth="1"/>
    <col min="101" max="101" width="9.109375" style="82" customWidth="1"/>
    <col min="102" max="102" width="9.109375" style="82"/>
    <col min="103" max="103" width="10.88671875" style="82" bestFit="1" customWidth="1"/>
    <col min="104" max="121" width="9.109375" style="82"/>
    <col min="122" max="16384" width="9.109375" style="1"/>
  </cols>
  <sheetData>
    <row r="1" spans="1:121" ht="32.4" x14ac:dyDescent="0.7">
      <c r="A1" s="117"/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8"/>
      <c r="V1" s="118"/>
      <c r="W1" s="118"/>
      <c r="X1" s="118"/>
      <c r="Y1" s="118"/>
      <c r="Z1" s="118"/>
      <c r="AA1" s="118"/>
      <c r="AB1" s="118"/>
      <c r="AC1" s="118"/>
      <c r="AD1" s="118"/>
      <c r="AE1" s="118"/>
      <c r="AF1" s="118"/>
      <c r="AG1" s="118"/>
      <c r="AH1" s="118"/>
      <c r="AI1" s="118"/>
      <c r="AJ1" s="118"/>
      <c r="AK1" s="118"/>
      <c r="AL1" s="118"/>
      <c r="AM1" s="118"/>
      <c r="AN1" s="118"/>
      <c r="AO1" s="118"/>
      <c r="AP1" s="118"/>
      <c r="AQ1" s="118"/>
      <c r="AR1" s="118"/>
      <c r="AS1" s="118"/>
      <c r="AT1" s="118"/>
      <c r="AU1" s="118"/>
      <c r="AV1" s="118"/>
      <c r="AW1" s="118"/>
      <c r="AX1" s="118"/>
      <c r="AY1" s="118"/>
      <c r="AZ1" s="118"/>
      <c r="BA1" s="118"/>
      <c r="BB1" s="118"/>
      <c r="BC1" s="118"/>
      <c r="BD1" s="118"/>
      <c r="BE1" s="118"/>
      <c r="BF1" s="118"/>
      <c r="BG1" s="118"/>
      <c r="BH1" s="118"/>
      <c r="BI1" s="90" t="s">
        <v>373</v>
      </c>
      <c r="BJ1" s="91"/>
      <c r="BK1" s="91"/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  <c r="BZ1" s="91"/>
      <c r="CA1" s="91"/>
      <c r="CB1" s="91"/>
      <c r="CC1" s="91"/>
      <c r="CD1" s="91"/>
      <c r="CE1" s="91"/>
      <c r="CF1" s="91"/>
      <c r="CG1" s="91"/>
      <c r="CH1" s="91"/>
      <c r="CI1" s="91"/>
      <c r="CJ1" s="91"/>
      <c r="CK1" s="91"/>
      <c r="CL1" s="91"/>
      <c r="CM1" s="91"/>
      <c r="CN1" s="91"/>
      <c r="CO1" s="91"/>
      <c r="CP1" s="91"/>
      <c r="CQ1" s="91"/>
      <c r="CR1" s="91"/>
      <c r="CS1" s="91"/>
      <c r="CT1" s="91"/>
      <c r="CU1" s="91"/>
      <c r="CV1" s="92"/>
    </row>
    <row r="2" spans="1:121" ht="25.8" x14ac:dyDescent="0.55000000000000004">
      <c r="A2" s="119"/>
      <c r="BI2" s="93"/>
      <c r="BJ2" s="94"/>
      <c r="BK2" s="94"/>
      <c r="BL2" s="94"/>
      <c r="BM2" s="94"/>
      <c r="BN2" s="94"/>
      <c r="BO2" s="94"/>
      <c r="BP2" s="94"/>
      <c r="BQ2" s="94"/>
      <c r="BR2" s="94"/>
      <c r="BS2" s="94"/>
      <c r="BT2" s="94"/>
      <c r="BU2" s="94"/>
      <c r="BV2" s="94"/>
      <c r="BW2" s="94"/>
      <c r="BX2" s="94"/>
      <c r="BY2" s="94"/>
      <c r="BZ2" s="94"/>
      <c r="CA2" s="94"/>
      <c r="CB2" s="94"/>
      <c r="CC2" s="94"/>
      <c r="CD2" s="94"/>
      <c r="CE2" s="94"/>
      <c r="CF2" s="94"/>
      <c r="CG2" s="94"/>
      <c r="CH2" s="94"/>
      <c r="CI2" s="94"/>
      <c r="CJ2" s="94"/>
      <c r="CK2" s="94"/>
      <c r="CL2" s="94"/>
      <c r="CM2" s="94"/>
      <c r="CN2" s="94"/>
      <c r="CO2" s="94"/>
      <c r="CP2" s="94"/>
      <c r="CQ2" s="94"/>
      <c r="CR2" s="94"/>
      <c r="CS2" s="94"/>
      <c r="CT2" s="94"/>
      <c r="CU2" s="95" t="s">
        <v>346</v>
      </c>
      <c r="CV2" s="96"/>
    </row>
    <row r="3" spans="1:121" ht="16.8" x14ac:dyDescent="0.35">
      <c r="A3" s="119"/>
      <c r="BI3" s="44"/>
      <c r="BJ3" s="25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7"/>
      <c r="BX3" s="28"/>
      <c r="BY3" s="28"/>
      <c r="BZ3" s="28"/>
      <c r="CA3" s="28"/>
      <c r="CB3" s="28"/>
      <c r="CC3" s="28"/>
      <c r="CD3" s="25"/>
      <c r="CE3" s="25"/>
      <c r="CF3" s="25"/>
      <c r="CG3" s="25"/>
      <c r="CH3" s="25"/>
      <c r="CI3" s="25"/>
      <c r="CJ3" s="25"/>
      <c r="CK3" s="25"/>
      <c r="CL3" s="25"/>
      <c r="CM3" s="25"/>
      <c r="CN3" s="25"/>
      <c r="CO3" s="25"/>
      <c r="CP3" s="101"/>
      <c r="CQ3" s="101"/>
      <c r="CR3" s="101"/>
      <c r="CS3" s="101"/>
      <c r="CT3" s="101"/>
      <c r="CU3" s="101"/>
      <c r="CV3" s="102"/>
    </row>
    <row r="4" spans="1:121" s="17" customFormat="1" x14ac:dyDescent="0.45">
      <c r="A4" s="120"/>
      <c r="BI4" s="129" t="s">
        <v>348</v>
      </c>
      <c r="BJ4" s="78"/>
      <c r="BK4" s="78"/>
      <c r="BL4" s="78"/>
      <c r="BM4" s="78"/>
      <c r="BN4" s="78"/>
      <c r="BO4" s="78"/>
      <c r="BP4" s="78"/>
      <c r="BQ4" s="78"/>
      <c r="BR4" s="78"/>
      <c r="BS4" s="78"/>
      <c r="BT4" s="78"/>
      <c r="BU4" s="78"/>
      <c r="BV4" s="78"/>
      <c r="BW4" s="78"/>
      <c r="BX4" s="78"/>
      <c r="BY4" s="78"/>
      <c r="BZ4" s="78"/>
      <c r="CA4" s="78"/>
      <c r="CB4" s="78"/>
      <c r="CC4" s="78"/>
      <c r="CD4" s="78"/>
      <c r="CE4" s="78"/>
      <c r="CF4" s="78"/>
      <c r="CG4" s="78"/>
      <c r="CH4" s="78"/>
      <c r="CI4" s="78"/>
      <c r="CJ4" s="78"/>
      <c r="CK4" s="78"/>
      <c r="CL4" s="78"/>
      <c r="CM4" s="78"/>
      <c r="CN4" s="78"/>
      <c r="CO4" s="78"/>
      <c r="CP4" s="103"/>
      <c r="CQ4" s="103"/>
      <c r="CR4" s="103"/>
      <c r="CS4" s="103"/>
      <c r="CT4" s="103"/>
      <c r="CU4" s="103"/>
      <c r="CV4" s="104"/>
      <c r="CW4" s="87"/>
      <c r="CX4" s="87"/>
      <c r="CY4" s="87"/>
      <c r="CZ4" s="87"/>
      <c r="DA4" s="87"/>
      <c r="DB4" s="87"/>
      <c r="DC4" s="87"/>
      <c r="DD4" s="87"/>
      <c r="DE4" s="87"/>
      <c r="DF4" s="87"/>
      <c r="DG4" s="87"/>
      <c r="DH4" s="87"/>
      <c r="DI4" s="87"/>
      <c r="DJ4" s="87"/>
      <c r="DK4" s="87"/>
      <c r="DL4" s="87"/>
      <c r="DM4" s="87"/>
      <c r="DN4" s="87"/>
      <c r="DO4" s="87"/>
      <c r="DP4" s="87"/>
      <c r="DQ4" s="87"/>
    </row>
    <row r="5" spans="1:121" ht="16.8" x14ac:dyDescent="0.35">
      <c r="A5" s="119"/>
      <c r="BI5" s="48"/>
      <c r="BJ5" s="31"/>
      <c r="BK5" s="32"/>
      <c r="BL5" s="32"/>
      <c r="BM5" s="32"/>
      <c r="BN5" s="32"/>
      <c r="BO5" s="32"/>
      <c r="BP5" s="32"/>
      <c r="BQ5" s="32"/>
      <c r="BR5" s="32"/>
      <c r="BS5" s="32"/>
      <c r="BT5" s="32"/>
      <c r="BU5" s="32"/>
      <c r="BV5" s="32"/>
      <c r="BW5" s="33"/>
      <c r="CD5" s="31"/>
      <c r="CE5" s="31"/>
      <c r="CF5" s="31"/>
      <c r="CG5" s="31"/>
      <c r="CH5" s="31"/>
      <c r="CI5" s="31"/>
      <c r="CJ5" s="31"/>
      <c r="CK5" s="31"/>
      <c r="CL5" s="31"/>
      <c r="CM5" s="31"/>
      <c r="CN5" s="31"/>
      <c r="CO5" s="31"/>
      <c r="CP5" s="31"/>
      <c r="CQ5" s="31"/>
      <c r="CR5" s="31"/>
      <c r="CS5" s="31"/>
      <c r="CT5" s="31"/>
      <c r="CU5" s="31"/>
      <c r="CV5" s="49"/>
    </row>
    <row r="6" spans="1:121" s="29" customFormat="1" ht="16.8" x14ac:dyDescent="0.35">
      <c r="A6" s="121"/>
      <c r="BI6" s="50"/>
      <c r="BJ6" s="34"/>
      <c r="BK6" s="35"/>
      <c r="BL6" s="35"/>
      <c r="BM6" s="35"/>
      <c r="BN6" s="35"/>
      <c r="BO6" s="35"/>
      <c r="BP6" s="35"/>
      <c r="BQ6" s="35"/>
      <c r="BR6" s="35"/>
      <c r="BS6" s="35"/>
      <c r="BT6" s="35"/>
      <c r="BU6" s="35"/>
      <c r="BV6" s="35"/>
      <c r="BW6" s="36"/>
      <c r="CD6" s="31"/>
      <c r="CE6" s="31"/>
      <c r="CF6" s="31"/>
      <c r="CG6" s="31"/>
      <c r="CH6" s="34"/>
      <c r="CI6" s="34"/>
      <c r="CJ6" s="34"/>
      <c r="CK6" s="34"/>
      <c r="CL6" s="34"/>
      <c r="CM6" s="34"/>
      <c r="CN6" s="34"/>
      <c r="CO6" s="34"/>
      <c r="CP6" s="31"/>
      <c r="CQ6" s="34"/>
      <c r="CS6" s="34"/>
      <c r="CT6" s="34"/>
      <c r="CU6" s="34"/>
      <c r="CV6" s="51"/>
      <c r="CW6" s="88"/>
      <c r="CX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</row>
    <row r="7" spans="1:121" s="29" customFormat="1" ht="17.25" customHeight="1" x14ac:dyDescent="0.35">
      <c r="A7" s="121"/>
      <c r="BI7" s="121"/>
      <c r="BJ7" s="34"/>
      <c r="BK7" s="37"/>
      <c r="BL7" s="37"/>
      <c r="BM7" s="37"/>
      <c r="BN7" s="37"/>
      <c r="BO7" s="37"/>
      <c r="BP7" s="37"/>
      <c r="BQ7" s="37"/>
      <c r="BR7" s="37"/>
      <c r="BS7" s="37"/>
      <c r="BT7" s="37"/>
      <c r="BU7" s="37"/>
      <c r="BV7" s="37"/>
      <c r="BW7" s="36"/>
      <c r="CD7" s="99" t="s">
        <v>357</v>
      </c>
      <c r="CE7" s="99" t="s">
        <v>358</v>
      </c>
      <c r="CF7" s="99" t="s">
        <v>359</v>
      </c>
      <c r="CG7" s="99" t="s">
        <v>360</v>
      </c>
      <c r="CH7" s="34"/>
      <c r="CI7" s="34"/>
      <c r="CJ7" s="34"/>
      <c r="CK7" s="34"/>
      <c r="CL7" s="34"/>
      <c r="CM7" s="34"/>
      <c r="CN7" s="34"/>
      <c r="CO7" s="34"/>
      <c r="CQ7" s="34"/>
      <c r="CR7" s="212" t="str">
        <f>IF((CU15&amp;CU16&amp;CU17&amp;CU18&amp;CU19&amp;CU20&amp;CU21&amp;CU22&amp;CU23&amp;CU24&amp;CU25&amp;CS31)="சரிசரிசரிசரிசரிசரிசரிசரிசரிசரிசரிசரி","சரி","பிழை")</f>
        <v>சரி</v>
      </c>
      <c r="CS7" s="34"/>
      <c r="CT7" s="34"/>
      <c r="CU7" s="34"/>
      <c r="CV7" s="51"/>
      <c r="CW7" s="88"/>
      <c r="CX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</row>
    <row r="8" spans="1:121" s="29" customFormat="1" ht="24.9" customHeight="1" x14ac:dyDescent="0.35">
      <c r="A8" s="121"/>
      <c r="BI8" s="108"/>
      <c r="BJ8" s="34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6"/>
      <c r="CD8" s="31"/>
      <c r="CE8" s="31"/>
      <c r="CF8" s="31"/>
      <c r="CG8" s="98" t="s">
        <v>374</v>
      </c>
      <c r="CH8" s="34"/>
      <c r="CI8" s="34"/>
      <c r="CJ8" s="34"/>
      <c r="CK8" s="34"/>
      <c r="CL8" s="34"/>
      <c r="CM8" s="34"/>
      <c r="CN8" s="34"/>
      <c r="CO8" s="34"/>
      <c r="CP8" s="34"/>
      <c r="CQ8" s="34"/>
      <c r="CR8" s="212"/>
      <c r="CS8" s="34"/>
      <c r="CT8" s="34"/>
      <c r="CU8" s="34"/>
      <c r="CV8" s="51"/>
      <c r="CW8" s="88"/>
      <c r="CX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</row>
    <row r="9" spans="1:121" ht="17.25" customHeight="1" x14ac:dyDescent="0.35">
      <c r="A9" s="119"/>
      <c r="BI9" s="107"/>
      <c r="BJ9" s="31"/>
      <c r="BK9" s="38"/>
      <c r="BL9" s="38"/>
      <c r="BM9" s="38"/>
      <c r="BN9" s="38"/>
      <c r="BO9" s="38"/>
      <c r="BP9" s="38"/>
      <c r="BQ9" s="38"/>
      <c r="BR9" s="38"/>
      <c r="BS9" s="38"/>
      <c r="BT9" s="38"/>
      <c r="BU9" s="38"/>
      <c r="BV9" s="38"/>
      <c r="BW9" s="39"/>
      <c r="CD9" s="99" t="s">
        <v>361</v>
      </c>
      <c r="CE9" s="99" t="s">
        <v>358</v>
      </c>
      <c r="CF9" s="99" t="s">
        <v>362</v>
      </c>
      <c r="CG9" s="100" t="s">
        <v>363</v>
      </c>
      <c r="CH9" s="31"/>
      <c r="CI9" s="31"/>
      <c r="CJ9" s="31"/>
      <c r="CK9" s="31"/>
      <c r="CL9" s="31"/>
      <c r="CM9" s="31"/>
      <c r="CN9" s="31"/>
      <c r="CO9" s="31"/>
      <c r="CQ9" s="31"/>
      <c r="CR9" s="212"/>
      <c r="CS9" s="34"/>
      <c r="CT9" s="34"/>
      <c r="CU9" s="31"/>
      <c r="CV9" s="49"/>
    </row>
    <row r="10" spans="1:121" ht="24.9" customHeight="1" x14ac:dyDescent="0.35">
      <c r="A10" s="119"/>
      <c r="BI10" s="48"/>
      <c r="BJ10" s="31"/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9"/>
      <c r="CD10" s="31"/>
      <c r="CE10" s="31"/>
      <c r="CF10" s="31"/>
      <c r="CG10" s="31"/>
      <c r="CH10" s="31"/>
      <c r="CI10" s="31"/>
      <c r="CJ10" s="31"/>
      <c r="CK10" s="31"/>
      <c r="CL10" s="31"/>
      <c r="CM10" s="31"/>
      <c r="CN10" s="31"/>
      <c r="CO10" s="31"/>
      <c r="CP10" s="97"/>
      <c r="CQ10" s="31"/>
      <c r="CR10" s="34"/>
      <c r="CS10" s="34"/>
      <c r="CT10" s="34"/>
      <c r="CU10" s="31"/>
      <c r="CV10" s="49"/>
    </row>
    <row r="11" spans="1:121" ht="16.8" x14ac:dyDescent="0.35">
      <c r="A11" s="119"/>
      <c r="BI11" s="48"/>
      <c r="BJ11" s="31"/>
      <c r="BK11" s="31"/>
      <c r="BL11" s="31"/>
      <c r="BM11" s="31"/>
      <c r="BN11" s="31"/>
      <c r="BO11" s="31"/>
      <c r="BP11" s="31"/>
      <c r="BQ11" s="31"/>
      <c r="BR11" s="31"/>
      <c r="BS11" s="31"/>
      <c r="BT11" s="31"/>
      <c r="BU11" s="31"/>
      <c r="BV11" s="31"/>
      <c r="BW11" s="31"/>
      <c r="BX11" s="31"/>
      <c r="BY11" s="31"/>
      <c r="BZ11" s="31"/>
      <c r="CA11" s="31"/>
      <c r="CB11" s="31"/>
      <c r="CC11" s="31"/>
      <c r="CD11" s="100" t="s">
        <v>364</v>
      </c>
      <c r="CE11" s="100" t="s">
        <v>365</v>
      </c>
      <c r="CF11" s="100" t="s">
        <v>366</v>
      </c>
      <c r="CG11" s="31"/>
      <c r="CH11" s="31"/>
      <c r="CI11" s="31"/>
      <c r="CJ11" s="31"/>
      <c r="CK11" s="31"/>
      <c r="CL11" s="31"/>
      <c r="CM11" s="31"/>
      <c r="CN11" s="31"/>
      <c r="CO11" s="31"/>
      <c r="CQ11" s="31"/>
      <c r="CR11" s="34"/>
      <c r="CS11" s="34"/>
      <c r="CT11" s="34"/>
      <c r="CU11" s="31"/>
      <c r="CV11" s="49"/>
    </row>
    <row r="12" spans="1:121" ht="16.8" x14ac:dyDescent="0.35">
      <c r="A12" s="119"/>
      <c r="BI12" s="48"/>
      <c r="BJ12" s="31"/>
      <c r="BK12" s="31"/>
      <c r="BL12" s="31"/>
      <c r="BM12" s="31"/>
      <c r="BN12" s="31"/>
      <c r="BO12" s="31"/>
      <c r="BP12" s="31"/>
      <c r="BQ12" s="31"/>
      <c r="BR12" s="31"/>
      <c r="BS12" s="31"/>
      <c r="BT12" s="31"/>
      <c r="BU12" s="31"/>
      <c r="BV12" s="31"/>
      <c r="BW12" s="31"/>
      <c r="BX12" s="31"/>
      <c r="BY12" s="31"/>
      <c r="BZ12" s="31"/>
      <c r="CA12" s="31"/>
      <c r="CB12" s="31"/>
      <c r="CC12" s="31"/>
      <c r="CD12" s="31"/>
      <c r="CE12" s="31"/>
      <c r="CF12" s="31"/>
      <c r="CG12" s="31"/>
      <c r="CH12" s="31"/>
      <c r="CI12" s="31"/>
      <c r="CJ12" s="31"/>
      <c r="CK12" s="31"/>
      <c r="CL12" s="31"/>
      <c r="CM12" s="31"/>
      <c r="CN12" s="31"/>
      <c r="CO12" s="31"/>
      <c r="CP12" s="31"/>
      <c r="CQ12" s="31"/>
      <c r="CR12" s="31"/>
      <c r="CS12" s="31"/>
      <c r="CT12" s="31"/>
      <c r="CU12" s="31"/>
      <c r="CV12" s="49"/>
    </row>
    <row r="13" spans="1:121" s="41" customFormat="1" x14ac:dyDescent="0.45">
      <c r="A13" s="122"/>
      <c r="BI13" s="70" t="s">
        <v>347</v>
      </c>
      <c r="BJ13" s="71"/>
      <c r="BK13" s="71"/>
      <c r="BL13" s="71"/>
      <c r="BM13" s="71"/>
      <c r="BN13" s="71"/>
      <c r="BO13" s="71"/>
      <c r="BP13" s="71"/>
      <c r="BQ13" s="71"/>
      <c r="BR13" s="71"/>
      <c r="BS13" s="71"/>
      <c r="BT13" s="71"/>
      <c r="BU13" s="71"/>
      <c r="BV13" s="71"/>
      <c r="BW13" s="71"/>
      <c r="BX13" s="71"/>
      <c r="BY13" s="71"/>
      <c r="BZ13" s="71"/>
      <c r="CA13" s="71"/>
      <c r="CB13" s="71"/>
      <c r="CC13" s="71"/>
      <c r="CD13" s="71"/>
      <c r="CE13" s="71"/>
      <c r="CF13" s="71"/>
      <c r="CG13" s="71"/>
      <c r="CH13" s="71"/>
      <c r="CI13" s="71"/>
      <c r="CJ13" s="71"/>
      <c r="CK13" s="71"/>
      <c r="CL13" s="71"/>
      <c r="CM13" s="71"/>
      <c r="CN13" s="71"/>
      <c r="CO13" s="71"/>
      <c r="CP13" s="71"/>
      <c r="CQ13" s="71"/>
      <c r="CR13" s="71"/>
      <c r="CS13" s="71"/>
      <c r="CT13" s="71"/>
      <c r="CU13" s="71"/>
      <c r="CV13" s="72"/>
      <c r="CW13" s="89"/>
      <c r="CX13" s="89"/>
      <c r="DE13" s="89"/>
      <c r="DF13" s="89"/>
      <c r="DG13" s="89"/>
      <c r="DH13" s="89"/>
      <c r="DI13" s="89"/>
      <c r="DJ13" s="89"/>
      <c r="DK13" s="89"/>
      <c r="DL13" s="89"/>
      <c r="DM13" s="89"/>
      <c r="DN13" s="89"/>
      <c r="DO13" s="89"/>
      <c r="DP13" s="89"/>
      <c r="DQ13" s="89"/>
    </row>
    <row r="14" spans="1:121" s="41" customFormat="1" ht="16.8" x14ac:dyDescent="0.35">
      <c r="A14" s="122"/>
      <c r="BI14" s="73" t="s">
        <v>349</v>
      </c>
      <c r="BJ14" s="74"/>
      <c r="BK14" s="74"/>
      <c r="BL14" s="74"/>
      <c r="BM14" s="74"/>
      <c r="BN14" s="74"/>
      <c r="BO14" s="74"/>
      <c r="BP14" s="74"/>
      <c r="BQ14" s="74"/>
      <c r="BR14" s="74"/>
      <c r="BS14" s="74"/>
      <c r="BT14" s="74"/>
      <c r="BU14" s="74"/>
      <c r="BV14" s="74"/>
      <c r="BW14" s="74"/>
      <c r="BX14" s="74"/>
      <c r="BY14" s="74"/>
      <c r="BZ14" s="74"/>
      <c r="CA14" s="74"/>
      <c r="CB14" s="74"/>
      <c r="CC14" s="74"/>
      <c r="CD14" s="74" t="s">
        <v>350</v>
      </c>
      <c r="CE14" s="74" t="s">
        <v>351</v>
      </c>
      <c r="CF14" s="74" t="s">
        <v>352</v>
      </c>
      <c r="CG14" s="74" t="s">
        <v>353</v>
      </c>
      <c r="CH14" s="74"/>
      <c r="CI14" s="74"/>
      <c r="CJ14" s="74"/>
      <c r="CK14" s="74"/>
      <c r="CL14" s="74"/>
      <c r="CM14" s="74"/>
      <c r="CN14" s="74"/>
      <c r="CO14" s="74"/>
      <c r="CP14" s="74" t="s">
        <v>354</v>
      </c>
      <c r="CQ14" s="74"/>
      <c r="CR14" s="74" t="s">
        <v>355</v>
      </c>
      <c r="CS14" s="74" t="s">
        <v>355</v>
      </c>
      <c r="CT14" s="74" t="s">
        <v>356</v>
      </c>
      <c r="CU14" s="74"/>
      <c r="CV14" s="75"/>
      <c r="CW14" s="89"/>
      <c r="CX14" s="89"/>
      <c r="CY14" s="89"/>
      <c r="CZ14" s="89"/>
      <c r="DA14" s="89"/>
      <c r="DB14" s="89"/>
      <c r="DC14" s="89"/>
      <c r="DD14" s="89"/>
      <c r="DE14" s="89"/>
      <c r="DF14" s="89"/>
      <c r="DG14" s="89"/>
      <c r="DH14" s="89"/>
      <c r="DI14" s="89"/>
      <c r="DJ14" s="89"/>
      <c r="DK14" s="89"/>
      <c r="DL14" s="89"/>
      <c r="DM14" s="89"/>
      <c r="DN14" s="89"/>
      <c r="DO14" s="89"/>
      <c r="DP14" s="89"/>
      <c r="DQ14" s="89"/>
    </row>
    <row r="15" spans="1:121" ht="16.8" x14ac:dyDescent="0.35">
      <c r="A15" s="119"/>
      <c r="B15" s="12">
        <f>IFERROR(VLOOKUP((LEFT(L15,4)),BASE!$E$12:$F$23,1,0),IFERROR(VLOOKUP((LEFT(L15,3)),BASE!$E$12:$F$23,1,0),IFERROR(VLOOKUP((LEFT(L15,2)),BASE!$E$12:$F$23,1,0),IFERROR(VLOOKUP((LEFT(L15,1)),BASE!$E$12:$F$23,1,0),100))))</f>
        <v>100</v>
      </c>
      <c r="C15" s="12">
        <f>IFERROR(VLOOKUP((LEFT(M15,4)),BASE!$E$12:$F$23,1,0),IFERROR(VLOOKUP((LEFT(M15,3)),BASE!$E$12:$F$23,1,0),IFERROR(VLOOKUP((LEFT(M15,2)),BASE!$E$12:$F$23,1,0),IFERROR(VLOOKUP((LEFT(M15,1)),BASE!$E$12:$F$23,1,0),100))))</f>
        <v>100</v>
      </c>
      <c r="D15" s="12">
        <f>IFERROR(VLOOKUP((LEFT(N15,4)),BASE!$E$12:$F$23,1,0),IFERROR(VLOOKUP((LEFT(N15,3)),BASE!$E$12:$F$23,1,0),IFERROR(VLOOKUP((LEFT(N15,2)),BASE!$E$12:$F$23,1,0),IFERROR(VLOOKUP((LEFT(N15,1)),BASE!$E$12:$F$23,1,0),100))))</f>
        <v>100</v>
      </c>
      <c r="E15" s="12">
        <f>IFERROR(VLOOKUP((LEFT(O15,4)),BASE!$E$12:$F$23,1,0),IFERROR(VLOOKUP((LEFT(O15,3)),BASE!$E$12:$F$23,1,0),IFERROR(VLOOKUP((LEFT(O15,2)),BASE!$E$12:$F$23,1,0),IFERROR(VLOOKUP((LEFT(O15,1)),BASE!$E$12:$F$23,1,0),100))))</f>
        <v>100</v>
      </c>
      <c r="F15" s="12">
        <f>IFERROR(VLOOKUP((LEFT(P15,4)),BASE!$E$12:$F$23,1,0),IFERROR(VLOOKUP((LEFT(P15,3)),BASE!$E$12:$F$23,1,0),IFERROR(VLOOKUP((LEFT(P15,2)),BASE!$E$12:$F$23,1,0),IFERROR(VLOOKUP((LEFT(P15,1)),BASE!$E$12:$F$23,1,0),100))))</f>
        <v>100</v>
      </c>
      <c r="G15" s="12">
        <f>IFERROR(VLOOKUP((LEFT(Q15,4)),BASE!$E$12:$F$23,1,0),IFERROR(VLOOKUP((LEFT(Q15,3)),BASE!$E$12:$F$23,1,0),IFERROR(VLOOKUP((LEFT(Q15,2)),BASE!$E$12:$F$23,1,0),IFERROR(VLOOKUP((LEFT(Q15,1)),BASE!$E$12:$F$23,1,0),100))))</f>
        <v>100</v>
      </c>
      <c r="H15" s="12">
        <f>IFERROR(VLOOKUP((LEFT(R15,4)),BASE!$E$12:$F$23,1,0),IFERROR(VLOOKUP((LEFT(R15,3)),BASE!$E$12:$F$23,1,0),IFERROR(VLOOKUP((LEFT(R15,2)),BASE!$E$12:$F$23,1,0),IFERROR(VLOOKUP((LEFT(R15,1)),BASE!$E$12:$F$23,1,0),100))))</f>
        <v>100</v>
      </c>
      <c r="I15" s="12">
        <f>IFERROR(VLOOKUP((LEFT(S15,4)),BASE!$E$12:$F$23,1,0),IFERROR(VLOOKUP((LEFT(S15,3)),BASE!$E$12:$F$23,1,0),IFERROR(VLOOKUP((LEFT(S15,2)),BASE!$E$12:$F$23,1,0),IFERROR(VLOOKUP((LEFT(S15,1)),BASE!$E$12:$F$23,1,0),100))))</f>
        <v>100</v>
      </c>
      <c r="J15" s="12" t="str">
        <f>IFERROR(VLOOKUP((LEFT(T15,4)),BASE!$E$12:$F$24,1,0),IFERROR(VLOOKUP((LEFT(T15,3)),BASE!$E$12:$F$24,1,0),IFERROR(VLOOKUP((LEFT(T15,2)),BASE!$E$12:$F$24,1,0),IFERROR(VLOOKUP((LEFT(T15,1)),BASE!$E$12:$F$24,1,0),100))))</f>
        <v>no</v>
      </c>
      <c r="K15" s="12" t="str">
        <f>IFERROR(VLOOKUP((LEFT(U15,4)),BASE!$E$12:$F$23,1,0),IFERROR(VLOOKUP((LEFT(U15,3)),BASE!$E$12:$F$23,1,0),IFERROR(VLOOKUP((LEFT(U15,2)),BASE!$E$12:$F$23,1,0),IFERROR(VLOOKUP((LEFT(U15,1)),BASE!$E$12:$F$23,1,0),100))))</f>
        <v>ko</v>
      </c>
      <c r="L15" s="14" t="str">
        <f t="shared" ref="L15:T25" si="0">MID(M15,LEN(C15)+1,(LEN(M15)))</f>
        <v/>
      </c>
      <c r="M15" s="14" t="str">
        <f t="shared" si="0"/>
        <v/>
      </c>
      <c r="N15" s="14" t="str">
        <f t="shared" si="0"/>
        <v/>
      </c>
      <c r="O15" s="14" t="str">
        <f t="shared" si="0"/>
        <v/>
      </c>
      <c r="P15" s="14" t="str">
        <f t="shared" si="0"/>
        <v/>
      </c>
      <c r="Q15" s="14" t="str">
        <f t="shared" si="0"/>
        <v/>
      </c>
      <c r="R15" s="14" t="str">
        <f t="shared" si="0"/>
        <v/>
      </c>
      <c r="S15" s="14" t="str">
        <f t="shared" si="0"/>
        <v/>
      </c>
      <c r="T15" s="14" t="str">
        <f t="shared" si="0"/>
        <v>no</v>
      </c>
      <c r="U15" s="14" t="str">
        <f t="shared" ref="U15:U25" si="1">AO15&amp;AN15&amp;AM15&amp;AL15&amp;AK15&amp;AJ15&amp;AI15&amp;AH15&amp;AG15&amp;AF15</f>
        <v>kono</v>
      </c>
      <c r="V15" s="13">
        <f>IFERROR(VLOOKUP(LEFT(AZ15,2),BASE!$C$96:$E$342,3,0),IFERROR(VLOOKUP(LEFT(AZ15,1),BASE!$C$96:$E$342,3,0),100))</f>
        <v>100</v>
      </c>
      <c r="W15" s="13">
        <f>IFERROR(VLOOKUP(LEFT(BA15,2),BASE!$C$96:$E$342,3,0),IFERROR(VLOOKUP(LEFT(BA15,1),BASE!$C$96:$E$342,3,0),100))</f>
        <v>100</v>
      </c>
      <c r="X15" s="13">
        <f>IFERROR(VLOOKUP(LEFT(BB15,2),BASE!$C$96:$E$342,3,0),IFERROR(VLOOKUP(LEFT(BB15,1),BASE!$C$96:$E$342,3,0),100))</f>
        <v>100</v>
      </c>
      <c r="Y15" s="13">
        <f>IFERROR(VLOOKUP(LEFT(BC15,2),BASE!$C$96:$E$342,3,0),IFERROR(VLOOKUP(LEFT(BC15,1),BASE!$C$96:$E$342,3,0),100))</f>
        <v>100</v>
      </c>
      <c r="Z15" s="13">
        <f>IFERROR(VLOOKUP(LEFT(BD15,2),BASE!$C$96:$E$342,3,0),IFERROR(VLOOKUP(LEFT(BD15,1),BASE!$C$96:$E$342,3,0),100))</f>
        <v>100</v>
      </c>
      <c r="AA15" s="13">
        <f>IFERROR(VLOOKUP(LEFT(BE15,2),BASE!$C$96:$E$342,3,0),IFERROR(VLOOKUP(LEFT(BE15,1),BASE!$C$96:$E$342,3,0),100))</f>
        <v>100</v>
      </c>
      <c r="AB15" s="13">
        <f>IFERROR(VLOOKUP(LEFT(BF15,2),BASE!$C$96:$E$342,3,0),IFERROR(VLOOKUP(LEFT(BF15,1),BASE!$C$96:$E$342,3,0),100))</f>
        <v>2</v>
      </c>
      <c r="AC15" s="13">
        <f>IFERROR(VLOOKUP(LEFT(BG15,2),BASE!$C$96:$E$342,3,0),IFERROR(VLOOKUP(LEFT(BG15,1),BASE!$C$96:$E$342,3,0),100))</f>
        <v>2</v>
      </c>
      <c r="AD15" s="13">
        <f>IFERROR(VLOOKUP(LEFT(BH15,2),BASE!$C$96:$E$342,3,0),IFERROR(VLOOKUP(LEFT(BH15,1),BASE!$C$96:$E$342,3,0),100))</f>
        <v>2</v>
      </c>
      <c r="AE15" s="13">
        <f>IFERROR(VLOOKUP(LEFT(BI15,2),BASE!$C$96:$E$342,3,0),IFERROR(VLOOKUP(LEFT(BI15,1),BASE!$C$96:$E$342,3,0),100))</f>
        <v>1</v>
      </c>
      <c r="AF15" s="187" t="str">
        <f>IF(AND(BS15=BR15,AG15="o"),"A", (IFERROR(VLOOKUP(LEFT(AZ15,2),BASE!$C$346:$D$592,2,0),IFERROR(VLOOKUP(LEFT(AZ15,1),BASE!$C$346:$D$5922,2,0),AZ15))))</f>
        <v/>
      </c>
      <c r="AG15" s="187" t="str">
        <f>IF(AND(BR15=BQ15,AH15="o"),"A", (IFERROR(VLOOKUP(LEFT(BA15,2),BASE!$C$346:$D$592,2,0),IFERROR(VLOOKUP(LEFT(BA15,1),BASE!$C$346:$D$592,2,0),BA15))))</f>
        <v/>
      </c>
      <c r="AH15" s="187" t="str">
        <f>IF(AND(BQ15=BP15,AI15="o"),"A", (IFERROR(VLOOKUP(LEFT(BB15,2),BASE!$C$346:$D$592,2,0),IFERROR(VLOOKUP(LEFT(BB15,1),BASE!$C$346:$D$592,2,0),BB15))))</f>
        <v/>
      </c>
      <c r="AI15" s="187" t="str">
        <f>IF(AND(BP15=BO15,AJ15="o"),"A", (IFERROR(VLOOKUP(LEFT(BC15,2),BASE!$C$346:$D$592,2,0),IFERROR(VLOOKUP(LEFT(BC15,1),BASE!$C$346:$D$592,2,0),BC15))))</f>
        <v/>
      </c>
      <c r="AJ15" s="187" t="str">
        <f>IF(AND(BO15=BN15,AK15="o"),"A", (IFERROR(VLOOKUP(LEFT(BD15,2),BASE!$C$346:$D$592,2,0),IFERROR(VLOOKUP(LEFT(BD15,1),BASE!$C$346:$D$592,2,0),BD15))))</f>
        <v/>
      </c>
      <c r="AK15" s="187" t="str">
        <f>IF(AND(BN15=BM15,AL15="o"),"A", (IFERROR(VLOOKUP(LEFT(BE15,2),BASE!$C$346:$D$592,2,0),IFERROR(VLOOKUP(LEFT(BE15,1),BASE!$C$346:$D$592,2,0),BE15))))</f>
        <v/>
      </c>
      <c r="AL15" s="187" t="str">
        <f>IF(AND(BM15=BL15,AM15="o"),"A", (IFERROR(VLOOKUP(LEFT(BF15,2),BASE!$C$346:$D$592,2,0),IFERROR(VLOOKUP(LEFT(BF15,1),BASE!$C$346:$D$592,2,0),BF15))))</f>
        <v>o</v>
      </c>
      <c r="AM15" s="187" t="str">
        <f>IF(AND(BL15=BK15,AN15="o"),"A",(IFERROR(VLOOKUP(LEFT(BG15,2),BASE!$C$346:$D$592,2,0),IFERROR(VLOOKUP(LEFT(BG15,1),BASE!$C$346:$D$592,2,0),BG15))))</f>
        <v>n</v>
      </c>
      <c r="AN15" s="187" t="str">
        <f>(IFERROR(VLOOKUP(LEFT(BH15,2),BASE!$C$346:$D$592,2,0),IFERROR(VLOOKUP(LEFT(BH15,1),BASE!$C$346:$D$592,2,0),BH15)))</f>
        <v>o</v>
      </c>
      <c r="AO15" s="187" t="str">
        <f>(IFERROR(VLOOKUP(LEFT(BI15,2),BASE!$C$96:$D$342,2,0),IFERROR(VLOOKUP(LEFT(BI15,1),BASE!$C$96:$D$342,2,0),BI15)))</f>
        <v>k</v>
      </c>
      <c r="AP15" s="5">
        <f t="shared" ref="AP15:AX25" si="2">AQ15</f>
        <v>7</v>
      </c>
      <c r="AQ15" s="5">
        <f t="shared" si="2"/>
        <v>7</v>
      </c>
      <c r="AR15" s="5">
        <f t="shared" si="2"/>
        <v>7</v>
      </c>
      <c r="AS15" s="5">
        <f t="shared" si="2"/>
        <v>7</v>
      </c>
      <c r="AT15" s="5">
        <f t="shared" si="2"/>
        <v>7</v>
      </c>
      <c r="AU15" s="5">
        <f t="shared" si="2"/>
        <v>7</v>
      </c>
      <c r="AV15" s="5">
        <f t="shared" si="2"/>
        <v>7</v>
      </c>
      <c r="AW15" s="5">
        <f t="shared" si="2"/>
        <v>7</v>
      </c>
      <c r="AX15" s="5">
        <f t="shared" si="2"/>
        <v>7</v>
      </c>
      <c r="AY15" s="5">
        <f t="shared" ref="AY15:AY25" si="3">LEN(BI15)</f>
        <v>7</v>
      </c>
      <c r="AZ15" s="12" t="str">
        <f t="shared" ref="AZ15:BH25" si="4">MID(BA15,W15+1,AQ15)</f>
        <v/>
      </c>
      <c r="BA15" s="12" t="str">
        <f t="shared" si="4"/>
        <v/>
      </c>
      <c r="BB15" s="12" t="str">
        <f t="shared" si="4"/>
        <v/>
      </c>
      <c r="BC15" s="12" t="str">
        <f t="shared" si="4"/>
        <v/>
      </c>
      <c r="BD15" s="12" t="str">
        <f t="shared" si="4"/>
        <v/>
      </c>
      <c r="BE15" s="12" t="str">
        <f t="shared" si="4"/>
        <v/>
      </c>
      <c r="BF15" s="12" t="str">
        <f t="shared" si="4"/>
        <v>ர்</v>
      </c>
      <c r="BG15" s="12" t="str">
        <f t="shared" si="4"/>
        <v>லார்</v>
      </c>
      <c r="BH15" s="43" t="str">
        <f t="shared" si="4"/>
        <v>ல்லார்</v>
      </c>
      <c r="BI15" s="57" t="str">
        <f>CD7</f>
        <v>நல்லார்</v>
      </c>
      <c r="BJ15" s="58" t="str">
        <f>IFERROR(VLOOKUP(LEFT(BI15,2),BASE!$C$96:$F$342,1,0),IFERROR(VLOOKUP(LEFT(BI15,1),BASE!$C$96:$F$342,1,0),BI15))</f>
        <v>ந</v>
      </c>
      <c r="BK15" s="58" t="str">
        <f>IFERROR(VLOOKUP(LEFT(BH15,2),BASE!$C$96:$D$342,1,0),IFERROR(VLOOKUP(LEFT(BH15,1),BASE!$C$96:$D$342,1,0),BH15))</f>
        <v>ல்</v>
      </c>
      <c r="BL15" s="58" t="str">
        <f>IFERROR(VLOOKUP(LEFT(BG15,2),BASE!$C$96:$D$342,1,0),IFERROR(VLOOKUP(LEFT(BG15,1),BASE!$C$96:$D$342,1,0),BG15))</f>
        <v>லா</v>
      </c>
      <c r="BM15" s="58" t="str">
        <f>IFERROR(VLOOKUP(LEFT(BF15,2),BASE!$C$96:$D$342,1,0),IFERROR(VLOOKUP(LEFT(BF15,1),BASE!$C$96:$D$342,1,0),BF15))</f>
        <v>ர்</v>
      </c>
      <c r="BN15" s="58" t="str">
        <f>IFERROR(VLOOKUP(LEFT(BE15,2),BASE!$C$96:$D$342,1,0),IFERROR(VLOOKUP(LEFT(BE15,1),BASE!$C$96:$D$342,1,0),BE15))</f>
        <v/>
      </c>
      <c r="BO15" s="58" t="str">
        <f>IFERROR(VLOOKUP(LEFT(BD15,2),BASE!$C$96:$D$342,1,0),IFERROR(VLOOKUP(LEFT(BD15,1),BASE!$C$96:$D$342,1,0),BD15))</f>
        <v/>
      </c>
      <c r="BP15" s="58" t="str">
        <f>IFERROR(VLOOKUP(LEFT(BC15,2),BASE!$C$96:$D$342,1,0),IFERROR(VLOOKUP(LEFT(BC15,1),BASE!$C$96:$D$342,1,0),BC15))</f>
        <v/>
      </c>
      <c r="BQ15" s="58" t="str">
        <f>IFERROR(VLOOKUP(LEFT(BB15,2),BASE!$C$96:$D$342,1,0),IFERROR(VLOOKUP(LEFT(BB15,1),BASE!$C$96:$D$342,1,0),BB15))</f>
        <v/>
      </c>
      <c r="BR15" s="58" t="str">
        <f>IFERROR(VLOOKUP(LEFT(BA15,2),BASE!$C$96:$D$342,1,0),IFERROR(VLOOKUP(LEFT(BA15,1),BASE!$C$96:$D$342,1,0),BA15))</f>
        <v/>
      </c>
      <c r="BS15" s="58" t="str">
        <f>IFERROR(VLOOKUP(LEFT(AZ15,2),BASE!$C$96:$D$342,1,0),IFERROR(VLOOKUP(LEFT(AZ15,1),BASE!$C$96:$D$342,1,0),AZ15))</f>
        <v/>
      </c>
      <c r="BT15" s="186" t="str">
        <f>(IFERROR(VLOOKUP(LEFT(BI15,2),BASE!$C$96:$F$342,4,0),IFERROR(VLOOKUP(LEFT(BI15,1),BASE!$C$96:$F$342,4,0),BI15)))</f>
        <v>கு</v>
      </c>
      <c r="BU15" s="186" t="str">
        <f>(IFERROR(VLOOKUP(LEFT(BH15,2),BASE!$C$346:$F$592,4,0),IFERROR(VLOOKUP(LEFT(BH15,1),BASE!$C$346:$F$592,4,0),BH15)))</f>
        <v>ஒ</v>
      </c>
      <c r="BV15" s="186" t="str">
        <f>(IFERROR(VLOOKUP(LEFT(BG15,2),BASE!$C$346:$F$592,4,0),IFERROR(VLOOKUP(LEFT(BG15,1),BASE!$C$346:$F$592,4,0),BG15)))</f>
        <v>நெ</v>
      </c>
      <c r="BW15" s="186" t="str">
        <f>(IFERROR(VLOOKUP(LEFT(BF15,2),BASE!$C$346:$F$592,4,0),IFERROR(VLOOKUP(LEFT(BF15,1),BASE!$C$346:$F$592,4,0),BF15)))</f>
        <v>ஒ</v>
      </c>
      <c r="BX15" s="186" t="str">
        <f>(IFERROR(VLOOKUP(LEFT(BE15,2),BASE!$C$346:$F$592,4,0),IFERROR(VLOOKUP(LEFT(BE15,1),BASE!$C$346:$F$592,4,0),BE15)))</f>
        <v/>
      </c>
      <c r="BY15" s="186" t="str">
        <f>(IFERROR(VLOOKUP(LEFT(BD15,2),BASE!$C$346:$F$592,4,0),IFERROR(VLOOKUP(LEFT(BD15,1),BASE!$C$346:$F$592,4,0),BD15)))</f>
        <v/>
      </c>
      <c r="BZ15" s="186" t="str">
        <f>(IFERROR(VLOOKUP(LEFT(BC15,2),BASE!$C$346:$F$592,4,0),IFERROR(VLOOKUP(LEFT(BC15,1),BASE!$C$346:$F$592,4,0),BC15)))</f>
        <v/>
      </c>
      <c r="CA15" s="186" t="str">
        <f>(IFERROR(VLOOKUP(LEFT(BB15,2),BASE!$C$346:$F$592,4,0),IFERROR(VLOOKUP(LEFT(BB15,1),BASE!$C$346:$F$592,4,0),BB15)))</f>
        <v/>
      </c>
      <c r="CB15" s="186" t="str">
        <f>(IFERROR(VLOOKUP(LEFT(BA15,2),BASE!$C$346:$F$592,4,0),IFERROR(VLOOKUP(LEFT(BA15,1),BASE!$C$346:$F$592,4,0),BA15)))</f>
        <v/>
      </c>
      <c r="CC15" s="186" t="str">
        <f>(IFERROR(VLOOKUP(LEFT(AZ15,2),BASE!$C$346:$F$592,4,0),IFERROR(VLOOKUP(LEFT(AZ15,1),BASE!$C$346:$F$592,4,0),AZ15)))</f>
        <v/>
      </c>
      <c r="CD15" s="58" t="str">
        <f t="shared" ref="CD15:CD25" si="5">BT15&amp;BU15&amp;BV15&amp;BW15&amp;BX15&amp;BY15&amp;BZ15&amp;CA15&amp;CB15&amp;CC15</f>
        <v>குஒநெஒ</v>
      </c>
      <c r="CE15" s="58" t="str">
        <f>IFERROR(VLOOKUP((LEFT(U15,4)),BASE!$E$12:$F$23,2,0),IFERROR(VLOOKUP((LEFT(U15,3)),BASE!$E$12:$F$23,2,0),IFERROR(VLOOKUP((LEFT(U15,2)),BASE!$E$12:$F$23,2,0),IFERROR(VLOOKUP((LEFT(U15,1)),BASE!$E$12:$F$23,2,0),U15))))</f>
        <v>நேர்</v>
      </c>
      <c r="CF15" s="58" t="str">
        <f>IFERROR(VLOOKUP((LEFT(T15,4)),BASE!$E$12:$F$24,2,0),IFERROR(VLOOKUP((LEFT(T15,3)),BASE!$E$12:$F$24,2,0),IFERROR(VLOOKUP((LEFT(T15,2)),BASE!$E$12:$F$24,2,0),IFERROR(VLOOKUP((LEFT(T15,1)),BASE!$E$12:$F$24,2,0),T15))))</f>
        <v>நேர்</v>
      </c>
      <c r="CG15" s="58" t="str">
        <f>IFERROR(VLOOKUP((LEFT(S15,4)),BASE!$E$12:$F$23,2,0),IFERROR(VLOOKUP((LEFT(S15,3)),BASE!$E$12:$F$23,2,0),IFERROR(VLOOKUP((LEFT(S15,2)),BASE!$E$12:$F$23,2,0),IFERROR(VLOOKUP((LEFT(S15,1)),BASE!$E$12:$F$23,2,0),S15))))</f>
        <v/>
      </c>
      <c r="CH15" s="58" t="str">
        <f>IFERROR(VLOOKUP((LEFT(R15,4)),BASE!$E$12:$F$23,2,0),IFERROR(VLOOKUP((LEFT(R15,3)),BASE!$E$12:$F$23,2,0),IFERROR(VLOOKUP((LEFT(R15,2)),BASE!$E$12:$F$23,2,0),IFERROR(VLOOKUP((LEFT(R15,1)),BASE!$E$12:$F$23,2,0),R15))))</f>
        <v/>
      </c>
      <c r="CI15" s="58" t="str">
        <f>IFERROR(VLOOKUP((LEFT(Q15,4)),BASE!$E$12:$F$23,2,0),IFERROR(VLOOKUP((LEFT(Q15,3)),BASE!$E$12:$F$23,2,0),IFERROR(VLOOKUP((LEFT(Q15,2)),BASE!$E$12:$F$23,2,0),IFERROR(VLOOKUP((LEFT(Q15,1)),BASE!$E$12:$F$23,2,0),Q15))))</f>
        <v/>
      </c>
      <c r="CJ15" s="58" t="str">
        <f>IFERROR(VLOOKUP((LEFT(P15,4)),BASE!$E$12:$F$23,2,0),IFERROR(VLOOKUP((LEFT(P15,3)),BASE!$E$12:$F$23,2,0),IFERROR(VLOOKUP((LEFT(P15,2)),BASE!$E$12:$F$23,2,0),IFERROR(VLOOKUP((LEFT(P15,1)),BASE!$E$12:$F$23,2,0),P15))))</f>
        <v/>
      </c>
      <c r="CK15" s="58" t="str">
        <f>IFERROR(VLOOKUP((LEFT(O15,4)),BASE!$E$12:$F$23,2,0),IFERROR(VLOOKUP((LEFT(O15,3)),BASE!$E$12:$F$23,2,0),IFERROR(VLOOKUP((LEFT(O15,2)),BASE!$E$12:$F$23,2,0),IFERROR(VLOOKUP((LEFT(O15,1)),BASE!$E$12:$F$23,2,0),O15))))</f>
        <v/>
      </c>
      <c r="CL15" s="58" t="str">
        <f>IFERROR(VLOOKUP((LEFT(N15,4)),BASE!$E$12:$F$23,2,0),IFERROR(VLOOKUP((LEFT(N15,3)),BASE!$E$12:$F$23,2,0),IFERROR(VLOOKUP((LEFT(N15,2)),BASE!$E$12:$F$23,2,0),IFERROR(VLOOKUP((LEFT(N15,1)),BASE!$E$12:$F$23,2,0),N15))))</f>
        <v/>
      </c>
      <c r="CM15" s="58" t="str">
        <f>IFERROR(VLOOKUP((LEFT(M15,4)),BASE!$E$12:$F$23,2,0),IFERROR(VLOOKUP((LEFT(M15,3)),BASE!$E$12:$F$23,2,0),IFERROR(VLOOKUP((LEFT(M15,2)),BASE!$E$12:$F$23,2,0),IFERROR(VLOOKUP((LEFT(M15,1)),BASE!$E$12:$F$23,2,0),M15))))</f>
        <v/>
      </c>
      <c r="CN15" s="58" t="str">
        <f>IFERROR(VLOOKUP((LEFT(L15,4)),BASE!$E$12:$F$23,2,0),IFERROR(VLOOKUP((LEFT(L15,3)),BASE!$E$12:$F$23,2,0),IFERROR(VLOOKUP((LEFT(L15,2)),BASE!$E$12:$F$23,2,0),IFERROR(VLOOKUP((LEFT(L15,1)),BASE!$E$12:$F$23,2,0),L15))))</f>
        <v/>
      </c>
      <c r="CO15" s="58" t="str">
        <f t="shared" ref="CO15:CO25" si="6">CE15&amp;CF15&amp;CG15&amp;CH15</f>
        <v>நேர்நேர்</v>
      </c>
      <c r="CP15" s="58" t="str">
        <f>VLOOKUP(CO15,BASE!$E$25:$F$79,2,0)</f>
        <v>தேமா</v>
      </c>
      <c r="CQ15" s="58" t="str">
        <f>VLOOKUP(CO15,BASE!$E$25:$G$79,3,0)&amp;CE16</f>
        <v>மாநிரை</v>
      </c>
      <c r="CR15" s="58" t="str">
        <f>VLOOKUP(CQ15,BASE!$E$86:$G$93,2,0)</f>
        <v>மாமுன் நிரை</v>
      </c>
      <c r="CS15" s="58" t="str">
        <f>VLOOKUP(CQ15,BASE!$E$86:$G$93,3,0)</f>
        <v>இயற்சீர் வெண்டளை</v>
      </c>
      <c r="CT15" s="58" t="str">
        <f t="shared" ref="CT15:CT24" si="7">IF((OR(CH15="நிரை",CH15="நேர்")),"மூவசைக்கு மிகக்கூடாது","மூவசைக்கு மிகவில்லை")</f>
        <v>மூவசைக்கு மிகவில்லை</v>
      </c>
      <c r="CU15" s="58" t="str">
        <f t="shared" ref="CU15:CU24" si="8">IF((OR(CS15="இயற்சீர் வெண்டளை",CS15="வெண்சீர் வெண்டளை")),"சரி","தளை தட்டுகிறது")</f>
        <v>சரி</v>
      </c>
      <c r="CV15" s="193"/>
    </row>
    <row r="16" spans="1:121" ht="19.5" customHeight="1" x14ac:dyDescent="0.35">
      <c r="A16" s="119"/>
      <c r="B16" s="12">
        <f>IFERROR(VLOOKUP((LEFT(L16,4)),BASE!$E$12:$F$23,1,0),IFERROR(VLOOKUP((LEFT(L16,3)),BASE!$E$12:$F$23,1,0),IFERROR(VLOOKUP((LEFT(L16,2)),BASE!$E$12:$F$23,1,0),IFERROR(VLOOKUP((LEFT(L16,1)),BASE!$E$12:$F$23,1,0),100))))</f>
        <v>100</v>
      </c>
      <c r="C16" s="12">
        <f>IFERROR(VLOOKUP((LEFT(M16,4)),BASE!$E$12:$F$23,1,0),IFERROR(VLOOKUP((LEFT(M16,3)),BASE!$E$12:$F$23,1,0),IFERROR(VLOOKUP((LEFT(M16,2)),BASE!$E$12:$F$23,1,0),IFERROR(VLOOKUP((LEFT(M16,1)),BASE!$E$12:$F$23,1,0),100))))</f>
        <v>100</v>
      </c>
      <c r="D16" s="12">
        <f>IFERROR(VLOOKUP((LEFT(N16,4)),BASE!$E$12:$F$23,1,0),IFERROR(VLOOKUP((LEFT(N16,3)),BASE!$E$12:$F$23,1,0),IFERROR(VLOOKUP((LEFT(N16,2)),BASE!$E$12:$F$23,1,0),IFERROR(VLOOKUP((LEFT(N16,1)),BASE!$E$12:$F$23,1,0),100))))</f>
        <v>100</v>
      </c>
      <c r="E16" s="12">
        <f>IFERROR(VLOOKUP((LEFT(O16,4)),BASE!$E$12:$F$23,1,0),IFERROR(VLOOKUP((LEFT(O16,3)),BASE!$E$12:$F$23,1,0),IFERROR(VLOOKUP((LEFT(O16,2)),BASE!$E$12:$F$23,1,0),IFERROR(VLOOKUP((LEFT(O16,1)),BASE!$E$12:$F$23,1,0),100))))</f>
        <v>100</v>
      </c>
      <c r="F16" s="12">
        <f>IFERROR(VLOOKUP((LEFT(P16,4)),BASE!$E$12:$F$23,1,0),IFERROR(VLOOKUP((LEFT(P16,3)),BASE!$E$12:$F$23,1,0),IFERROR(VLOOKUP((LEFT(P16,2)),BASE!$E$12:$F$23,1,0),IFERROR(VLOOKUP((LEFT(P16,1)),BASE!$E$12:$F$23,1,0),100))))</f>
        <v>100</v>
      </c>
      <c r="G16" s="12">
        <f>IFERROR(VLOOKUP((LEFT(Q16,4)),BASE!$E$12:$F$23,1,0),IFERROR(VLOOKUP((LEFT(Q16,3)),BASE!$E$12:$F$23,1,0),IFERROR(VLOOKUP((LEFT(Q16,2)),BASE!$E$12:$F$23,1,0),IFERROR(VLOOKUP((LEFT(Q16,1)),BASE!$E$12:$F$23,1,0),100))))</f>
        <v>100</v>
      </c>
      <c r="H16" s="12">
        <f>IFERROR(VLOOKUP((LEFT(R16,4)),BASE!$E$12:$F$23,1,0),IFERROR(VLOOKUP((LEFT(R16,3)),BASE!$E$12:$F$23,1,0),IFERROR(VLOOKUP((LEFT(R16,2)),BASE!$E$12:$F$23,1,0),IFERROR(VLOOKUP((LEFT(R16,1)),BASE!$E$12:$F$23,1,0),100))))</f>
        <v>100</v>
      </c>
      <c r="I16" s="12">
        <f>IFERROR(VLOOKUP((LEFT(S16,4)),BASE!$E$12:$F$23,1,0),IFERROR(VLOOKUP((LEFT(S16,3)),BASE!$E$12:$F$23,1,0),IFERROR(VLOOKUP((LEFT(S16,2)),BASE!$E$12:$F$23,1,0),IFERROR(VLOOKUP((LEFT(S16,1)),BASE!$E$12:$F$23,1,0),100))))</f>
        <v>100</v>
      </c>
      <c r="J16" s="12" t="str">
        <f>IFERROR(VLOOKUP((LEFT(T16,4)),BASE!$E$12:$F$24,1,0),IFERROR(VLOOKUP((LEFT(T16,3)),BASE!$E$12:$F$24,1,0),IFERROR(VLOOKUP((LEFT(T16,2)),BASE!$E$12:$F$24,1,0),IFERROR(VLOOKUP((LEFT(T16,1)),BASE!$E$12:$F$24,1,0),100))))</f>
        <v>no</v>
      </c>
      <c r="K16" s="12" t="str">
        <f>IFERROR(VLOOKUP((LEFT(U16,4)),BASE!$E$12:$F$23,1,0),IFERROR(VLOOKUP((LEFT(U16,3)),BASE!$E$12:$F$23,1,0),IFERROR(VLOOKUP((LEFT(U16,2)),BASE!$E$12:$F$23,1,0),IFERROR(VLOOKUP((LEFT(U16,1)),BASE!$E$12:$F$23,1,0),100))))</f>
        <v>kk</v>
      </c>
      <c r="L16" s="14" t="str">
        <f t="shared" si="0"/>
        <v/>
      </c>
      <c r="M16" s="14" t="str">
        <f t="shared" si="0"/>
        <v/>
      </c>
      <c r="N16" s="14" t="str">
        <f t="shared" si="0"/>
        <v/>
      </c>
      <c r="O16" s="14" t="str">
        <f t="shared" si="0"/>
        <v/>
      </c>
      <c r="P16" s="14" t="str">
        <f t="shared" si="0"/>
        <v/>
      </c>
      <c r="Q16" s="14" t="str">
        <f t="shared" si="0"/>
        <v/>
      </c>
      <c r="R16" s="14" t="str">
        <f t="shared" si="0"/>
        <v/>
      </c>
      <c r="S16" s="14" t="str">
        <f t="shared" si="0"/>
        <v/>
      </c>
      <c r="T16" s="14" t="str">
        <f t="shared" si="0"/>
        <v>no</v>
      </c>
      <c r="U16" s="14" t="str">
        <f t="shared" si="1"/>
        <v>kkno</v>
      </c>
      <c r="V16" s="13">
        <f>IFERROR(VLOOKUP(LEFT(AZ16,2),BASE!$C$96:$E$342,3,0),IFERROR(VLOOKUP(LEFT(AZ16,1),BASE!$C$96:$E$342,3,0),100))</f>
        <v>100</v>
      </c>
      <c r="W16" s="13">
        <f>IFERROR(VLOOKUP(LEFT(BA16,2),BASE!$C$96:$E$342,3,0),IFERROR(VLOOKUP(LEFT(BA16,1),BASE!$C$96:$E$342,3,0),100))</f>
        <v>100</v>
      </c>
      <c r="X16" s="13">
        <f>IFERROR(VLOOKUP(LEFT(BB16,2),BASE!$C$96:$E$342,3,0),IFERROR(VLOOKUP(LEFT(BB16,1),BASE!$C$96:$E$342,3,0),100))</f>
        <v>100</v>
      </c>
      <c r="Y16" s="13">
        <f>IFERROR(VLOOKUP(LEFT(BC16,2),BASE!$C$96:$E$342,3,0),IFERROR(VLOOKUP(LEFT(BC16,1),BASE!$C$96:$E$342,3,0),100))</f>
        <v>100</v>
      </c>
      <c r="Z16" s="13">
        <f>IFERROR(VLOOKUP(LEFT(BD16,2),BASE!$C$96:$E$342,3,0),IFERROR(VLOOKUP(LEFT(BD16,1),BASE!$C$96:$E$342,3,0),100))</f>
        <v>100</v>
      </c>
      <c r="AA16" s="13">
        <f>IFERROR(VLOOKUP(LEFT(BE16,2),BASE!$C$96:$E$342,3,0),IFERROR(VLOOKUP(LEFT(BE16,1),BASE!$C$96:$E$342,3,0),100))</f>
        <v>100</v>
      </c>
      <c r="AB16" s="13">
        <f>IFERROR(VLOOKUP(LEFT(BF16,2),BASE!$C$96:$E$342,3,0),IFERROR(VLOOKUP(LEFT(BF16,1),BASE!$C$96:$E$342,3,0),100))</f>
        <v>2</v>
      </c>
      <c r="AC16" s="13">
        <f>IFERROR(VLOOKUP(LEFT(BG16,2),BASE!$C$96:$E$342,3,0),IFERROR(VLOOKUP(LEFT(BG16,1),BASE!$C$96:$E$342,3,0),100))</f>
        <v>2</v>
      </c>
      <c r="AD16" s="13">
        <f>IFERROR(VLOOKUP(LEFT(BH16,2),BASE!$C$96:$E$342,3,0),IFERROR(VLOOKUP(LEFT(BH16,1),BASE!$C$96:$E$342,3,0),100))</f>
        <v>1</v>
      </c>
      <c r="AE16" s="13">
        <f>IFERROR(VLOOKUP(LEFT(BI16,2),BASE!$C$96:$E$342,3,0),IFERROR(VLOOKUP(LEFT(BI16,1),BASE!$C$96:$E$342,3,0),100))</f>
        <v>1</v>
      </c>
      <c r="AF16" s="187" t="str">
        <f>IF(AND(BS16=BR16,AG16="o"),"A", (IFERROR(VLOOKUP(LEFT(AZ16,2),BASE!$C$346:$D$592,2,0),IFERROR(VLOOKUP(LEFT(AZ16,1),BASE!$C$346:$D$5922,2,0),AZ16))))</f>
        <v/>
      </c>
      <c r="AG16" s="187" t="str">
        <f>IF(AND(BR16=BQ16,AH16="o"),"A", (IFERROR(VLOOKUP(LEFT(BA16,2),BASE!$C$346:$D$592,2,0),IFERROR(VLOOKUP(LEFT(BA16,1),BASE!$C$346:$D$592,2,0),BA16))))</f>
        <v/>
      </c>
      <c r="AH16" s="187" t="str">
        <f>IF(AND(BQ16=BP16,AI16="o"),"A", (IFERROR(VLOOKUP(LEFT(BB16,2),BASE!$C$346:$D$592,2,0),IFERROR(VLOOKUP(LEFT(BB16,1),BASE!$C$346:$D$592,2,0),BB16))))</f>
        <v/>
      </c>
      <c r="AI16" s="187" t="str">
        <f>IF(AND(BP16=BO16,AJ16="o"),"A", (IFERROR(VLOOKUP(LEFT(BC16,2),BASE!$C$346:$D$592,2,0),IFERROR(VLOOKUP(LEFT(BC16,1),BASE!$C$346:$D$592,2,0),BC16))))</f>
        <v/>
      </c>
      <c r="AJ16" s="187" t="str">
        <f>IF(AND(BO16=BN16,AK16="o"),"A", (IFERROR(VLOOKUP(LEFT(BD16,2),BASE!$C$346:$D$592,2,0),IFERROR(VLOOKUP(LEFT(BD16,1),BASE!$C$346:$D$592,2,0),BD16))))</f>
        <v/>
      </c>
      <c r="AK16" s="187" t="str">
        <f>IF(AND(BN16=BM16,AL16="o"),"A", (IFERROR(VLOOKUP(LEFT(BE16,2),BASE!$C$346:$D$592,2,0),IFERROR(VLOOKUP(LEFT(BE16,1),BASE!$C$346:$D$592,2,0),BE16))))</f>
        <v/>
      </c>
      <c r="AL16" s="187" t="str">
        <f>IF(AND(BM16=BL16,AM16="o"),"A", (IFERROR(VLOOKUP(LEFT(BF16,2),BASE!$C$346:$D$592,2,0),IFERROR(VLOOKUP(LEFT(BF16,1),BASE!$C$346:$D$592,2,0),BF16))))</f>
        <v>o</v>
      </c>
      <c r="AM16" s="187" t="str">
        <f>IF(AND(BL16=BK16,AN16="o"),"A",(IFERROR(VLOOKUP(LEFT(BG16,2),BASE!$C$346:$D$592,2,0),IFERROR(VLOOKUP(LEFT(BG16,1),BASE!$C$346:$D$592,2,0),BG16))))</f>
        <v>n</v>
      </c>
      <c r="AN16" s="187" t="str">
        <f>(IFERROR(VLOOKUP(LEFT(BH16,2),BASE!$C$346:$D$592,2,0),IFERROR(VLOOKUP(LEFT(BH16,1),BASE!$C$346:$D$592,2,0),BH16)))</f>
        <v>k</v>
      </c>
      <c r="AO16" s="187" t="str">
        <f>(IFERROR(VLOOKUP(LEFT(BI16,2),BASE!$C$96:$D$342,2,0),IFERROR(VLOOKUP(LEFT(BI16,1),BASE!$C$96:$D$342,2,0),BI16)))</f>
        <v>k</v>
      </c>
      <c r="AP16" s="5">
        <f t="shared" si="2"/>
        <v>6</v>
      </c>
      <c r="AQ16" s="5">
        <f t="shared" si="2"/>
        <v>6</v>
      </c>
      <c r="AR16" s="5">
        <f t="shared" si="2"/>
        <v>6</v>
      </c>
      <c r="AS16" s="5">
        <f t="shared" si="2"/>
        <v>6</v>
      </c>
      <c r="AT16" s="5">
        <f t="shared" si="2"/>
        <v>6</v>
      </c>
      <c r="AU16" s="5">
        <f t="shared" si="2"/>
        <v>6</v>
      </c>
      <c r="AV16" s="5">
        <f t="shared" si="2"/>
        <v>6</v>
      </c>
      <c r="AW16" s="5">
        <f t="shared" si="2"/>
        <v>6</v>
      </c>
      <c r="AX16" s="5">
        <f t="shared" si="2"/>
        <v>6</v>
      </c>
      <c r="AY16" s="5">
        <f t="shared" si="3"/>
        <v>6</v>
      </c>
      <c r="AZ16" s="12" t="str">
        <f t="shared" si="4"/>
        <v/>
      </c>
      <c r="BA16" s="12" t="str">
        <f t="shared" si="4"/>
        <v/>
      </c>
      <c r="BB16" s="12" t="str">
        <f t="shared" si="4"/>
        <v/>
      </c>
      <c r="BC16" s="12" t="str">
        <f t="shared" si="4"/>
        <v/>
      </c>
      <c r="BD16" s="12" t="str">
        <f t="shared" si="4"/>
        <v/>
      </c>
      <c r="BE16" s="12" t="str">
        <f t="shared" si="4"/>
        <v/>
      </c>
      <c r="BF16" s="12" t="str">
        <f t="shared" si="4"/>
        <v>ல்</v>
      </c>
      <c r="BG16" s="12" t="str">
        <f t="shared" si="4"/>
        <v>வால்</v>
      </c>
      <c r="BH16" s="43" t="str">
        <f t="shared" si="4"/>
        <v>றவால்</v>
      </c>
      <c r="BI16" s="57" t="str">
        <f>CE7</f>
        <v>உறவால்</v>
      </c>
      <c r="BJ16" s="58" t="str">
        <f>IFERROR(VLOOKUP(LEFT(BI16,2),BASE!$C$96:$F$342,1,0),IFERROR(VLOOKUP(LEFT(BI16,1),BASE!$C$96:$F$342,1,0),BI16))</f>
        <v>உ</v>
      </c>
      <c r="BK16" s="58" t="str">
        <f>IFERROR(VLOOKUP(LEFT(BH16,2),BASE!$C$96:$D$342,1,0),IFERROR(VLOOKUP(LEFT(BH16,1),BASE!$C$96:$D$342,1,0),BH16))</f>
        <v>ற</v>
      </c>
      <c r="BL16" s="58" t="str">
        <f>IFERROR(VLOOKUP(LEFT(BG16,2),BASE!$C$96:$D$342,1,0),IFERROR(VLOOKUP(LEFT(BG16,1),BASE!$C$96:$D$342,1,0),BG16))</f>
        <v>வா</v>
      </c>
      <c r="BM16" s="58" t="str">
        <f>IFERROR(VLOOKUP(LEFT(BF16,2),BASE!$C$96:$D$342,1,0),IFERROR(VLOOKUP(LEFT(BF16,1),BASE!$C$96:$D$342,1,0),BF16))</f>
        <v>ல்</v>
      </c>
      <c r="BN16" s="58" t="str">
        <f>IFERROR(VLOOKUP(LEFT(BE16,2),BASE!$C$96:$D$342,1,0),IFERROR(VLOOKUP(LEFT(BE16,1),BASE!$C$96:$D$342,1,0),BE16))</f>
        <v/>
      </c>
      <c r="BO16" s="58" t="str">
        <f>IFERROR(VLOOKUP(LEFT(BD16,2),BASE!$C$96:$D$342,1,0),IFERROR(VLOOKUP(LEFT(BD16,1),BASE!$C$96:$D$342,1,0),BD16))</f>
        <v/>
      </c>
      <c r="BP16" s="58" t="str">
        <f>IFERROR(VLOOKUP(LEFT(BC16,2),BASE!$C$96:$D$342,1,0),IFERROR(VLOOKUP(LEFT(BC16,1),BASE!$C$96:$D$342,1,0),BC16))</f>
        <v/>
      </c>
      <c r="BQ16" s="58" t="str">
        <f>IFERROR(VLOOKUP(LEFT(BB16,2),BASE!$C$96:$D$342,1,0),IFERROR(VLOOKUP(LEFT(BB16,1),BASE!$C$96:$D$342,1,0),BB16))</f>
        <v/>
      </c>
      <c r="BR16" s="58" t="str">
        <f>IFERROR(VLOOKUP(LEFT(BA16,2),BASE!$C$96:$D$342,1,0),IFERROR(VLOOKUP(LEFT(BA16,1),BASE!$C$96:$D$342,1,0),BA16))</f>
        <v/>
      </c>
      <c r="BS16" s="58" t="str">
        <f>IFERROR(VLOOKUP(LEFT(AZ16,2),BASE!$C$96:$D$342,1,0),IFERROR(VLOOKUP(LEFT(AZ16,1),BASE!$C$96:$D$342,1,0),AZ16))</f>
        <v/>
      </c>
      <c r="BT16" s="186" t="str">
        <f>(IFERROR(VLOOKUP(LEFT(BI16,2),BASE!$C$96:$F$342,4,0),IFERROR(VLOOKUP(LEFT(BI16,1),BASE!$C$96:$F$342,4,0),BI16)))</f>
        <v>கு</v>
      </c>
      <c r="BU16" s="186" t="str">
        <f>(IFERROR(VLOOKUP(LEFT(BH16,2),BASE!$C$346:$F$592,4,0),IFERROR(VLOOKUP(LEFT(BH16,1),BASE!$C$346:$F$592,4,0),BH16)))</f>
        <v>கு</v>
      </c>
      <c r="BV16" s="186" t="str">
        <f>(IFERROR(VLOOKUP(LEFT(BG16,2),BASE!$C$346:$F$592,4,0),IFERROR(VLOOKUP(LEFT(BG16,1),BASE!$C$346:$F$592,4,0),BG16)))</f>
        <v>நெ</v>
      </c>
      <c r="BW16" s="186" t="str">
        <f>(IFERROR(VLOOKUP(LEFT(BF16,2),BASE!$C$346:$F$592,4,0),IFERROR(VLOOKUP(LEFT(BF16,1),BASE!$C$346:$F$592,4,0),BF16)))</f>
        <v>ஒ</v>
      </c>
      <c r="BX16" s="186" t="str">
        <f>(IFERROR(VLOOKUP(LEFT(BE16,2),BASE!$C$346:$F$592,4,0),IFERROR(VLOOKUP(LEFT(BE16,1),BASE!$C$346:$F$592,4,0),BE16)))</f>
        <v/>
      </c>
      <c r="BY16" s="186" t="str">
        <f>(IFERROR(VLOOKUP(LEFT(BD16,2),BASE!$C$346:$F$592,4,0),IFERROR(VLOOKUP(LEFT(BD16,1),BASE!$C$346:$F$592,4,0),BD16)))</f>
        <v/>
      </c>
      <c r="BZ16" s="186" t="str">
        <f>(IFERROR(VLOOKUP(LEFT(BC16,2),BASE!$C$346:$F$592,4,0),IFERROR(VLOOKUP(LEFT(BC16,1),BASE!$C$346:$F$592,4,0),BC16)))</f>
        <v/>
      </c>
      <c r="CA16" s="186" t="str">
        <f>(IFERROR(VLOOKUP(LEFT(BB16,2),BASE!$C$346:$F$592,4,0),IFERROR(VLOOKUP(LEFT(BB16,1),BASE!$C$346:$F$592,4,0),BB16)))</f>
        <v/>
      </c>
      <c r="CB16" s="186" t="str">
        <f>(IFERROR(VLOOKUP(LEFT(BA16,2),BASE!$C$346:$F$592,4,0),IFERROR(VLOOKUP(LEFT(BA16,1),BASE!$C$346:$F$592,4,0),BA16)))</f>
        <v/>
      </c>
      <c r="CC16" s="186" t="str">
        <f>(IFERROR(VLOOKUP(LEFT(AZ16,2),BASE!$C$346:$F$592,4,0),IFERROR(VLOOKUP(LEFT(AZ16,1),BASE!$C$346:$F$592,4,0),AZ16)))</f>
        <v/>
      </c>
      <c r="CD16" s="58" t="str">
        <f t="shared" si="5"/>
        <v>குகுநெஒ</v>
      </c>
      <c r="CE16" s="58" t="str">
        <f>IFERROR(VLOOKUP((LEFT(U16,4)),BASE!$E$12:$F$23,2,0),IFERROR(VLOOKUP((LEFT(U16,3)),BASE!$E$12:$F$23,2,0),IFERROR(VLOOKUP((LEFT(U16,2)),BASE!$E$12:$F$23,2,0),IFERROR(VLOOKUP((LEFT(U16,1)),BASE!$E$12:$F$23,2,0),U16))))</f>
        <v>நிரை</v>
      </c>
      <c r="CF16" s="58" t="str">
        <f>IFERROR(VLOOKUP((LEFT(T16,4)),BASE!$E$12:$F$24,2,0),IFERROR(VLOOKUP((LEFT(T16,3)),BASE!$E$12:$F$24,2,0),IFERROR(VLOOKUP((LEFT(T16,2)),BASE!$E$12:$F$24,2,0),IFERROR(VLOOKUP((LEFT(T16,1)),BASE!$E$12:$F$24,2,0),T16))))</f>
        <v>நேர்</v>
      </c>
      <c r="CG16" s="58" t="str">
        <f>IFERROR(VLOOKUP((LEFT(S16,4)),BASE!$E$12:$F$23,2,0),IFERROR(VLOOKUP((LEFT(S16,3)),BASE!$E$12:$F$23,2,0),IFERROR(VLOOKUP((LEFT(S16,2)),BASE!$E$12:$F$23,2,0),IFERROR(VLOOKUP((LEFT(S16,1)),BASE!$E$12:$F$23,2,0),S16))))</f>
        <v/>
      </c>
      <c r="CH16" s="58" t="str">
        <f>IFERROR(VLOOKUP((LEFT(R16,4)),BASE!$E$12:$F$23,2,0),IFERROR(VLOOKUP((LEFT(R16,3)),BASE!$E$12:$F$23,2,0),IFERROR(VLOOKUP((LEFT(R16,2)),BASE!$E$12:$F$23,2,0),IFERROR(VLOOKUP((LEFT(R16,1)),BASE!$E$12:$F$23,2,0),R16))))</f>
        <v/>
      </c>
      <c r="CI16" s="58" t="str">
        <f>IFERROR(VLOOKUP((LEFT(Q16,4)),BASE!$E$12:$F$23,2,0),IFERROR(VLOOKUP((LEFT(Q16,3)),BASE!$E$12:$F$23,2,0),IFERROR(VLOOKUP((LEFT(Q16,2)),BASE!$E$12:$F$23,2,0),IFERROR(VLOOKUP((LEFT(Q16,1)),BASE!$E$12:$F$23,2,0),Q16))))</f>
        <v/>
      </c>
      <c r="CJ16" s="58" t="str">
        <f>IFERROR(VLOOKUP((LEFT(P16,4)),BASE!$E$12:$F$23,2,0),IFERROR(VLOOKUP((LEFT(P16,3)),BASE!$E$12:$F$23,2,0),IFERROR(VLOOKUP((LEFT(P16,2)),BASE!$E$12:$F$23,2,0),IFERROR(VLOOKUP((LEFT(P16,1)),BASE!$E$12:$F$23,2,0),P16))))</f>
        <v/>
      </c>
      <c r="CK16" s="58" t="str">
        <f>IFERROR(VLOOKUP((LEFT(O16,4)),BASE!$E$12:$F$23,2,0),IFERROR(VLOOKUP((LEFT(O16,3)),BASE!$E$12:$F$23,2,0),IFERROR(VLOOKUP((LEFT(O16,2)),BASE!$E$12:$F$23,2,0),IFERROR(VLOOKUP((LEFT(O16,1)),BASE!$E$12:$F$23,2,0),O16))))</f>
        <v/>
      </c>
      <c r="CL16" s="58" t="str">
        <f>IFERROR(VLOOKUP((LEFT(N16,4)),BASE!$E$12:$F$23,2,0),IFERROR(VLOOKUP((LEFT(N16,3)),BASE!$E$12:$F$23,2,0),IFERROR(VLOOKUP((LEFT(N16,2)),BASE!$E$12:$F$23,2,0),IFERROR(VLOOKUP((LEFT(N16,1)),BASE!$E$12:$F$23,2,0),N16))))</f>
        <v/>
      </c>
      <c r="CM16" s="58" t="str">
        <f>IFERROR(VLOOKUP((LEFT(M16,4)),BASE!$E$12:$F$23,2,0),IFERROR(VLOOKUP((LEFT(M16,3)),BASE!$E$12:$F$23,2,0),IFERROR(VLOOKUP((LEFT(M16,2)),BASE!$E$12:$F$23,2,0),IFERROR(VLOOKUP((LEFT(M16,1)),BASE!$E$12:$F$23,2,0),M16))))</f>
        <v/>
      </c>
      <c r="CN16" s="58" t="str">
        <f>IFERROR(VLOOKUP((LEFT(L16,4)),BASE!$E$12:$F$23,2,0),IFERROR(VLOOKUP((LEFT(L16,3)),BASE!$E$12:$F$23,2,0),IFERROR(VLOOKUP((LEFT(L16,2)),BASE!$E$12:$F$23,2,0),IFERROR(VLOOKUP((LEFT(L16,1)),BASE!$E$12:$F$23,2,0),L16))))</f>
        <v/>
      </c>
      <c r="CO16" s="58" t="str">
        <f t="shared" si="6"/>
        <v>நிரைநேர்</v>
      </c>
      <c r="CP16" s="58" t="str">
        <f>VLOOKUP(CO16,BASE!$E$25:$F$79,2,0)</f>
        <v>புளிமா</v>
      </c>
      <c r="CQ16" s="58" t="str">
        <f>VLOOKUP(CO16,BASE!$E$25:$G$79,3,0)&amp;CE17</f>
        <v>மாநிரை</v>
      </c>
      <c r="CR16" s="58" t="str">
        <f>VLOOKUP(CQ16,BASE!$E$86:$G$93,2,0)</f>
        <v>மாமுன் நிரை</v>
      </c>
      <c r="CS16" s="58" t="str">
        <f>VLOOKUP(CQ16,BASE!$E$86:$G$93,3,0)</f>
        <v>இயற்சீர் வெண்டளை</v>
      </c>
      <c r="CT16" s="58" t="str">
        <f t="shared" si="7"/>
        <v>மூவசைக்கு மிகவில்லை</v>
      </c>
      <c r="CU16" s="58" t="str">
        <f t="shared" si="8"/>
        <v>சரி</v>
      </c>
      <c r="CV16" s="193"/>
    </row>
    <row r="17" spans="1:100" ht="19.5" customHeight="1" x14ac:dyDescent="0.35">
      <c r="A17" s="119"/>
      <c r="B17" s="12">
        <f>IFERROR(VLOOKUP((LEFT(L17,4)),BASE!$E$12:$F$23,1,0),IFERROR(VLOOKUP((LEFT(L17,3)),BASE!$E$12:$F$23,1,0),IFERROR(VLOOKUP((LEFT(L17,2)),BASE!$E$12:$F$23,1,0),IFERROR(VLOOKUP((LEFT(L17,1)),BASE!$E$12:$F$23,1,0),100))))</f>
        <v>100</v>
      </c>
      <c r="C17" s="12">
        <f>IFERROR(VLOOKUP((LEFT(M17,4)),BASE!$E$12:$F$23,1,0),IFERROR(VLOOKUP((LEFT(M17,3)),BASE!$E$12:$F$23,1,0),IFERROR(VLOOKUP((LEFT(M17,2)),BASE!$E$12:$F$23,1,0),IFERROR(VLOOKUP((LEFT(M17,1)),BASE!$E$12:$F$23,1,0),100))))</f>
        <v>100</v>
      </c>
      <c r="D17" s="12">
        <f>IFERROR(VLOOKUP((LEFT(N17,4)),BASE!$E$12:$F$23,1,0),IFERROR(VLOOKUP((LEFT(N17,3)),BASE!$E$12:$F$23,1,0),IFERROR(VLOOKUP((LEFT(N17,2)),BASE!$E$12:$F$23,1,0),IFERROR(VLOOKUP((LEFT(N17,1)),BASE!$E$12:$F$23,1,0),100))))</f>
        <v>100</v>
      </c>
      <c r="E17" s="12">
        <f>IFERROR(VLOOKUP((LEFT(O17,4)),BASE!$E$12:$F$23,1,0),IFERROR(VLOOKUP((LEFT(O17,3)),BASE!$E$12:$F$23,1,0),IFERROR(VLOOKUP((LEFT(O17,2)),BASE!$E$12:$F$23,1,0),IFERROR(VLOOKUP((LEFT(O17,1)),BASE!$E$12:$F$23,1,0),100))))</f>
        <v>100</v>
      </c>
      <c r="F17" s="12">
        <f>IFERROR(VLOOKUP((LEFT(P17,4)),BASE!$E$12:$F$23,1,0),IFERROR(VLOOKUP((LEFT(P17,3)),BASE!$E$12:$F$23,1,0),IFERROR(VLOOKUP((LEFT(P17,2)),BASE!$E$12:$F$23,1,0),IFERROR(VLOOKUP((LEFT(P17,1)),BASE!$E$12:$F$23,1,0),100))))</f>
        <v>100</v>
      </c>
      <c r="G17" s="12">
        <f>IFERROR(VLOOKUP((LEFT(Q17,4)),BASE!$E$12:$F$23,1,0),IFERROR(VLOOKUP((LEFT(Q17,3)),BASE!$E$12:$F$23,1,0),IFERROR(VLOOKUP((LEFT(Q17,2)),BASE!$E$12:$F$23,1,0),IFERROR(VLOOKUP((LEFT(Q17,1)),BASE!$E$12:$F$23,1,0),100))))</f>
        <v>100</v>
      </c>
      <c r="H17" s="12">
        <f>IFERROR(VLOOKUP((LEFT(R17,4)),BASE!$E$12:$F$23,1,0),IFERROR(VLOOKUP((LEFT(R17,3)),BASE!$E$12:$F$23,1,0),IFERROR(VLOOKUP((LEFT(R17,2)),BASE!$E$12:$F$23,1,0),IFERROR(VLOOKUP((LEFT(R17,1)),BASE!$E$12:$F$23,1,0),100))))</f>
        <v>100</v>
      </c>
      <c r="I17" s="12" t="str">
        <f>IFERROR(VLOOKUP((LEFT(S17,4)),BASE!$E$12:$F$23,1,0),IFERROR(VLOOKUP((LEFT(S17,3)),BASE!$E$12:$F$23,1,0),IFERROR(VLOOKUP((LEFT(S17,2)),BASE!$E$12:$F$23,1,0),IFERROR(VLOOKUP((LEFT(S17,1)),BASE!$E$12:$F$23,1,0),100))))</f>
        <v>ko</v>
      </c>
      <c r="J17" s="12" t="str">
        <f>IFERROR(VLOOKUP((LEFT(T17,4)),BASE!$E$12:$F$24,1,0),IFERROR(VLOOKUP((LEFT(T17,3)),BASE!$E$12:$F$24,1,0),IFERROR(VLOOKUP((LEFT(T17,2)),BASE!$E$12:$F$24,1,0),IFERROR(VLOOKUP((LEFT(T17,1)),BASE!$E$12:$F$24,1,0),100))))</f>
        <v>kk</v>
      </c>
      <c r="K17" s="12" t="str">
        <f>IFERROR(VLOOKUP((LEFT(U17,4)),BASE!$E$12:$F$23,1,0),IFERROR(VLOOKUP((LEFT(U17,3)),BASE!$E$12:$F$23,1,0),IFERROR(VLOOKUP((LEFT(U17,2)),BASE!$E$12:$F$23,1,0),IFERROR(VLOOKUP((LEFT(U17,1)),BASE!$E$12:$F$23,1,0),100))))</f>
        <v>kko</v>
      </c>
      <c r="L17" s="14" t="str">
        <f t="shared" si="0"/>
        <v/>
      </c>
      <c r="M17" s="14" t="str">
        <f t="shared" si="0"/>
        <v/>
      </c>
      <c r="N17" s="14" t="str">
        <f t="shared" si="0"/>
        <v/>
      </c>
      <c r="O17" s="14" t="str">
        <f t="shared" si="0"/>
        <v/>
      </c>
      <c r="P17" s="14" t="str">
        <f t="shared" si="0"/>
        <v/>
      </c>
      <c r="Q17" s="14" t="str">
        <f t="shared" si="0"/>
        <v/>
      </c>
      <c r="R17" s="14" t="str">
        <f t="shared" si="0"/>
        <v/>
      </c>
      <c r="S17" s="14" t="str">
        <f t="shared" si="0"/>
        <v>ko</v>
      </c>
      <c r="T17" s="14" t="str">
        <f t="shared" si="0"/>
        <v>kkko</v>
      </c>
      <c r="U17" s="14" t="str">
        <f t="shared" si="1"/>
        <v>kkokkko</v>
      </c>
      <c r="V17" s="13">
        <f>IFERROR(VLOOKUP(LEFT(AZ17,2),BASE!$C$96:$E$342,3,0),IFERROR(VLOOKUP(LEFT(AZ17,1),BASE!$C$96:$E$342,3,0),100))</f>
        <v>100</v>
      </c>
      <c r="W17" s="13">
        <f>IFERROR(VLOOKUP(LEFT(BA17,2),BASE!$C$96:$E$342,3,0),IFERROR(VLOOKUP(LEFT(BA17,1),BASE!$C$96:$E$342,3,0),100))</f>
        <v>100</v>
      </c>
      <c r="X17" s="13">
        <f>IFERROR(VLOOKUP(LEFT(BB17,2),BASE!$C$96:$E$342,3,0),IFERROR(VLOOKUP(LEFT(BB17,1),BASE!$C$96:$E$342,3,0),100))</f>
        <v>100</v>
      </c>
      <c r="Y17" s="13">
        <f>IFERROR(VLOOKUP(LEFT(BC17,2),BASE!$C$96:$E$342,3,0),IFERROR(VLOOKUP(LEFT(BC17,1),BASE!$C$96:$E$342,3,0),100))</f>
        <v>2</v>
      </c>
      <c r="Z17" s="13">
        <f>IFERROR(VLOOKUP(LEFT(BD17,2),BASE!$C$96:$E$342,3,0),IFERROR(VLOOKUP(LEFT(BD17,1),BASE!$C$96:$E$342,3,0),100))</f>
        <v>2</v>
      </c>
      <c r="AA17" s="13">
        <f>IFERROR(VLOOKUP(LEFT(BE17,2),BASE!$C$96:$E$342,3,0),IFERROR(VLOOKUP(LEFT(BE17,1),BASE!$C$96:$E$342,3,0),100))</f>
        <v>2</v>
      </c>
      <c r="AB17" s="13">
        <f>IFERROR(VLOOKUP(LEFT(BF17,2),BASE!$C$96:$E$342,3,0),IFERROR(VLOOKUP(LEFT(BF17,1),BASE!$C$96:$E$342,3,0),100))</f>
        <v>2</v>
      </c>
      <c r="AC17" s="13">
        <f>IFERROR(VLOOKUP(LEFT(BG17,2),BASE!$C$96:$E$342,3,0),IFERROR(VLOOKUP(LEFT(BG17,1),BASE!$C$96:$E$342,3,0),100))</f>
        <v>2</v>
      </c>
      <c r="AD17" s="13">
        <f>IFERROR(VLOOKUP(LEFT(BH17,2),BASE!$C$96:$E$342,3,0),IFERROR(VLOOKUP(LEFT(BH17,1),BASE!$C$96:$E$342,3,0),100))</f>
        <v>1</v>
      </c>
      <c r="AE17" s="13">
        <f>IFERROR(VLOOKUP(LEFT(BI17,2),BASE!$C$96:$E$342,3,0),IFERROR(VLOOKUP(LEFT(BI17,1),BASE!$C$96:$E$342,3,0),100))</f>
        <v>1</v>
      </c>
      <c r="AF17" s="187" t="str">
        <f>IF(AND(BS17=BR17,AG17="o"),"A", (IFERROR(VLOOKUP(LEFT(AZ17,2),BASE!$C$346:$D$592,2,0),IFERROR(VLOOKUP(LEFT(AZ17,1),BASE!$C$346:$D$5922,2,0),AZ17))))</f>
        <v/>
      </c>
      <c r="AG17" s="187" t="str">
        <f>IF(AND(BR17=BQ17,AH17="o"),"A", (IFERROR(VLOOKUP(LEFT(BA17,2),BASE!$C$346:$D$592,2,0),IFERROR(VLOOKUP(LEFT(BA17,1),BASE!$C$346:$D$592,2,0),BA17))))</f>
        <v/>
      </c>
      <c r="AH17" s="187" t="str">
        <f>IF(AND(BQ17=BP17,AI17="o"),"A", (IFERROR(VLOOKUP(LEFT(BB17,2),BASE!$C$346:$D$592,2,0),IFERROR(VLOOKUP(LEFT(BB17,1),BASE!$C$346:$D$592,2,0),BB17))))</f>
        <v/>
      </c>
      <c r="AI17" s="187" t="str">
        <f>IF(AND(BP17=BO17,AJ17="o"),"A", (IFERROR(VLOOKUP(LEFT(BC17,2),BASE!$C$346:$D$592,2,0),IFERROR(VLOOKUP(LEFT(BC17,1),BASE!$C$346:$D$592,2,0),BC17))))</f>
        <v>o</v>
      </c>
      <c r="AJ17" s="187" t="str">
        <f>IF(AND(BO17=BN17,AK17="o"),"A", (IFERROR(VLOOKUP(LEFT(BD17,2),BASE!$C$346:$D$592,2,0),IFERROR(VLOOKUP(LEFT(BD17,1),BASE!$C$346:$D$592,2,0),BD17))))</f>
        <v>k</v>
      </c>
      <c r="AK17" s="187" t="str">
        <f>IF(AND(BN17=BM17,AL17="o"),"A", (IFERROR(VLOOKUP(LEFT(BE17,2),BASE!$C$346:$D$592,2,0),IFERROR(VLOOKUP(LEFT(BE17,1),BASE!$C$346:$D$592,2,0),BE17))))</f>
        <v>k</v>
      </c>
      <c r="AL17" s="187" t="str">
        <f>IF(AND(BM17=BL17,AM17="o"),"A", (IFERROR(VLOOKUP(LEFT(BF17,2),BASE!$C$346:$D$592,2,0),IFERROR(VLOOKUP(LEFT(BF17,1),BASE!$C$346:$D$592,2,0),BF17))))</f>
        <v>k</v>
      </c>
      <c r="AM17" s="187" t="str">
        <f>IF(AND(BL17=BK17,AN17="o"),"A",(IFERROR(VLOOKUP(LEFT(BG17,2),BASE!$C$346:$D$592,2,0),IFERROR(VLOOKUP(LEFT(BG17,1),BASE!$C$346:$D$592,2,0),BG17))))</f>
        <v>o</v>
      </c>
      <c r="AN17" s="187" t="str">
        <f>(IFERROR(VLOOKUP(LEFT(BH17,2),BASE!$C$346:$D$592,2,0),IFERROR(VLOOKUP(LEFT(BH17,1),BASE!$C$346:$D$592,2,0),BH17)))</f>
        <v>k</v>
      </c>
      <c r="AO17" s="187" t="str">
        <f>(IFERROR(VLOOKUP(LEFT(BI17,2),BASE!$C$96:$D$342,2,0),IFERROR(VLOOKUP(LEFT(BI17,1),BASE!$C$96:$D$342,2,0),BI17)))</f>
        <v>k</v>
      </c>
      <c r="AP17" s="5">
        <f t="shared" si="2"/>
        <v>12</v>
      </c>
      <c r="AQ17" s="5">
        <f t="shared" si="2"/>
        <v>12</v>
      </c>
      <c r="AR17" s="5">
        <f t="shared" si="2"/>
        <v>12</v>
      </c>
      <c r="AS17" s="5">
        <f t="shared" si="2"/>
        <v>12</v>
      </c>
      <c r="AT17" s="5">
        <f t="shared" si="2"/>
        <v>12</v>
      </c>
      <c r="AU17" s="5">
        <f t="shared" si="2"/>
        <v>12</v>
      </c>
      <c r="AV17" s="5">
        <f t="shared" si="2"/>
        <v>12</v>
      </c>
      <c r="AW17" s="5">
        <f t="shared" si="2"/>
        <v>12</v>
      </c>
      <c r="AX17" s="5">
        <f t="shared" si="2"/>
        <v>12</v>
      </c>
      <c r="AY17" s="5">
        <f t="shared" si="3"/>
        <v>12</v>
      </c>
      <c r="AZ17" s="12" t="str">
        <f t="shared" si="4"/>
        <v/>
      </c>
      <c r="BA17" s="12" t="str">
        <f t="shared" si="4"/>
        <v/>
      </c>
      <c r="BB17" s="12" t="str">
        <f t="shared" si="4"/>
        <v/>
      </c>
      <c r="BC17" s="12" t="str">
        <f t="shared" si="4"/>
        <v>ம்</v>
      </c>
      <c r="BD17" s="12" t="str">
        <f t="shared" si="4"/>
        <v>கும்</v>
      </c>
      <c r="BE17" s="12" t="str">
        <f t="shared" si="4"/>
        <v>ருகும்</v>
      </c>
      <c r="BF17" s="12" t="str">
        <f t="shared" si="4"/>
        <v>பெருகும்</v>
      </c>
      <c r="BG17" s="12" t="str">
        <f t="shared" si="4"/>
        <v>ம்பெருகும்</v>
      </c>
      <c r="BH17" s="43" t="str">
        <f t="shared" si="4"/>
        <v>லம்பெருகும்</v>
      </c>
      <c r="BI17" s="57" t="str">
        <f>CF7</f>
        <v>நலம்பெருகும்</v>
      </c>
      <c r="BJ17" s="58" t="str">
        <f>IFERROR(VLOOKUP(LEFT(BI17,2),BASE!$C$96:$F$342,1,0),IFERROR(VLOOKUP(LEFT(BI17,1),BASE!$C$96:$F$342,1,0),BI17))</f>
        <v>ந</v>
      </c>
      <c r="BK17" s="58" t="str">
        <f>IFERROR(VLOOKUP(LEFT(BH17,2),BASE!$C$96:$D$342,1,0),IFERROR(VLOOKUP(LEFT(BH17,1),BASE!$C$96:$D$342,1,0),BH17))</f>
        <v>ல</v>
      </c>
      <c r="BL17" s="58" t="str">
        <f>IFERROR(VLOOKUP(LEFT(BG17,2),BASE!$C$96:$D$342,1,0),IFERROR(VLOOKUP(LEFT(BG17,1),BASE!$C$96:$D$342,1,0),BG17))</f>
        <v>ம்</v>
      </c>
      <c r="BM17" s="58" t="str">
        <f>IFERROR(VLOOKUP(LEFT(BF17,2),BASE!$C$96:$D$342,1,0),IFERROR(VLOOKUP(LEFT(BF17,1),BASE!$C$96:$D$342,1,0),BF17))</f>
        <v>பெ</v>
      </c>
      <c r="BN17" s="58" t="str">
        <f>IFERROR(VLOOKUP(LEFT(BE17,2),BASE!$C$96:$D$342,1,0),IFERROR(VLOOKUP(LEFT(BE17,1),BASE!$C$96:$D$342,1,0),BE17))</f>
        <v>ரு</v>
      </c>
      <c r="BO17" s="58" t="str">
        <f>IFERROR(VLOOKUP(LEFT(BD17,2),BASE!$C$96:$D$342,1,0),IFERROR(VLOOKUP(LEFT(BD17,1),BASE!$C$96:$D$342,1,0),BD17))</f>
        <v>கு</v>
      </c>
      <c r="BP17" s="58" t="str">
        <f>IFERROR(VLOOKUP(LEFT(BC17,2),BASE!$C$96:$D$342,1,0),IFERROR(VLOOKUP(LEFT(BC17,1),BASE!$C$96:$D$342,1,0),BC17))</f>
        <v>ம்</v>
      </c>
      <c r="BQ17" s="58" t="str">
        <f>IFERROR(VLOOKUP(LEFT(BB17,2),BASE!$C$96:$D$342,1,0),IFERROR(VLOOKUP(LEFT(BB17,1),BASE!$C$96:$D$342,1,0),BB17))</f>
        <v/>
      </c>
      <c r="BR17" s="58" t="str">
        <f>IFERROR(VLOOKUP(LEFT(BA17,2),BASE!$C$96:$D$342,1,0),IFERROR(VLOOKUP(LEFT(BA17,1),BASE!$C$96:$D$342,1,0),BA17))</f>
        <v/>
      </c>
      <c r="BS17" s="58" t="str">
        <f>IFERROR(VLOOKUP(LEFT(AZ17,2),BASE!$C$96:$D$342,1,0),IFERROR(VLOOKUP(LEFT(AZ17,1),BASE!$C$96:$D$342,1,0),AZ17))</f>
        <v/>
      </c>
      <c r="BT17" s="186" t="str">
        <f>(IFERROR(VLOOKUP(LEFT(BI17,2),BASE!$C$96:$F$342,4,0),IFERROR(VLOOKUP(LEFT(BI17,1),BASE!$C$96:$F$342,4,0),BI17)))</f>
        <v>கு</v>
      </c>
      <c r="BU17" s="186" t="str">
        <f>(IFERROR(VLOOKUP(LEFT(BH17,2),BASE!$C$346:$F$592,4,0),IFERROR(VLOOKUP(LEFT(BH17,1),BASE!$C$346:$F$592,4,0),BH17)))</f>
        <v>கு</v>
      </c>
      <c r="BV17" s="186" t="str">
        <f>(IFERROR(VLOOKUP(LEFT(BG17,2),BASE!$C$346:$F$592,4,0),IFERROR(VLOOKUP(LEFT(BG17,1),BASE!$C$346:$F$592,4,0),BG17)))</f>
        <v>ஒ</v>
      </c>
      <c r="BW17" s="186" t="str">
        <f>(IFERROR(VLOOKUP(LEFT(BF17,2),BASE!$C$346:$F$592,4,0),IFERROR(VLOOKUP(LEFT(BF17,1),BASE!$C$346:$F$592,4,0),BF17)))</f>
        <v>கு</v>
      </c>
      <c r="BX17" s="186" t="str">
        <f>(IFERROR(VLOOKUP(LEFT(BE17,2),BASE!$C$346:$F$592,4,0),IFERROR(VLOOKUP(LEFT(BE17,1),BASE!$C$346:$F$592,4,0),BE17)))</f>
        <v>கு</v>
      </c>
      <c r="BY17" s="186" t="str">
        <f>(IFERROR(VLOOKUP(LEFT(BD17,2),BASE!$C$346:$F$592,4,0),IFERROR(VLOOKUP(LEFT(BD17,1),BASE!$C$346:$F$592,4,0),BD17)))</f>
        <v>கு</v>
      </c>
      <c r="BZ17" s="186" t="str">
        <f>(IFERROR(VLOOKUP(LEFT(BC17,2),BASE!$C$346:$F$592,4,0),IFERROR(VLOOKUP(LEFT(BC17,1),BASE!$C$346:$F$592,4,0),BC17)))</f>
        <v>ஒ</v>
      </c>
      <c r="CA17" s="186" t="str">
        <f>(IFERROR(VLOOKUP(LEFT(BB17,2),BASE!$C$346:$F$592,4,0),IFERROR(VLOOKUP(LEFT(BB17,1),BASE!$C$346:$F$592,4,0),BB17)))</f>
        <v/>
      </c>
      <c r="CB17" s="186" t="str">
        <f>(IFERROR(VLOOKUP(LEFT(BA17,2),BASE!$C$346:$F$592,4,0),IFERROR(VLOOKUP(LEFT(BA17,1),BASE!$C$346:$F$592,4,0),BA17)))</f>
        <v/>
      </c>
      <c r="CC17" s="186" t="str">
        <f>(IFERROR(VLOOKUP(LEFT(AZ17,2),BASE!$C$346:$F$592,4,0),IFERROR(VLOOKUP(LEFT(AZ17,1),BASE!$C$346:$F$592,4,0),AZ17)))</f>
        <v/>
      </c>
      <c r="CD17" s="58" t="str">
        <f t="shared" si="5"/>
        <v>குகுஒகுகுகுஒ</v>
      </c>
      <c r="CE17" s="58" t="str">
        <f>IFERROR(VLOOKUP((LEFT(U17,4)),BASE!$E$12:$F$23,2,0),IFERROR(VLOOKUP((LEFT(U17,3)),BASE!$E$12:$F$23,2,0),IFERROR(VLOOKUP((LEFT(U17,2)),BASE!$E$12:$F$23,2,0),IFERROR(VLOOKUP((LEFT(U17,1)),BASE!$E$12:$F$23,2,0),U17))))</f>
        <v>நிரை</v>
      </c>
      <c r="CF17" s="58" t="str">
        <f>IFERROR(VLOOKUP((LEFT(T17,4)),BASE!$E$12:$F$24,2,0),IFERROR(VLOOKUP((LEFT(T17,3)),BASE!$E$12:$F$24,2,0),IFERROR(VLOOKUP((LEFT(T17,2)),BASE!$E$12:$F$24,2,0),IFERROR(VLOOKUP((LEFT(T17,1)),BASE!$E$12:$F$24,2,0),T17))))</f>
        <v>நிரை</v>
      </c>
      <c r="CG17" s="58" t="str">
        <f>IFERROR(VLOOKUP((LEFT(S17,4)),BASE!$E$12:$F$23,2,0),IFERROR(VLOOKUP((LEFT(S17,3)),BASE!$E$12:$F$23,2,0),IFERROR(VLOOKUP((LEFT(S17,2)),BASE!$E$12:$F$23,2,0),IFERROR(VLOOKUP((LEFT(S17,1)),BASE!$E$12:$F$23,2,0),S17))))</f>
        <v>நேர்</v>
      </c>
      <c r="CH17" s="58" t="str">
        <f>IFERROR(VLOOKUP((LEFT(R17,4)),BASE!$E$12:$F$23,2,0),IFERROR(VLOOKUP((LEFT(R17,3)),BASE!$E$12:$F$23,2,0),IFERROR(VLOOKUP((LEFT(R17,2)),BASE!$E$12:$F$23,2,0),IFERROR(VLOOKUP((LEFT(R17,1)),BASE!$E$12:$F$23,2,0),R17))))</f>
        <v/>
      </c>
      <c r="CI17" s="58" t="str">
        <f>IFERROR(VLOOKUP((LEFT(Q17,4)),BASE!$E$12:$F$23,2,0),IFERROR(VLOOKUP((LEFT(Q17,3)),BASE!$E$12:$F$23,2,0),IFERROR(VLOOKUP((LEFT(Q17,2)),BASE!$E$12:$F$23,2,0),IFERROR(VLOOKUP((LEFT(Q17,1)),BASE!$E$12:$F$23,2,0),Q17))))</f>
        <v/>
      </c>
      <c r="CJ17" s="58" t="str">
        <f>IFERROR(VLOOKUP((LEFT(P17,4)),BASE!$E$12:$F$23,2,0),IFERROR(VLOOKUP((LEFT(P17,3)),BASE!$E$12:$F$23,2,0),IFERROR(VLOOKUP((LEFT(P17,2)),BASE!$E$12:$F$23,2,0),IFERROR(VLOOKUP((LEFT(P17,1)),BASE!$E$12:$F$23,2,0),P17))))</f>
        <v/>
      </c>
      <c r="CK17" s="58" t="str">
        <f>IFERROR(VLOOKUP((LEFT(O17,4)),BASE!$E$12:$F$23,2,0),IFERROR(VLOOKUP((LEFT(O17,3)),BASE!$E$12:$F$23,2,0),IFERROR(VLOOKUP((LEFT(O17,2)),BASE!$E$12:$F$23,2,0),IFERROR(VLOOKUP((LEFT(O17,1)),BASE!$E$12:$F$23,2,0),O17))))</f>
        <v/>
      </c>
      <c r="CL17" s="58" t="str">
        <f>IFERROR(VLOOKUP((LEFT(N17,4)),BASE!$E$12:$F$23,2,0),IFERROR(VLOOKUP((LEFT(N17,3)),BASE!$E$12:$F$23,2,0),IFERROR(VLOOKUP((LEFT(N17,2)),BASE!$E$12:$F$23,2,0),IFERROR(VLOOKUP((LEFT(N17,1)),BASE!$E$12:$F$23,2,0),N17))))</f>
        <v/>
      </c>
      <c r="CM17" s="58" t="str">
        <f>IFERROR(VLOOKUP((LEFT(M17,4)),BASE!$E$12:$F$23,2,0),IFERROR(VLOOKUP((LEFT(M17,3)),BASE!$E$12:$F$23,2,0),IFERROR(VLOOKUP((LEFT(M17,2)),BASE!$E$12:$F$23,2,0),IFERROR(VLOOKUP((LEFT(M17,1)),BASE!$E$12:$F$23,2,0),M17))))</f>
        <v/>
      </c>
      <c r="CN17" s="58" t="str">
        <f>IFERROR(VLOOKUP((LEFT(L17,4)),BASE!$E$12:$F$23,2,0),IFERROR(VLOOKUP((LEFT(L17,3)),BASE!$E$12:$F$23,2,0),IFERROR(VLOOKUP((LEFT(L17,2)),BASE!$E$12:$F$23,2,0),IFERROR(VLOOKUP((LEFT(L17,1)),BASE!$E$12:$F$23,2,0),L17))))</f>
        <v/>
      </c>
      <c r="CO17" s="58" t="str">
        <f t="shared" si="6"/>
        <v>நிரைநிரைநேர்</v>
      </c>
      <c r="CP17" s="58" t="str">
        <f>VLOOKUP(CO17,BASE!$E$25:$F$79,2,0)</f>
        <v>கருவிளங்காய்</v>
      </c>
      <c r="CQ17" s="58" t="str">
        <f>VLOOKUP(CO17,BASE!$E$25:$G$79,3,0)&amp;CE18</f>
        <v>காய்நேர்</v>
      </c>
      <c r="CR17" s="58" t="str">
        <f>VLOOKUP(CQ17,BASE!$E$86:$G$93,2,0)</f>
        <v>காய் முன் நேர்</v>
      </c>
      <c r="CS17" s="58" t="str">
        <f>VLOOKUP(CQ17,BASE!$E$86:$G$93,3,0)</f>
        <v>வெண்சீர் வெண்டளை</v>
      </c>
      <c r="CT17" s="58" t="str">
        <f t="shared" si="7"/>
        <v>மூவசைக்கு மிகவில்லை</v>
      </c>
      <c r="CU17" s="58" t="str">
        <f t="shared" si="8"/>
        <v>சரி</v>
      </c>
      <c r="CV17" s="193"/>
    </row>
    <row r="18" spans="1:100" ht="19.5" customHeight="1" x14ac:dyDescent="0.35">
      <c r="A18" s="119"/>
      <c r="B18" s="12">
        <f>IFERROR(VLOOKUP((LEFT(L18,4)),BASE!$E$12:$F$23,1,0),IFERROR(VLOOKUP((LEFT(L18,3)),BASE!$E$12:$F$23,1,0),IFERROR(VLOOKUP((LEFT(L18,2)),BASE!$E$12:$F$23,1,0),IFERROR(VLOOKUP((LEFT(L18,1)),BASE!$E$12:$F$23,1,0),100))))</f>
        <v>100</v>
      </c>
      <c r="C18" s="12">
        <f>IFERROR(VLOOKUP((LEFT(M18,4)),BASE!$E$12:$F$23,1,0),IFERROR(VLOOKUP((LEFT(M18,3)),BASE!$E$12:$F$23,1,0),IFERROR(VLOOKUP((LEFT(M18,2)),BASE!$E$12:$F$23,1,0),IFERROR(VLOOKUP((LEFT(M18,1)),BASE!$E$12:$F$23,1,0),100))))</f>
        <v>100</v>
      </c>
      <c r="D18" s="12">
        <f>IFERROR(VLOOKUP((LEFT(N18,4)),BASE!$E$12:$F$23,1,0),IFERROR(VLOOKUP((LEFT(N18,3)),BASE!$E$12:$F$23,1,0),IFERROR(VLOOKUP((LEFT(N18,2)),BASE!$E$12:$F$23,1,0),IFERROR(VLOOKUP((LEFT(N18,1)),BASE!$E$12:$F$23,1,0),100))))</f>
        <v>100</v>
      </c>
      <c r="E18" s="12">
        <f>IFERROR(VLOOKUP((LEFT(O18,4)),BASE!$E$12:$F$23,1,0),IFERROR(VLOOKUP((LEFT(O18,3)),BASE!$E$12:$F$23,1,0),IFERROR(VLOOKUP((LEFT(O18,2)),BASE!$E$12:$F$23,1,0),IFERROR(VLOOKUP((LEFT(O18,1)),BASE!$E$12:$F$23,1,0),100))))</f>
        <v>100</v>
      </c>
      <c r="F18" s="12">
        <f>IFERROR(VLOOKUP((LEFT(P18,4)),BASE!$E$12:$F$23,1,0),IFERROR(VLOOKUP((LEFT(P18,3)),BASE!$E$12:$F$23,1,0),IFERROR(VLOOKUP((LEFT(P18,2)),BASE!$E$12:$F$23,1,0),IFERROR(VLOOKUP((LEFT(P18,1)),BASE!$E$12:$F$23,1,0),100))))</f>
        <v>100</v>
      </c>
      <c r="G18" s="12">
        <f>IFERROR(VLOOKUP((LEFT(Q18,4)),BASE!$E$12:$F$23,1,0),IFERROR(VLOOKUP((LEFT(Q18,3)),BASE!$E$12:$F$23,1,0),IFERROR(VLOOKUP((LEFT(Q18,2)),BASE!$E$12:$F$23,1,0),IFERROR(VLOOKUP((LEFT(Q18,1)),BASE!$E$12:$F$23,1,0),100))))</f>
        <v>100</v>
      </c>
      <c r="H18" s="12">
        <f>IFERROR(VLOOKUP((LEFT(R18,4)),BASE!$E$12:$F$23,1,0),IFERROR(VLOOKUP((LEFT(R18,3)),BASE!$E$12:$F$23,1,0),IFERROR(VLOOKUP((LEFT(R18,2)),BASE!$E$12:$F$23,1,0),IFERROR(VLOOKUP((LEFT(R18,1)),BASE!$E$12:$F$23,1,0),100))))</f>
        <v>100</v>
      </c>
      <c r="I18" s="12" t="str">
        <f>IFERROR(VLOOKUP((LEFT(S18,4)),BASE!$E$12:$F$23,1,0),IFERROR(VLOOKUP((LEFT(S18,3)),BASE!$E$12:$F$23,1,0),IFERROR(VLOOKUP((LEFT(S18,2)),BASE!$E$12:$F$23,1,0),IFERROR(VLOOKUP((LEFT(S18,1)),BASE!$E$12:$F$23,1,0),100))))</f>
        <v>ko</v>
      </c>
      <c r="J18" s="12" t="str">
        <f>IFERROR(VLOOKUP((LEFT(T18,4)),BASE!$E$12:$F$24,1,0),IFERROR(VLOOKUP((LEFT(T18,3)),BASE!$E$12:$F$24,1,0),IFERROR(VLOOKUP((LEFT(T18,2)),BASE!$E$12:$F$24,1,0),IFERROR(VLOOKUP((LEFT(T18,1)),BASE!$E$12:$F$24,1,0),100))))</f>
        <v>n</v>
      </c>
      <c r="K18" s="12" t="str">
        <f>IFERROR(VLOOKUP((LEFT(U18,4)),BASE!$E$12:$F$23,1,0),IFERROR(VLOOKUP((LEFT(U18,3)),BASE!$E$12:$F$23,1,0),IFERROR(VLOOKUP((LEFT(U18,2)),BASE!$E$12:$F$23,1,0),IFERROR(VLOOKUP((LEFT(U18,1)),BASE!$E$12:$F$23,1,0),100))))</f>
        <v>n</v>
      </c>
      <c r="L18" s="14" t="str">
        <f t="shared" si="0"/>
        <v/>
      </c>
      <c r="M18" s="14" t="str">
        <f t="shared" si="0"/>
        <v/>
      </c>
      <c r="N18" s="14" t="str">
        <f t="shared" si="0"/>
        <v/>
      </c>
      <c r="O18" s="14" t="str">
        <f t="shared" si="0"/>
        <v/>
      </c>
      <c r="P18" s="14" t="str">
        <f t="shared" si="0"/>
        <v/>
      </c>
      <c r="Q18" s="14" t="str">
        <f t="shared" si="0"/>
        <v/>
      </c>
      <c r="R18" s="14" t="str">
        <f t="shared" si="0"/>
        <v/>
      </c>
      <c r="S18" s="14" t="str">
        <f t="shared" si="0"/>
        <v>ko</v>
      </c>
      <c r="T18" s="14" t="str">
        <f t="shared" si="0"/>
        <v>nko</v>
      </c>
      <c r="U18" s="14" t="str">
        <f t="shared" si="1"/>
        <v>nnko</v>
      </c>
      <c r="V18" s="13">
        <f>IFERROR(VLOOKUP(LEFT(AZ18,2),BASE!$C$96:$E$342,3,0),IFERROR(VLOOKUP(LEFT(AZ18,1),BASE!$C$96:$E$342,3,0),100))</f>
        <v>100</v>
      </c>
      <c r="W18" s="13">
        <f>IFERROR(VLOOKUP(LEFT(BA18,2),BASE!$C$96:$E$342,3,0),IFERROR(VLOOKUP(LEFT(BA18,1),BASE!$C$96:$E$342,3,0),100))</f>
        <v>100</v>
      </c>
      <c r="X18" s="13">
        <f>IFERROR(VLOOKUP(LEFT(BB18,2),BASE!$C$96:$E$342,3,0),IFERROR(VLOOKUP(LEFT(BB18,1),BASE!$C$96:$E$342,3,0),100))</f>
        <v>100</v>
      </c>
      <c r="Y18" s="13">
        <f>IFERROR(VLOOKUP(LEFT(BC18,2),BASE!$C$96:$E$342,3,0),IFERROR(VLOOKUP(LEFT(BC18,1),BASE!$C$96:$E$342,3,0),100))</f>
        <v>100</v>
      </c>
      <c r="Z18" s="13">
        <f>IFERROR(VLOOKUP(LEFT(BD18,2),BASE!$C$96:$E$342,3,0),IFERROR(VLOOKUP(LEFT(BD18,1),BASE!$C$96:$E$342,3,0),100))</f>
        <v>100</v>
      </c>
      <c r="AA18" s="13">
        <f>IFERROR(VLOOKUP(LEFT(BE18,2),BASE!$C$96:$E$342,3,0),IFERROR(VLOOKUP(LEFT(BE18,1),BASE!$C$96:$E$342,3,0),100))</f>
        <v>100</v>
      </c>
      <c r="AB18" s="13">
        <f>IFERROR(VLOOKUP(LEFT(BF18,2),BASE!$C$96:$E$342,3,0),IFERROR(VLOOKUP(LEFT(BF18,1),BASE!$C$96:$E$342,3,0),100))</f>
        <v>2</v>
      </c>
      <c r="AC18" s="13">
        <f>IFERROR(VLOOKUP(LEFT(BG18,2),BASE!$C$96:$E$342,3,0),IFERROR(VLOOKUP(LEFT(BG18,1),BASE!$C$96:$E$342,3,0),100))</f>
        <v>2</v>
      </c>
      <c r="AD18" s="13">
        <f>IFERROR(VLOOKUP(LEFT(BH18,2),BASE!$C$96:$E$342,3,0),IFERROR(VLOOKUP(LEFT(BH18,1),BASE!$C$96:$E$342,3,0),100))</f>
        <v>2</v>
      </c>
      <c r="AE18" s="13">
        <f>IFERROR(VLOOKUP(LEFT(BI18,2),BASE!$C$96:$E$342,3,0),IFERROR(VLOOKUP(LEFT(BI18,1),BASE!$C$96:$E$342,3,0),100))</f>
        <v>2</v>
      </c>
      <c r="AF18" s="187" t="str">
        <f>IF(AND(BS18=BR18,AG18="o"),"A", (IFERROR(VLOOKUP(LEFT(AZ18,2),BASE!$C$346:$D$592,2,0),IFERROR(VLOOKUP(LEFT(AZ18,1),BASE!$C$346:$D$5922,2,0),AZ18))))</f>
        <v/>
      </c>
      <c r="AG18" s="187" t="str">
        <f>IF(AND(BR18=BQ18,AH18="o"),"A", (IFERROR(VLOOKUP(LEFT(BA18,2),BASE!$C$346:$D$592,2,0),IFERROR(VLOOKUP(LEFT(BA18,1),BASE!$C$346:$D$592,2,0),BA18))))</f>
        <v/>
      </c>
      <c r="AH18" s="187" t="str">
        <f>IF(AND(BQ18=BP18,AI18="o"),"A", (IFERROR(VLOOKUP(LEFT(BB18,2),BASE!$C$346:$D$592,2,0),IFERROR(VLOOKUP(LEFT(BB18,1),BASE!$C$346:$D$592,2,0),BB18))))</f>
        <v/>
      </c>
      <c r="AI18" s="187" t="str">
        <f>IF(AND(BP18=BO18,AJ18="o"),"A", (IFERROR(VLOOKUP(LEFT(BC18,2),BASE!$C$346:$D$592,2,0),IFERROR(VLOOKUP(LEFT(BC18,1),BASE!$C$346:$D$592,2,0),BC18))))</f>
        <v/>
      </c>
      <c r="AJ18" s="187" t="str">
        <f>IF(AND(BO18=BN18,AK18="o"),"A", (IFERROR(VLOOKUP(LEFT(BD18,2),BASE!$C$346:$D$592,2,0),IFERROR(VLOOKUP(LEFT(BD18,1),BASE!$C$346:$D$592,2,0),BD18))))</f>
        <v/>
      </c>
      <c r="AK18" s="187" t="str">
        <f>IF(AND(BN18=BM18,AL18="o"),"A", (IFERROR(VLOOKUP(LEFT(BE18,2),BASE!$C$346:$D$592,2,0),IFERROR(VLOOKUP(LEFT(BE18,1),BASE!$C$346:$D$592,2,0),BE18))))</f>
        <v/>
      </c>
      <c r="AL18" s="187" t="str">
        <f>IF(AND(BM18=BL18,AM18="o"),"A", (IFERROR(VLOOKUP(LEFT(BF18,2),BASE!$C$346:$D$592,2,0),IFERROR(VLOOKUP(LEFT(BF18,1),BASE!$C$346:$D$592,2,0),BF18))))</f>
        <v>o</v>
      </c>
      <c r="AM18" s="187" t="str">
        <f>IF(AND(BL18=BK18,AN18="o"),"A",(IFERROR(VLOOKUP(LEFT(BG18,2),BASE!$C$346:$D$592,2,0),IFERROR(VLOOKUP(LEFT(BG18,1),BASE!$C$346:$D$592,2,0),BG18))))</f>
        <v>k</v>
      </c>
      <c r="AN18" s="187" t="str">
        <f>(IFERROR(VLOOKUP(LEFT(BH18,2),BASE!$C$346:$D$592,2,0),IFERROR(VLOOKUP(LEFT(BH18,1),BASE!$C$346:$D$592,2,0),BH18)))</f>
        <v>n</v>
      </c>
      <c r="AO18" s="187" t="str">
        <f>(IFERROR(VLOOKUP(LEFT(BI18,2),BASE!$C$96:$D$342,2,0),IFERROR(VLOOKUP(LEFT(BI18,1),BASE!$C$96:$D$342,2,0),BI18)))</f>
        <v>n</v>
      </c>
      <c r="AP18" s="5">
        <f t="shared" si="2"/>
        <v>8</v>
      </c>
      <c r="AQ18" s="5">
        <f t="shared" si="2"/>
        <v>8</v>
      </c>
      <c r="AR18" s="5">
        <f t="shared" si="2"/>
        <v>8</v>
      </c>
      <c r="AS18" s="5">
        <f t="shared" si="2"/>
        <v>8</v>
      </c>
      <c r="AT18" s="5">
        <f t="shared" si="2"/>
        <v>8</v>
      </c>
      <c r="AU18" s="5">
        <f t="shared" si="2"/>
        <v>8</v>
      </c>
      <c r="AV18" s="5">
        <f t="shared" si="2"/>
        <v>8</v>
      </c>
      <c r="AW18" s="5">
        <f t="shared" si="2"/>
        <v>8</v>
      </c>
      <c r="AX18" s="5">
        <f t="shared" si="2"/>
        <v>8</v>
      </c>
      <c r="AY18" s="5">
        <f t="shared" si="3"/>
        <v>8</v>
      </c>
      <c r="AZ18" s="12" t="str">
        <f t="shared" si="4"/>
        <v/>
      </c>
      <c r="BA18" s="12" t="str">
        <f t="shared" si="4"/>
        <v/>
      </c>
      <c r="BB18" s="12" t="str">
        <f t="shared" si="4"/>
        <v/>
      </c>
      <c r="BC18" s="12" t="str">
        <f t="shared" si="4"/>
        <v/>
      </c>
      <c r="BD18" s="12" t="str">
        <f t="shared" si="4"/>
        <v/>
      </c>
      <c r="BE18" s="12" t="str">
        <f t="shared" si="4"/>
        <v/>
      </c>
      <c r="BF18" s="12" t="str">
        <f t="shared" si="4"/>
        <v>ம்</v>
      </c>
      <c r="BG18" s="12" t="str">
        <f t="shared" si="4"/>
        <v>றும்</v>
      </c>
      <c r="BH18" s="43" t="str">
        <f t="shared" si="4"/>
        <v>டோறும்</v>
      </c>
      <c r="BI18" s="57" t="str">
        <f>CG7</f>
        <v>நாடோறும்</v>
      </c>
      <c r="BJ18" s="58" t="str">
        <f>IFERROR(VLOOKUP(LEFT(BI18,2),BASE!$C$96:$F$342,1,0),IFERROR(VLOOKUP(LEFT(BI18,1),BASE!$C$96:$F$342,1,0),BI18))</f>
        <v>நா</v>
      </c>
      <c r="BK18" s="58" t="str">
        <f>IFERROR(VLOOKUP(LEFT(BH18,2),BASE!$C$96:$D$342,1,0),IFERROR(VLOOKUP(LEFT(BH18,1),BASE!$C$96:$D$342,1,0),BH18))</f>
        <v>டோ</v>
      </c>
      <c r="BL18" s="58" t="str">
        <f>IFERROR(VLOOKUP(LEFT(BG18,2),BASE!$C$96:$D$342,1,0),IFERROR(VLOOKUP(LEFT(BG18,1),BASE!$C$96:$D$342,1,0),BG18))</f>
        <v>று</v>
      </c>
      <c r="BM18" s="58" t="str">
        <f>IFERROR(VLOOKUP(LEFT(BF18,2),BASE!$C$96:$D$342,1,0),IFERROR(VLOOKUP(LEFT(BF18,1),BASE!$C$96:$D$342,1,0),BF18))</f>
        <v>ம்</v>
      </c>
      <c r="BN18" s="58" t="str">
        <f>IFERROR(VLOOKUP(LEFT(BE18,2),BASE!$C$96:$D$342,1,0),IFERROR(VLOOKUP(LEFT(BE18,1),BASE!$C$96:$D$342,1,0),BE18))</f>
        <v/>
      </c>
      <c r="BO18" s="58" t="str">
        <f>IFERROR(VLOOKUP(LEFT(BD18,2),BASE!$C$96:$D$342,1,0),IFERROR(VLOOKUP(LEFT(BD18,1),BASE!$C$96:$D$342,1,0),BD18))</f>
        <v/>
      </c>
      <c r="BP18" s="58" t="str">
        <f>IFERROR(VLOOKUP(LEFT(BC18,2),BASE!$C$96:$D$342,1,0),IFERROR(VLOOKUP(LEFT(BC18,1),BASE!$C$96:$D$342,1,0),BC18))</f>
        <v/>
      </c>
      <c r="BQ18" s="58" t="str">
        <f>IFERROR(VLOOKUP(LEFT(BB18,2),BASE!$C$96:$D$342,1,0),IFERROR(VLOOKUP(LEFT(BB18,1),BASE!$C$96:$D$342,1,0),BB18))</f>
        <v/>
      </c>
      <c r="BR18" s="58" t="str">
        <f>IFERROR(VLOOKUP(LEFT(BA18,2),BASE!$C$96:$D$342,1,0),IFERROR(VLOOKUP(LEFT(BA18,1),BASE!$C$96:$D$342,1,0),BA18))</f>
        <v/>
      </c>
      <c r="BS18" s="58" t="str">
        <f>IFERROR(VLOOKUP(LEFT(AZ18,2),BASE!$C$96:$D$342,1,0),IFERROR(VLOOKUP(LEFT(AZ18,1),BASE!$C$96:$D$342,1,0),AZ18))</f>
        <v/>
      </c>
      <c r="BT18" s="186" t="str">
        <f>(IFERROR(VLOOKUP(LEFT(BI18,2),BASE!$C$96:$F$342,4,0),IFERROR(VLOOKUP(LEFT(BI18,1),BASE!$C$96:$F$342,4,0),BI18)))</f>
        <v>நெ</v>
      </c>
      <c r="BU18" s="186" t="str">
        <f>(IFERROR(VLOOKUP(LEFT(BH18,2),BASE!$C$346:$F$592,4,0),IFERROR(VLOOKUP(LEFT(BH18,1),BASE!$C$346:$F$592,4,0),BH18)))</f>
        <v>நெ</v>
      </c>
      <c r="BV18" s="186" t="str">
        <f>(IFERROR(VLOOKUP(LEFT(BG18,2),BASE!$C$346:$F$592,4,0),IFERROR(VLOOKUP(LEFT(BG18,1),BASE!$C$346:$F$592,4,0),BG18)))</f>
        <v>கு</v>
      </c>
      <c r="BW18" s="186" t="str">
        <f>(IFERROR(VLOOKUP(LEFT(BF18,2),BASE!$C$346:$F$592,4,0),IFERROR(VLOOKUP(LEFT(BF18,1),BASE!$C$346:$F$592,4,0),BF18)))</f>
        <v>ஒ</v>
      </c>
      <c r="BX18" s="186" t="str">
        <f>(IFERROR(VLOOKUP(LEFT(BE18,2),BASE!$C$346:$F$592,4,0),IFERROR(VLOOKUP(LEFT(BE18,1),BASE!$C$346:$F$592,4,0),BE18)))</f>
        <v/>
      </c>
      <c r="BY18" s="186" t="str">
        <f>(IFERROR(VLOOKUP(LEFT(BD18,2),BASE!$C$346:$F$592,4,0),IFERROR(VLOOKUP(LEFT(BD18,1),BASE!$C$346:$F$592,4,0),BD18)))</f>
        <v/>
      </c>
      <c r="BZ18" s="186" t="str">
        <f>(IFERROR(VLOOKUP(LEFT(BC18,2),BASE!$C$346:$F$592,4,0),IFERROR(VLOOKUP(LEFT(BC18,1),BASE!$C$346:$F$592,4,0),BC18)))</f>
        <v/>
      </c>
      <c r="CA18" s="186" t="str">
        <f>(IFERROR(VLOOKUP(LEFT(BB18,2),BASE!$C$346:$F$592,4,0),IFERROR(VLOOKUP(LEFT(BB18,1),BASE!$C$346:$F$592,4,0),BB18)))</f>
        <v/>
      </c>
      <c r="CB18" s="186" t="str">
        <f>(IFERROR(VLOOKUP(LEFT(BA18,2),BASE!$C$346:$F$592,4,0),IFERROR(VLOOKUP(LEFT(BA18,1),BASE!$C$346:$F$592,4,0),BA18)))</f>
        <v/>
      </c>
      <c r="CC18" s="186" t="str">
        <f>(IFERROR(VLOOKUP(LEFT(AZ18,2),BASE!$C$346:$F$592,4,0),IFERROR(VLOOKUP(LEFT(AZ18,1),BASE!$C$346:$F$592,4,0),AZ18)))</f>
        <v/>
      </c>
      <c r="CD18" s="58" t="str">
        <f t="shared" si="5"/>
        <v>நெநெகுஒ</v>
      </c>
      <c r="CE18" s="58" t="str">
        <f>IFERROR(VLOOKUP((LEFT(U18,4)),BASE!$E$12:$F$23,2,0),IFERROR(VLOOKUP((LEFT(U18,3)),BASE!$E$12:$F$23,2,0),IFERROR(VLOOKUP((LEFT(U18,2)),BASE!$E$12:$F$23,2,0),IFERROR(VLOOKUP((LEFT(U18,1)),BASE!$E$12:$F$23,2,0),U18))))</f>
        <v>நேர்</v>
      </c>
      <c r="CF18" s="58" t="str">
        <f>IFERROR(VLOOKUP((LEFT(T18,4)),BASE!$E$12:$F$24,2,0),IFERROR(VLOOKUP((LEFT(T18,3)),BASE!$E$12:$F$24,2,0),IFERROR(VLOOKUP((LEFT(T18,2)),BASE!$E$12:$F$24,2,0),IFERROR(VLOOKUP((LEFT(T18,1)),BASE!$E$12:$F$24,2,0),T18))))</f>
        <v>நேர்</v>
      </c>
      <c r="CG18" s="58" t="str">
        <f>IFERROR(VLOOKUP((LEFT(S18,4)),BASE!$E$12:$F$23,2,0),IFERROR(VLOOKUP((LEFT(S18,3)),BASE!$E$12:$F$23,2,0),IFERROR(VLOOKUP((LEFT(S18,2)),BASE!$E$12:$F$23,2,0),IFERROR(VLOOKUP((LEFT(S18,1)),BASE!$E$12:$F$23,2,0),S18))))</f>
        <v>நேர்</v>
      </c>
      <c r="CH18" s="58" t="str">
        <f>IFERROR(VLOOKUP((LEFT(R18,4)),BASE!$E$12:$F$23,2,0),IFERROR(VLOOKUP((LEFT(R18,3)),BASE!$E$12:$F$23,2,0),IFERROR(VLOOKUP((LEFT(R18,2)),BASE!$E$12:$F$23,2,0),IFERROR(VLOOKUP((LEFT(R18,1)),BASE!$E$12:$F$23,2,0),R18))))</f>
        <v/>
      </c>
      <c r="CI18" s="58" t="str">
        <f>IFERROR(VLOOKUP((LEFT(Q18,4)),BASE!$E$12:$F$23,2,0),IFERROR(VLOOKUP((LEFT(Q18,3)),BASE!$E$12:$F$23,2,0),IFERROR(VLOOKUP((LEFT(Q18,2)),BASE!$E$12:$F$23,2,0),IFERROR(VLOOKUP((LEFT(Q18,1)),BASE!$E$12:$F$23,2,0),Q18))))</f>
        <v/>
      </c>
      <c r="CJ18" s="58" t="str">
        <f>IFERROR(VLOOKUP((LEFT(P18,4)),BASE!$E$12:$F$23,2,0),IFERROR(VLOOKUP((LEFT(P18,3)),BASE!$E$12:$F$23,2,0),IFERROR(VLOOKUP((LEFT(P18,2)),BASE!$E$12:$F$23,2,0),IFERROR(VLOOKUP((LEFT(P18,1)),BASE!$E$12:$F$23,2,0),P18))))</f>
        <v/>
      </c>
      <c r="CK18" s="58" t="str">
        <f>IFERROR(VLOOKUP((LEFT(O18,4)),BASE!$E$12:$F$23,2,0),IFERROR(VLOOKUP((LEFT(O18,3)),BASE!$E$12:$F$23,2,0),IFERROR(VLOOKUP((LEFT(O18,2)),BASE!$E$12:$F$23,2,0),IFERROR(VLOOKUP((LEFT(O18,1)),BASE!$E$12:$F$23,2,0),O18))))</f>
        <v/>
      </c>
      <c r="CL18" s="58" t="str">
        <f>IFERROR(VLOOKUP((LEFT(N18,4)),BASE!$E$12:$F$23,2,0),IFERROR(VLOOKUP((LEFT(N18,3)),BASE!$E$12:$F$23,2,0),IFERROR(VLOOKUP((LEFT(N18,2)),BASE!$E$12:$F$23,2,0),IFERROR(VLOOKUP((LEFT(N18,1)),BASE!$E$12:$F$23,2,0),N18))))</f>
        <v/>
      </c>
      <c r="CM18" s="58" t="str">
        <f>IFERROR(VLOOKUP((LEFT(M18,4)),BASE!$E$12:$F$23,2,0),IFERROR(VLOOKUP((LEFT(M18,3)),BASE!$E$12:$F$23,2,0),IFERROR(VLOOKUP((LEFT(M18,2)),BASE!$E$12:$F$23,2,0),IFERROR(VLOOKUP((LEFT(M18,1)),BASE!$E$12:$F$23,2,0),M18))))</f>
        <v/>
      </c>
      <c r="CN18" s="58" t="str">
        <f>IFERROR(VLOOKUP((LEFT(L18,4)),BASE!$E$12:$F$23,2,0),IFERROR(VLOOKUP((LEFT(L18,3)),BASE!$E$12:$F$23,2,0),IFERROR(VLOOKUP((LEFT(L18,2)),BASE!$E$12:$F$23,2,0),IFERROR(VLOOKUP((LEFT(L18,1)),BASE!$E$12:$F$23,2,0),L18))))</f>
        <v/>
      </c>
      <c r="CO18" s="58" t="str">
        <f t="shared" si="6"/>
        <v>நேர்நேர்நேர்</v>
      </c>
      <c r="CP18" s="58" t="str">
        <f>VLOOKUP(CO18,BASE!$E$25:$F$79,2,0)</f>
        <v>தேமாங்காய்</v>
      </c>
      <c r="CQ18" s="58" t="str">
        <f>VLOOKUP(CO18,BASE!$E$25:$G$79,3,0)&amp;CE19</f>
        <v>காய்நேர்</v>
      </c>
      <c r="CR18" s="58" t="str">
        <f>VLOOKUP(CQ18,BASE!$E$86:$G$93,2,0)</f>
        <v>காய் முன் நேர்</v>
      </c>
      <c r="CS18" s="58" t="str">
        <f>VLOOKUP(CQ18,BASE!$E$86:$G$93,3,0)</f>
        <v>வெண்சீர் வெண்டளை</v>
      </c>
      <c r="CT18" s="58" t="str">
        <f t="shared" si="7"/>
        <v>மூவசைக்கு மிகவில்லை</v>
      </c>
      <c r="CU18" s="58" t="str">
        <f t="shared" si="8"/>
        <v>சரி</v>
      </c>
      <c r="CV18" s="193"/>
    </row>
    <row r="19" spans="1:100" ht="19.5" customHeight="1" x14ac:dyDescent="0.35">
      <c r="A19" s="119"/>
      <c r="B19" s="12">
        <f>IFERROR(VLOOKUP((LEFT(L19,4)),BASE!$E$12:$F$23,1,0),IFERROR(VLOOKUP((LEFT(L19,3)),BASE!$E$12:$F$23,1,0),IFERROR(VLOOKUP((LEFT(L19,2)),BASE!$E$12:$F$23,1,0),IFERROR(VLOOKUP((LEFT(L19,1)),BASE!$E$12:$F$23,1,0),100))))</f>
        <v>100</v>
      </c>
      <c r="C19" s="12">
        <f>IFERROR(VLOOKUP((LEFT(M19,4)),BASE!$E$12:$F$23,1,0),IFERROR(VLOOKUP((LEFT(M19,3)),BASE!$E$12:$F$23,1,0),IFERROR(VLOOKUP((LEFT(M19,2)),BASE!$E$12:$F$23,1,0),IFERROR(VLOOKUP((LEFT(M19,1)),BASE!$E$12:$F$23,1,0),100))))</f>
        <v>100</v>
      </c>
      <c r="D19" s="12">
        <f>IFERROR(VLOOKUP((LEFT(N19,4)),BASE!$E$12:$F$23,1,0),IFERROR(VLOOKUP((LEFT(N19,3)),BASE!$E$12:$F$23,1,0),IFERROR(VLOOKUP((LEFT(N19,2)),BASE!$E$12:$F$23,1,0),IFERROR(VLOOKUP((LEFT(N19,1)),BASE!$E$12:$F$23,1,0),100))))</f>
        <v>100</v>
      </c>
      <c r="E19" s="12">
        <f>IFERROR(VLOOKUP((LEFT(O19,4)),BASE!$E$12:$F$23,1,0),IFERROR(VLOOKUP((LEFT(O19,3)),BASE!$E$12:$F$23,1,0),IFERROR(VLOOKUP((LEFT(O19,2)),BASE!$E$12:$F$23,1,0),IFERROR(VLOOKUP((LEFT(O19,1)),BASE!$E$12:$F$23,1,0),100))))</f>
        <v>100</v>
      </c>
      <c r="F19" s="12">
        <f>IFERROR(VLOOKUP((LEFT(P19,4)),BASE!$E$12:$F$23,1,0),IFERROR(VLOOKUP((LEFT(P19,3)),BASE!$E$12:$F$23,1,0),IFERROR(VLOOKUP((LEFT(P19,2)),BASE!$E$12:$F$23,1,0),IFERROR(VLOOKUP((LEFT(P19,1)),BASE!$E$12:$F$23,1,0),100))))</f>
        <v>100</v>
      </c>
      <c r="G19" s="12">
        <f>IFERROR(VLOOKUP((LEFT(Q19,4)),BASE!$E$12:$F$23,1,0),IFERROR(VLOOKUP((LEFT(Q19,3)),BASE!$E$12:$F$23,1,0),IFERROR(VLOOKUP((LEFT(Q19,2)),BASE!$E$12:$F$23,1,0),IFERROR(VLOOKUP((LEFT(Q19,1)),BASE!$E$12:$F$23,1,0),100))))</f>
        <v>100</v>
      </c>
      <c r="H19" s="12">
        <f>IFERROR(VLOOKUP((LEFT(R19,4)),BASE!$E$12:$F$23,1,0),IFERROR(VLOOKUP((LEFT(R19,3)),BASE!$E$12:$F$23,1,0),IFERROR(VLOOKUP((LEFT(R19,2)),BASE!$E$12:$F$23,1,0),IFERROR(VLOOKUP((LEFT(R19,1)),BASE!$E$12:$F$23,1,0),100))))</f>
        <v>100</v>
      </c>
      <c r="I19" s="12">
        <f>IFERROR(VLOOKUP((LEFT(S19,4)),BASE!$E$12:$F$23,1,0),IFERROR(VLOOKUP((LEFT(S19,3)),BASE!$E$12:$F$23,1,0),IFERROR(VLOOKUP((LEFT(S19,2)),BASE!$E$12:$F$23,1,0),IFERROR(VLOOKUP((LEFT(S19,1)),BASE!$E$12:$F$23,1,0),100))))</f>
        <v>100</v>
      </c>
      <c r="J19" s="12" t="str">
        <f>IFERROR(VLOOKUP((LEFT(T19,4)),BASE!$E$12:$F$24,1,0),IFERROR(VLOOKUP((LEFT(T19,3)),BASE!$E$12:$F$24,1,0),IFERROR(VLOOKUP((LEFT(T19,2)),BASE!$E$12:$F$24,1,0),IFERROR(VLOOKUP((LEFT(T19,1)),BASE!$E$12:$F$24,1,0),100))))</f>
        <v>no</v>
      </c>
      <c r="K19" s="12" t="str">
        <f>IFERROR(VLOOKUP((LEFT(U19,4)),BASE!$E$12:$F$23,1,0),IFERROR(VLOOKUP((LEFT(U19,3)),BASE!$E$12:$F$23,1,0),IFERROR(VLOOKUP((LEFT(U19,2)),BASE!$E$12:$F$23,1,0),IFERROR(VLOOKUP((LEFT(U19,1)),BASE!$E$12:$F$23,1,0),100))))</f>
        <v>ko</v>
      </c>
      <c r="L19" s="14" t="str">
        <f t="shared" si="0"/>
        <v/>
      </c>
      <c r="M19" s="14" t="str">
        <f t="shared" si="0"/>
        <v/>
      </c>
      <c r="N19" s="14" t="str">
        <f t="shared" si="0"/>
        <v/>
      </c>
      <c r="O19" s="14" t="str">
        <f t="shared" si="0"/>
        <v/>
      </c>
      <c r="P19" s="14" t="str">
        <f t="shared" si="0"/>
        <v/>
      </c>
      <c r="Q19" s="14" t="str">
        <f t="shared" si="0"/>
        <v/>
      </c>
      <c r="R19" s="14" t="str">
        <f t="shared" si="0"/>
        <v/>
      </c>
      <c r="S19" s="14" t="str">
        <f t="shared" si="0"/>
        <v/>
      </c>
      <c r="T19" s="14" t="str">
        <f t="shared" si="0"/>
        <v>no</v>
      </c>
      <c r="U19" s="14" t="str">
        <f t="shared" si="1"/>
        <v>kono</v>
      </c>
      <c r="V19" s="13">
        <f>IFERROR(VLOOKUP(LEFT(AZ19,2),BASE!$C$96:$E$342,3,0),IFERROR(VLOOKUP(LEFT(AZ19,1),BASE!$C$96:$E$342,3,0),100))</f>
        <v>100</v>
      </c>
      <c r="W19" s="13">
        <f>IFERROR(VLOOKUP(LEFT(BA19,2),BASE!$C$96:$E$342,3,0),IFERROR(VLOOKUP(LEFT(BA19,1),BASE!$C$96:$E$342,3,0),100))</f>
        <v>100</v>
      </c>
      <c r="X19" s="13">
        <f>IFERROR(VLOOKUP(LEFT(BB19,2),BASE!$C$96:$E$342,3,0),IFERROR(VLOOKUP(LEFT(BB19,1),BASE!$C$96:$E$342,3,0),100))</f>
        <v>100</v>
      </c>
      <c r="Y19" s="13">
        <f>IFERROR(VLOOKUP(LEFT(BC19,2),BASE!$C$96:$E$342,3,0),IFERROR(VLOOKUP(LEFT(BC19,1),BASE!$C$96:$E$342,3,0),100))</f>
        <v>100</v>
      </c>
      <c r="Z19" s="13">
        <f>IFERROR(VLOOKUP(LEFT(BD19,2),BASE!$C$96:$E$342,3,0),IFERROR(VLOOKUP(LEFT(BD19,1),BASE!$C$96:$E$342,3,0),100))</f>
        <v>100</v>
      </c>
      <c r="AA19" s="13">
        <f>IFERROR(VLOOKUP(LEFT(BE19,2),BASE!$C$96:$E$342,3,0),IFERROR(VLOOKUP(LEFT(BE19,1),BASE!$C$96:$E$342,3,0),100))</f>
        <v>100</v>
      </c>
      <c r="AB19" s="13">
        <f>IFERROR(VLOOKUP(LEFT(BF19,2),BASE!$C$96:$E$342,3,0),IFERROR(VLOOKUP(LEFT(BF19,1),BASE!$C$96:$E$342,3,0),100))</f>
        <v>2</v>
      </c>
      <c r="AC19" s="13">
        <f>IFERROR(VLOOKUP(LEFT(BG19,2),BASE!$C$96:$E$342,3,0),IFERROR(VLOOKUP(LEFT(BG19,1),BASE!$C$96:$E$342,3,0),100))</f>
        <v>2</v>
      </c>
      <c r="AD19" s="13">
        <f>IFERROR(VLOOKUP(LEFT(BH19,2),BASE!$C$96:$E$342,3,0),IFERROR(VLOOKUP(LEFT(BH19,1),BASE!$C$96:$E$342,3,0),100))</f>
        <v>2</v>
      </c>
      <c r="AE19" s="13">
        <f>IFERROR(VLOOKUP(LEFT(BI19,2),BASE!$C$96:$E$342,3,0),IFERROR(VLOOKUP(LEFT(BI19,1),BASE!$C$96:$E$342,3,0),100))</f>
        <v>1</v>
      </c>
      <c r="AF19" s="187" t="str">
        <f>IF(AND(BS19=BR19,AG19="o"),"A", (IFERROR(VLOOKUP(LEFT(AZ19,2),BASE!$C$346:$D$592,2,0),IFERROR(VLOOKUP(LEFT(AZ19,1),BASE!$C$346:$D$5922,2,0),AZ19))))</f>
        <v/>
      </c>
      <c r="AG19" s="187" t="str">
        <f>IF(AND(BR19=BQ19,AH19="o"),"A", (IFERROR(VLOOKUP(LEFT(BA19,2),BASE!$C$346:$D$592,2,0),IFERROR(VLOOKUP(LEFT(BA19,1),BASE!$C$346:$D$592,2,0),BA19))))</f>
        <v/>
      </c>
      <c r="AH19" s="187" t="str">
        <f>IF(AND(BQ19=BP19,AI19="o"),"A", (IFERROR(VLOOKUP(LEFT(BB19,2),BASE!$C$346:$D$592,2,0),IFERROR(VLOOKUP(LEFT(BB19,1),BASE!$C$346:$D$592,2,0),BB19))))</f>
        <v/>
      </c>
      <c r="AI19" s="187" t="str">
        <f>IF(AND(BP19=BO19,AJ19="o"),"A", (IFERROR(VLOOKUP(LEFT(BC19,2),BASE!$C$346:$D$592,2,0),IFERROR(VLOOKUP(LEFT(BC19,1),BASE!$C$346:$D$592,2,0),BC19))))</f>
        <v/>
      </c>
      <c r="AJ19" s="187" t="str">
        <f>IF(AND(BO19=BN19,AK19="o"),"A", (IFERROR(VLOOKUP(LEFT(BD19,2),BASE!$C$346:$D$592,2,0),IFERROR(VLOOKUP(LEFT(BD19,1),BASE!$C$346:$D$592,2,0),BD19))))</f>
        <v/>
      </c>
      <c r="AK19" s="187" t="str">
        <f>IF(AND(BN19=BM19,AL19="o"),"A", (IFERROR(VLOOKUP(LEFT(BE19,2),BASE!$C$346:$D$592,2,0),IFERROR(VLOOKUP(LEFT(BE19,1),BASE!$C$346:$D$592,2,0),BE19))))</f>
        <v/>
      </c>
      <c r="AL19" s="187" t="str">
        <f>IF(AND(BM19=BL19,AM19="o"),"A", (IFERROR(VLOOKUP(LEFT(BF19,2),BASE!$C$346:$D$592,2,0),IFERROR(VLOOKUP(LEFT(BF19,1),BASE!$C$346:$D$592,2,0),BF19))))</f>
        <v>o</v>
      </c>
      <c r="AM19" s="187" t="str">
        <f>IF(AND(BL19=BK19,AN19="o"),"A",(IFERROR(VLOOKUP(LEFT(BG19,2),BASE!$C$346:$D$592,2,0),IFERROR(VLOOKUP(LEFT(BG19,1),BASE!$C$346:$D$592,2,0),BG19))))</f>
        <v>n</v>
      </c>
      <c r="AN19" s="187" t="str">
        <f>(IFERROR(VLOOKUP(LEFT(BH19,2),BASE!$C$346:$D$592,2,0),IFERROR(VLOOKUP(LEFT(BH19,1),BASE!$C$346:$D$592,2,0),BH19)))</f>
        <v>o</v>
      </c>
      <c r="AO19" s="187" t="str">
        <f>(IFERROR(VLOOKUP(LEFT(BI19,2),BASE!$C$96:$D$342,2,0),IFERROR(VLOOKUP(LEFT(BI19,1),BASE!$C$96:$D$342,2,0),BI19)))</f>
        <v>k</v>
      </c>
      <c r="AP19" s="5">
        <f t="shared" si="2"/>
        <v>7</v>
      </c>
      <c r="AQ19" s="5">
        <f t="shared" si="2"/>
        <v>7</v>
      </c>
      <c r="AR19" s="5">
        <f t="shared" si="2"/>
        <v>7</v>
      </c>
      <c r="AS19" s="5">
        <f t="shared" si="2"/>
        <v>7</v>
      </c>
      <c r="AT19" s="5">
        <f t="shared" si="2"/>
        <v>7</v>
      </c>
      <c r="AU19" s="5">
        <f t="shared" si="2"/>
        <v>7</v>
      </c>
      <c r="AV19" s="5">
        <f t="shared" si="2"/>
        <v>7</v>
      </c>
      <c r="AW19" s="5">
        <f t="shared" si="2"/>
        <v>7</v>
      </c>
      <c r="AX19" s="5">
        <f t="shared" si="2"/>
        <v>7</v>
      </c>
      <c r="AY19" s="5">
        <f t="shared" si="3"/>
        <v>7</v>
      </c>
      <c r="AZ19" s="12" t="str">
        <f t="shared" si="4"/>
        <v/>
      </c>
      <c r="BA19" s="12" t="str">
        <f t="shared" si="4"/>
        <v/>
      </c>
      <c r="BB19" s="12" t="str">
        <f t="shared" si="4"/>
        <v/>
      </c>
      <c r="BC19" s="12" t="str">
        <f t="shared" si="4"/>
        <v/>
      </c>
      <c r="BD19" s="12" t="str">
        <f t="shared" si="4"/>
        <v/>
      </c>
      <c r="BE19" s="12" t="str">
        <f t="shared" si="4"/>
        <v/>
      </c>
      <c r="BF19" s="12" t="str">
        <f t="shared" si="4"/>
        <v>ர்</v>
      </c>
      <c r="BG19" s="12" t="str">
        <f t="shared" si="4"/>
        <v>லார்</v>
      </c>
      <c r="BH19" s="43" t="str">
        <f t="shared" si="4"/>
        <v>ல்லார்</v>
      </c>
      <c r="BI19" s="57" t="str">
        <f>CD9</f>
        <v>அல்லார்</v>
      </c>
      <c r="BJ19" s="58" t="str">
        <f>IFERROR(VLOOKUP(LEFT(BI19,2),BASE!$C$96:$F$342,1,0),IFERROR(VLOOKUP(LEFT(BI19,1),BASE!$C$96:$F$342,1,0),BI19))</f>
        <v>அ</v>
      </c>
      <c r="BK19" s="58" t="str">
        <f>IFERROR(VLOOKUP(LEFT(BH19,2),BASE!$C$96:$D$342,1,0),IFERROR(VLOOKUP(LEFT(BH19,1),BASE!$C$96:$D$342,1,0),BH19))</f>
        <v>ல்</v>
      </c>
      <c r="BL19" s="58" t="str">
        <f>IFERROR(VLOOKUP(LEFT(BG19,2),BASE!$C$96:$D$342,1,0),IFERROR(VLOOKUP(LEFT(BG19,1),BASE!$C$96:$D$342,1,0),BG19))</f>
        <v>லா</v>
      </c>
      <c r="BM19" s="58" t="str">
        <f>IFERROR(VLOOKUP(LEFT(BF19,2),BASE!$C$96:$D$342,1,0),IFERROR(VLOOKUP(LEFT(BF19,1),BASE!$C$96:$D$342,1,0),BF19))</f>
        <v>ர்</v>
      </c>
      <c r="BN19" s="58" t="str">
        <f>IFERROR(VLOOKUP(LEFT(BE19,2),BASE!$C$96:$D$342,1,0),IFERROR(VLOOKUP(LEFT(BE19,1),BASE!$C$96:$D$342,1,0),BE19))</f>
        <v/>
      </c>
      <c r="BO19" s="58" t="str">
        <f>IFERROR(VLOOKUP(LEFT(BD19,2),BASE!$C$96:$D$342,1,0),IFERROR(VLOOKUP(LEFT(BD19,1),BASE!$C$96:$D$342,1,0),BD19))</f>
        <v/>
      </c>
      <c r="BP19" s="58" t="str">
        <f>IFERROR(VLOOKUP(LEFT(BC19,2),BASE!$C$96:$D$342,1,0),IFERROR(VLOOKUP(LEFT(BC19,1),BASE!$C$96:$D$342,1,0),BC19))</f>
        <v/>
      </c>
      <c r="BQ19" s="58" t="str">
        <f>IFERROR(VLOOKUP(LEFT(BB19,2),BASE!$C$96:$D$342,1,0),IFERROR(VLOOKUP(LEFT(BB19,1),BASE!$C$96:$D$342,1,0),BB19))</f>
        <v/>
      </c>
      <c r="BR19" s="58" t="str">
        <f>IFERROR(VLOOKUP(LEFT(BA19,2),BASE!$C$96:$D$342,1,0),IFERROR(VLOOKUP(LEFT(BA19,1),BASE!$C$96:$D$342,1,0),BA19))</f>
        <v/>
      </c>
      <c r="BS19" s="58" t="str">
        <f>IFERROR(VLOOKUP(LEFT(AZ19,2),BASE!$C$96:$D$342,1,0),IFERROR(VLOOKUP(LEFT(AZ19,1),BASE!$C$96:$D$342,1,0),AZ19))</f>
        <v/>
      </c>
      <c r="BT19" s="186" t="str">
        <f>(IFERROR(VLOOKUP(LEFT(BI19,2),BASE!$C$96:$F$342,4,0),IFERROR(VLOOKUP(LEFT(BI19,1),BASE!$C$96:$F$342,4,0),BI19)))</f>
        <v>கு</v>
      </c>
      <c r="BU19" s="186" t="str">
        <f>(IFERROR(VLOOKUP(LEFT(BH19,2),BASE!$C$346:$F$592,4,0),IFERROR(VLOOKUP(LEFT(BH19,1),BASE!$C$346:$F$592,4,0),BH19)))</f>
        <v>ஒ</v>
      </c>
      <c r="BV19" s="186" t="str">
        <f>(IFERROR(VLOOKUP(LEFT(BG19,2),BASE!$C$346:$F$592,4,0),IFERROR(VLOOKUP(LEFT(BG19,1),BASE!$C$346:$F$592,4,0),BG19)))</f>
        <v>நெ</v>
      </c>
      <c r="BW19" s="186" t="str">
        <f>(IFERROR(VLOOKUP(LEFT(BF19,2),BASE!$C$346:$F$592,4,0),IFERROR(VLOOKUP(LEFT(BF19,1),BASE!$C$346:$F$592,4,0),BF19)))</f>
        <v>ஒ</v>
      </c>
      <c r="BX19" s="186" t="str">
        <f>(IFERROR(VLOOKUP(LEFT(BE19,2),BASE!$C$346:$F$592,4,0),IFERROR(VLOOKUP(LEFT(BE19,1),BASE!$C$346:$F$592,4,0),BE19)))</f>
        <v/>
      </c>
      <c r="BY19" s="186" t="str">
        <f>(IFERROR(VLOOKUP(LEFT(BD19,2),BASE!$C$346:$F$592,4,0),IFERROR(VLOOKUP(LEFT(BD19,1),BASE!$C$346:$F$592,4,0),BD19)))</f>
        <v/>
      </c>
      <c r="BZ19" s="186" t="str">
        <f>(IFERROR(VLOOKUP(LEFT(BC19,2),BASE!$C$346:$F$592,4,0),IFERROR(VLOOKUP(LEFT(BC19,1),BASE!$C$346:$F$592,4,0),BC19)))</f>
        <v/>
      </c>
      <c r="CA19" s="186" t="str">
        <f>(IFERROR(VLOOKUP(LEFT(BB19,2),BASE!$C$346:$F$592,4,0),IFERROR(VLOOKUP(LEFT(BB19,1),BASE!$C$346:$F$592,4,0),BB19)))</f>
        <v/>
      </c>
      <c r="CB19" s="186" t="str">
        <f>(IFERROR(VLOOKUP(LEFT(BA19,2),BASE!$C$346:$F$592,4,0),IFERROR(VLOOKUP(LEFT(BA19,1),BASE!$C$346:$F$592,4,0),BA19)))</f>
        <v/>
      </c>
      <c r="CC19" s="186" t="str">
        <f>(IFERROR(VLOOKUP(LEFT(AZ19,2),BASE!$C$346:$F$592,4,0),IFERROR(VLOOKUP(LEFT(AZ19,1),BASE!$C$346:$F$592,4,0),AZ19)))</f>
        <v/>
      </c>
      <c r="CD19" s="58" t="str">
        <f t="shared" si="5"/>
        <v>குஒநெஒ</v>
      </c>
      <c r="CE19" s="58" t="str">
        <f>IFERROR(VLOOKUP((LEFT(U19,4)),BASE!$E$12:$F$23,2,0),IFERROR(VLOOKUP((LEFT(U19,3)),BASE!$E$12:$F$23,2,0),IFERROR(VLOOKUP((LEFT(U19,2)),BASE!$E$12:$F$23,2,0),IFERROR(VLOOKUP((LEFT(U19,1)),BASE!$E$12:$F$23,2,0),U19))))</f>
        <v>நேர்</v>
      </c>
      <c r="CF19" s="58" t="str">
        <f>IFERROR(VLOOKUP((LEFT(T19,4)),BASE!$E$12:$F$24,2,0),IFERROR(VLOOKUP((LEFT(T19,3)),BASE!$E$12:$F$24,2,0),IFERROR(VLOOKUP((LEFT(T19,2)),BASE!$E$12:$F$24,2,0),IFERROR(VLOOKUP((LEFT(T19,1)),BASE!$E$12:$F$24,2,0),T19))))</f>
        <v>நேர்</v>
      </c>
      <c r="CG19" s="58" t="str">
        <f>IFERROR(VLOOKUP((LEFT(S19,4)),BASE!$E$12:$F$23,2,0),IFERROR(VLOOKUP((LEFT(S19,3)),BASE!$E$12:$F$23,2,0),IFERROR(VLOOKUP((LEFT(S19,2)),BASE!$E$12:$F$23,2,0),IFERROR(VLOOKUP((LEFT(S19,1)),BASE!$E$12:$F$23,2,0),S19))))</f>
        <v/>
      </c>
      <c r="CH19" s="58" t="str">
        <f>IFERROR(VLOOKUP((LEFT(R19,4)),BASE!$E$12:$F$23,2,0),IFERROR(VLOOKUP((LEFT(R19,3)),BASE!$E$12:$F$23,2,0),IFERROR(VLOOKUP((LEFT(R19,2)),BASE!$E$12:$F$23,2,0),IFERROR(VLOOKUP((LEFT(R19,1)),BASE!$E$12:$F$23,2,0),R19))))</f>
        <v/>
      </c>
      <c r="CI19" s="58" t="str">
        <f>IFERROR(VLOOKUP((LEFT(Q19,4)),BASE!$E$12:$F$23,2,0),IFERROR(VLOOKUP((LEFT(Q19,3)),BASE!$E$12:$F$23,2,0),IFERROR(VLOOKUP((LEFT(Q19,2)),BASE!$E$12:$F$23,2,0),IFERROR(VLOOKUP((LEFT(Q19,1)),BASE!$E$12:$F$23,2,0),Q19))))</f>
        <v/>
      </c>
      <c r="CJ19" s="58" t="str">
        <f>IFERROR(VLOOKUP((LEFT(P19,4)),BASE!$E$12:$F$23,2,0),IFERROR(VLOOKUP((LEFT(P19,3)),BASE!$E$12:$F$23,2,0),IFERROR(VLOOKUP((LEFT(P19,2)),BASE!$E$12:$F$23,2,0),IFERROR(VLOOKUP((LEFT(P19,1)),BASE!$E$12:$F$23,2,0),P19))))</f>
        <v/>
      </c>
      <c r="CK19" s="58" t="str">
        <f>IFERROR(VLOOKUP((LEFT(O19,4)),BASE!$E$12:$F$23,2,0),IFERROR(VLOOKUP((LEFT(O19,3)),BASE!$E$12:$F$23,2,0),IFERROR(VLOOKUP((LEFT(O19,2)),BASE!$E$12:$F$23,2,0),IFERROR(VLOOKUP((LEFT(O19,1)),BASE!$E$12:$F$23,2,0),O19))))</f>
        <v/>
      </c>
      <c r="CL19" s="58" t="str">
        <f>IFERROR(VLOOKUP((LEFT(N19,4)),BASE!$E$12:$F$23,2,0),IFERROR(VLOOKUP((LEFT(N19,3)),BASE!$E$12:$F$23,2,0),IFERROR(VLOOKUP((LEFT(N19,2)),BASE!$E$12:$F$23,2,0),IFERROR(VLOOKUP((LEFT(N19,1)),BASE!$E$12:$F$23,2,0),N19))))</f>
        <v/>
      </c>
      <c r="CM19" s="58" t="str">
        <f>IFERROR(VLOOKUP((LEFT(M19,4)),BASE!$E$12:$F$23,2,0),IFERROR(VLOOKUP((LEFT(M19,3)),BASE!$E$12:$F$23,2,0),IFERROR(VLOOKUP((LEFT(M19,2)),BASE!$E$12:$F$23,2,0),IFERROR(VLOOKUP((LEFT(M19,1)),BASE!$E$12:$F$23,2,0),M19))))</f>
        <v/>
      </c>
      <c r="CN19" s="58" t="str">
        <f>IFERROR(VLOOKUP((LEFT(L19,4)),BASE!$E$12:$F$23,2,0),IFERROR(VLOOKUP((LEFT(L19,3)),BASE!$E$12:$F$23,2,0),IFERROR(VLOOKUP((LEFT(L19,2)),BASE!$E$12:$F$23,2,0),IFERROR(VLOOKUP((LEFT(L19,1)),BASE!$E$12:$F$23,2,0),L19))))</f>
        <v/>
      </c>
      <c r="CO19" s="58" t="str">
        <f t="shared" si="6"/>
        <v>நேர்நேர்</v>
      </c>
      <c r="CP19" s="58" t="str">
        <f>VLOOKUP(CO19,BASE!$E$25:$F$79,2,0)</f>
        <v>தேமா</v>
      </c>
      <c r="CQ19" s="58" t="str">
        <f>VLOOKUP(CO19,BASE!$E$25:$G$79,3,0)&amp;CE20</f>
        <v>மாநிரை</v>
      </c>
      <c r="CR19" s="58" t="str">
        <f>VLOOKUP(CQ19,BASE!$E$86:$G$93,2,0)</f>
        <v>மாமுன் நிரை</v>
      </c>
      <c r="CS19" s="58" t="str">
        <f>VLOOKUP(CQ19,BASE!$E$86:$G$93,3,0)</f>
        <v>இயற்சீர் வெண்டளை</v>
      </c>
      <c r="CT19" s="58" t="str">
        <f t="shared" si="7"/>
        <v>மூவசைக்கு மிகவில்லை</v>
      </c>
      <c r="CU19" s="58" t="str">
        <f t="shared" si="8"/>
        <v>சரி</v>
      </c>
      <c r="CV19" s="193"/>
    </row>
    <row r="20" spans="1:100" ht="19.5" customHeight="1" x14ac:dyDescent="0.35">
      <c r="A20" s="119"/>
      <c r="B20" s="12">
        <f>IFERROR(VLOOKUP((LEFT(L20,4)),BASE!$E$12:$F$23,1,0),IFERROR(VLOOKUP((LEFT(L20,3)),BASE!$E$12:$F$23,1,0),IFERROR(VLOOKUP((LEFT(L20,2)),BASE!$E$12:$F$23,1,0),IFERROR(VLOOKUP((LEFT(L20,1)),BASE!$E$12:$F$23,1,0),100))))</f>
        <v>100</v>
      </c>
      <c r="C20" s="12">
        <f>IFERROR(VLOOKUP((LEFT(M20,4)),BASE!$E$12:$F$23,1,0),IFERROR(VLOOKUP((LEFT(M20,3)),BASE!$E$12:$F$23,1,0),IFERROR(VLOOKUP((LEFT(M20,2)),BASE!$E$12:$F$23,1,0),IFERROR(VLOOKUP((LEFT(M20,1)),BASE!$E$12:$F$23,1,0),100))))</f>
        <v>100</v>
      </c>
      <c r="D20" s="12">
        <f>IFERROR(VLOOKUP((LEFT(N20,4)),BASE!$E$12:$F$23,1,0),IFERROR(VLOOKUP((LEFT(N20,3)),BASE!$E$12:$F$23,1,0),IFERROR(VLOOKUP((LEFT(N20,2)),BASE!$E$12:$F$23,1,0),IFERROR(VLOOKUP((LEFT(N20,1)),BASE!$E$12:$F$23,1,0),100))))</f>
        <v>100</v>
      </c>
      <c r="E20" s="12">
        <f>IFERROR(VLOOKUP((LEFT(O20,4)),BASE!$E$12:$F$23,1,0),IFERROR(VLOOKUP((LEFT(O20,3)),BASE!$E$12:$F$23,1,0),IFERROR(VLOOKUP((LEFT(O20,2)),BASE!$E$12:$F$23,1,0),IFERROR(VLOOKUP((LEFT(O20,1)),BASE!$E$12:$F$23,1,0),100))))</f>
        <v>100</v>
      </c>
      <c r="F20" s="12">
        <f>IFERROR(VLOOKUP((LEFT(P20,4)),BASE!$E$12:$F$23,1,0),IFERROR(VLOOKUP((LEFT(P20,3)),BASE!$E$12:$F$23,1,0),IFERROR(VLOOKUP((LEFT(P20,2)),BASE!$E$12:$F$23,1,0),IFERROR(VLOOKUP((LEFT(P20,1)),BASE!$E$12:$F$23,1,0),100))))</f>
        <v>100</v>
      </c>
      <c r="G20" s="12">
        <f>IFERROR(VLOOKUP((LEFT(Q20,4)),BASE!$E$12:$F$23,1,0),IFERROR(VLOOKUP((LEFT(Q20,3)),BASE!$E$12:$F$23,1,0),IFERROR(VLOOKUP((LEFT(Q20,2)),BASE!$E$12:$F$23,1,0),IFERROR(VLOOKUP((LEFT(Q20,1)),BASE!$E$12:$F$23,1,0),100))))</f>
        <v>100</v>
      </c>
      <c r="H20" s="12">
        <f>IFERROR(VLOOKUP((LEFT(R20,4)),BASE!$E$12:$F$23,1,0),IFERROR(VLOOKUP((LEFT(R20,3)),BASE!$E$12:$F$23,1,0),IFERROR(VLOOKUP((LEFT(R20,2)),BASE!$E$12:$F$23,1,0),IFERROR(VLOOKUP((LEFT(R20,1)),BASE!$E$12:$F$23,1,0),100))))</f>
        <v>100</v>
      </c>
      <c r="I20" s="12">
        <f>IFERROR(VLOOKUP((LEFT(S20,4)),BASE!$E$12:$F$23,1,0),IFERROR(VLOOKUP((LEFT(S20,3)),BASE!$E$12:$F$23,1,0),IFERROR(VLOOKUP((LEFT(S20,2)),BASE!$E$12:$F$23,1,0),IFERROR(VLOOKUP((LEFT(S20,1)),BASE!$E$12:$F$23,1,0),100))))</f>
        <v>100</v>
      </c>
      <c r="J20" s="12" t="str">
        <f>IFERROR(VLOOKUP((LEFT(T20,4)),BASE!$E$12:$F$24,1,0),IFERROR(VLOOKUP((LEFT(T20,3)),BASE!$E$12:$F$24,1,0),IFERROR(VLOOKUP((LEFT(T20,2)),BASE!$E$12:$F$24,1,0),IFERROR(VLOOKUP((LEFT(T20,1)),BASE!$E$12:$F$24,1,0),100))))</f>
        <v>no</v>
      </c>
      <c r="K20" s="12" t="str">
        <f>IFERROR(VLOOKUP((LEFT(U20,4)),BASE!$E$12:$F$23,1,0),IFERROR(VLOOKUP((LEFT(U20,3)),BASE!$E$12:$F$23,1,0),IFERROR(VLOOKUP((LEFT(U20,2)),BASE!$E$12:$F$23,1,0),IFERROR(VLOOKUP((LEFT(U20,1)),BASE!$E$12:$F$23,1,0),100))))</f>
        <v>kk</v>
      </c>
      <c r="L20" s="14" t="str">
        <f t="shared" si="0"/>
        <v/>
      </c>
      <c r="M20" s="14" t="str">
        <f t="shared" si="0"/>
        <v/>
      </c>
      <c r="N20" s="14" t="str">
        <f t="shared" si="0"/>
        <v/>
      </c>
      <c r="O20" s="14" t="str">
        <f t="shared" si="0"/>
        <v/>
      </c>
      <c r="P20" s="14" t="str">
        <f t="shared" si="0"/>
        <v/>
      </c>
      <c r="Q20" s="14" t="str">
        <f t="shared" si="0"/>
        <v/>
      </c>
      <c r="R20" s="14" t="str">
        <f t="shared" si="0"/>
        <v/>
      </c>
      <c r="S20" s="14" t="str">
        <f t="shared" si="0"/>
        <v/>
      </c>
      <c r="T20" s="14" t="str">
        <f t="shared" si="0"/>
        <v>no</v>
      </c>
      <c r="U20" s="14" t="str">
        <f t="shared" si="1"/>
        <v>kkno</v>
      </c>
      <c r="V20" s="13">
        <f>IFERROR(VLOOKUP(LEFT(AZ20,2),BASE!$C$96:$E$342,3,0),IFERROR(VLOOKUP(LEFT(AZ20,1),BASE!$C$96:$E$342,3,0),100))</f>
        <v>100</v>
      </c>
      <c r="W20" s="13">
        <f>IFERROR(VLOOKUP(LEFT(BA20,2),BASE!$C$96:$E$342,3,0),IFERROR(VLOOKUP(LEFT(BA20,1),BASE!$C$96:$E$342,3,0),100))</f>
        <v>100</v>
      </c>
      <c r="X20" s="13">
        <f>IFERROR(VLOOKUP(LEFT(BB20,2),BASE!$C$96:$E$342,3,0),IFERROR(VLOOKUP(LEFT(BB20,1),BASE!$C$96:$E$342,3,0),100))</f>
        <v>100</v>
      </c>
      <c r="Y20" s="13">
        <f>IFERROR(VLOOKUP(LEFT(BC20,2),BASE!$C$96:$E$342,3,0),IFERROR(VLOOKUP(LEFT(BC20,1),BASE!$C$96:$E$342,3,0),100))</f>
        <v>100</v>
      </c>
      <c r="Z20" s="13">
        <f>IFERROR(VLOOKUP(LEFT(BD20,2),BASE!$C$96:$E$342,3,0),IFERROR(VLOOKUP(LEFT(BD20,1),BASE!$C$96:$E$342,3,0),100))</f>
        <v>100</v>
      </c>
      <c r="AA20" s="13">
        <f>IFERROR(VLOOKUP(LEFT(BE20,2),BASE!$C$96:$E$342,3,0),IFERROR(VLOOKUP(LEFT(BE20,1),BASE!$C$96:$E$342,3,0),100))</f>
        <v>100</v>
      </c>
      <c r="AB20" s="13">
        <f>IFERROR(VLOOKUP(LEFT(BF20,2),BASE!$C$96:$E$342,3,0),IFERROR(VLOOKUP(LEFT(BF20,1),BASE!$C$96:$E$342,3,0),100))</f>
        <v>2</v>
      </c>
      <c r="AC20" s="13">
        <f>IFERROR(VLOOKUP(LEFT(BG20,2),BASE!$C$96:$E$342,3,0),IFERROR(VLOOKUP(LEFT(BG20,1),BASE!$C$96:$E$342,3,0),100))</f>
        <v>2</v>
      </c>
      <c r="AD20" s="13">
        <f>IFERROR(VLOOKUP(LEFT(BH20,2),BASE!$C$96:$E$342,3,0),IFERROR(VLOOKUP(LEFT(BH20,1),BASE!$C$96:$E$342,3,0),100))</f>
        <v>1</v>
      </c>
      <c r="AE20" s="13">
        <f>IFERROR(VLOOKUP(LEFT(BI20,2),BASE!$C$96:$E$342,3,0),IFERROR(VLOOKUP(LEFT(BI20,1),BASE!$C$96:$E$342,3,0),100))</f>
        <v>1</v>
      </c>
      <c r="AF20" s="187" t="str">
        <f>IF(AND(BS20=BR20,AG20="o"),"A", (IFERROR(VLOOKUP(LEFT(AZ20,2),BASE!$C$346:$D$592,2,0),IFERROR(VLOOKUP(LEFT(AZ20,1),BASE!$C$346:$D$5922,2,0),AZ20))))</f>
        <v/>
      </c>
      <c r="AG20" s="187" t="str">
        <f>IF(AND(BR20=BQ20,AH20="o"),"A", (IFERROR(VLOOKUP(LEFT(BA20,2),BASE!$C$346:$D$592,2,0),IFERROR(VLOOKUP(LEFT(BA20,1),BASE!$C$346:$D$592,2,0),BA20))))</f>
        <v/>
      </c>
      <c r="AH20" s="187" t="str">
        <f>IF(AND(BQ20=BP20,AI20="o"),"A", (IFERROR(VLOOKUP(LEFT(BB20,2),BASE!$C$346:$D$592,2,0),IFERROR(VLOOKUP(LEFT(BB20,1),BASE!$C$346:$D$592,2,0),BB20))))</f>
        <v/>
      </c>
      <c r="AI20" s="187" t="str">
        <f>IF(AND(BP20=BO20,AJ20="o"),"A", (IFERROR(VLOOKUP(LEFT(BC20,2),BASE!$C$346:$D$592,2,0),IFERROR(VLOOKUP(LEFT(BC20,1),BASE!$C$346:$D$592,2,0),BC20))))</f>
        <v/>
      </c>
      <c r="AJ20" s="187" t="str">
        <f>IF(AND(BO20=BN20,AK20="o"),"A", (IFERROR(VLOOKUP(LEFT(BD20,2),BASE!$C$346:$D$592,2,0),IFERROR(VLOOKUP(LEFT(BD20,1),BASE!$C$346:$D$592,2,0),BD20))))</f>
        <v/>
      </c>
      <c r="AK20" s="187" t="str">
        <f>IF(AND(BN20=BM20,AL20="o"),"A", (IFERROR(VLOOKUP(LEFT(BE20,2),BASE!$C$346:$D$592,2,0),IFERROR(VLOOKUP(LEFT(BE20,1),BASE!$C$346:$D$592,2,0),BE20))))</f>
        <v/>
      </c>
      <c r="AL20" s="187" t="str">
        <f>IF(AND(BM20=BL20,AM20="o"),"A", (IFERROR(VLOOKUP(LEFT(BF20,2),BASE!$C$346:$D$592,2,0),IFERROR(VLOOKUP(LEFT(BF20,1),BASE!$C$346:$D$592,2,0),BF20))))</f>
        <v>o</v>
      </c>
      <c r="AM20" s="187" t="str">
        <f>IF(AND(BL20=BK20,AN20="o"),"A",(IFERROR(VLOOKUP(LEFT(BG20,2),BASE!$C$346:$D$592,2,0),IFERROR(VLOOKUP(LEFT(BG20,1),BASE!$C$346:$D$592,2,0),BG20))))</f>
        <v>n</v>
      </c>
      <c r="AN20" s="187" t="str">
        <f>(IFERROR(VLOOKUP(LEFT(BH20,2),BASE!$C$346:$D$592,2,0),IFERROR(VLOOKUP(LEFT(BH20,1),BASE!$C$346:$D$592,2,0),BH20)))</f>
        <v>k</v>
      </c>
      <c r="AO20" s="187" t="str">
        <f>(IFERROR(VLOOKUP(LEFT(BI20,2),BASE!$C$96:$D$342,2,0),IFERROR(VLOOKUP(LEFT(BI20,1),BASE!$C$96:$D$342,2,0),BI20)))</f>
        <v>k</v>
      </c>
      <c r="AP20" s="5">
        <f t="shared" si="2"/>
        <v>6</v>
      </c>
      <c r="AQ20" s="5">
        <f t="shared" si="2"/>
        <v>6</v>
      </c>
      <c r="AR20" s="5">
        <f t="shared" si="2"/>
        <v>6</v>
      </c>
      <c r="AS20" s="5">
        <f t="shared" si="2"/>
        <v>6</v>
      </c>
      <c r="AT20" s="5">
        <f t="shared" si="2"/>
        <v>6</v>
      </c>
      <c r="AU20" s="5">
        <f t="shared" si="2"/>
        <v>6</v>
      </c>
      <c r="AV20" s="5">
        <f t="shared" si="2"/>
        <v>6</v>
      </c>
      <c r="AW20" s="5">
        <f t="shared" si="2"/>
        <v>6</v>
      </c>
      <c r="AX20" s="5">
        <f t="shared" si="2"/>
        <v>6</v>
      </c>
      <c r="AY20" s="5">
        <f t="shared" si="3"/>
        <v>6</v>
      </c>
      <c r="AZ20" s="12" t="str">
        <f t="shared" si="4"/>
        <v/>
      </c>
      <c r="BA20" s="12" t="str">
        <f t="shared" si="4"/>
        <v/>
      </c>
      <c r="BB20" s="12" t="str">
        <f t="shared" si="4"/>
        <v/>
      </c>
      <c r="BC20" s="12" t="str">
        <f t="shared" si="4"/>
        <v/>
      </c>
      <c r="BD20" s="12" t="str">
        <f t="shared" si="4"/>
        <v/>
      </c>
      <c r="BE20" s="12" t="str">
        <f t="shared" si="4"/>
        <v/>
      </c>
      <c r="BF20" s="12" t="str">
        <f t="shared" si="4"/>
        <v>ல்</v>
      </c>
      <c r="BG20" s="12" t="str">
        <f t="shared" si="4"/>
        <v>வால்</v>
      </c>
      <c r="BH20" s="43" t="str">
        <f t="shared" si="4"/>
        <v>றவால்</v>
      </c>
      <c r="BI20" s="57" t="str">
        <f>CE9</f>
        <v>உறவால்</v>
      </c>
      <c r="BJ20" s="58" t="str">
        <f>IFERROR(VLOOKUP(LEFT(BI20,2),BASE!$C$96:$F$342,1,0),IFERROR(VLOOKUP(LEFT(BI20,1),BASE!$C$96:$F$342,1,0),BI20))</f>
        <v>உ</v>
      </c>
      <c r="BK20" s="58" t="str">
        <f>IFERROR(VLOOKUP(LEFT(BH20,2),BASE!$C$96:$D$342,1,0),IFERROR(VLOOKUP(LEFT(BH20,1),BASE!$C$96:$D$342,1,0),BH20))</f>
        <v>ற</v>
      </c>
      <c r="BL20" s="58" t="str">
        <f>IFERROR(VLOOKUP(LEFT(BG20,2),BASE!$C$96:$D$342,1,0),IFERROR(VLOOKUP(LEFT(BG20,1),BASE!$C$96:$D$342,1,0),BG20))</f>
        <v>வா</v>
      </c>
      <c r="BM20" s="58" t="str">
        <f>IFERROR(VLOOKUP(LEFT(BF20,2),BASE!$C$96:$D$342,1,0),IFERROR(VLOOKUP(LEFT(BF20,1),BASE!$C$96:$D$342,1,0),BF20))</f>
        <v>ல்</v>
      </c>
      <c r="BN20" s="58" t="str">
        <f>IFERROR(VLOOKUP(LEFT(BE20,2),BASE!$C$96:$D$342,1,0),IFERROR(VLOOKUP(LEFT(BE20,1),BASE!$C$96:$D$342,1,0),BE20))</f>
        <v/>
      </c>
      <c r="BO20" s="58" t="str">
        <f>IFERROR(VLOOKUP(LEFT(BD20,2),BASE!$C$96:$D$342,1,0),IFERROR(VLOOKUP(LEFT(BD20,1),BASE!$C$96:$D$342,1,0),BD20))</f>
        <v/>
      </c>
      <c r="BP20" s="58" t="str">
        <f>IFERROR(VLOOKUP(LEFT(BC20,2),BASE!$C$96:$D$342,1,0),IFERROR(VLOOKUP(LEFT(BC20,1),BASE!$C$96:$D$342,1,0),BC20))</f>
        <v/>
      </c>
      <c r="BQ20" s="58" t="str">
        <f>IFERROR(VLOOKUP(LEFT(BB20,2),BASE!$C$96:$D$342,1,0),IFERROR(VLOOKUP(LEFT(BB20,1),BASE!$C$96:$D$342,1,0),BB20))</f>
        <v/>
      </c>
      <c r="BR20" s="58" t="str">
        <f>IFERROR(VLOOKUP(LEFT(BA20,2),BASE!$C$96:$D$342,1,0),IFERROR(VLOOKUP(LEFT(BA20,1),BASE!$C$96:$D$342,1,0),BA20))</f>
        <v/>
      </c>
      <c r="BS20" s="58" t="str">
        <f>IFERROR(VLOOKUP(LEFT(AZ20,2),BASE!$C$96:$D$342,1,0),IFERROR(VLOOKUP(LEFT(AZ20,1),BASE!$C$96:$D$342,1,0),AZ20))</f>
        <v/>
      </c>
      <c r="BT20" s="186" t="str">
        <f>(IFERROR(VLOOKUP(LEFT(BI20,2),BASE!$C$96:$F$342,4,0),IFERROR(VLOOKUP(LEFT(BI20,1),BASE!$C$96:$F$342,4,0),BI20)))</f>
        <v>கு</v>
      </c>
      <c r="BU20" s="186" t="str">
        <f>(IFERROR(VLOOKUP(LEFT(BH20,2),BASE!$C$346:$F$592,4,0),IFERROR(VLOOKUP(LEFT(BH20,1),BASE!$C$346:$F$592,4,0),BH20)))</f>
        <v>கு</v>
      </c>
      <c r="BV20" s="186" t="str">
        <f>(IFERROR(VLOOKUP(LEFT(BG20,2),BASE!$C$346:$F$592,4,0),IFERROR(VLOOKUP(LEFT(BG20,1),BASE!$C$346:$F$592,4,0),BG20)))</f>
        <v>நெ</v>
      </c>
      <c r="BW20" s="186" t="str">
        <f>(IFERROR(VLOOKUP(LEFT(BF20,2),BASE!$C$346:$F$592,4,0),IFERROR(VLOOKUP(LEFT(BF20,1),BASE!$C$346:$F$592,4,0),BF20)))</f>
        <v>ஒ</v>
      </c>
      <c r="BX20" s="186" t="str">
        <f>(IFERROR(VLOOKUP(LEFT(BE20,2),BASE!$C$346:$F$592,4,0),IFERROR(VLOOKUP(LEFT(BE20,1),BASE!$C$346:$F$592,4,0),BE20)))</f>
        <v/>
      </c>
      <c r="BY20" s="186" t="str">
        <f>(IFERROR(VLOOKUP(LEFT(BD20,2),BASE!$C$346:$F$592,4,0),IFERROR(VLOOKUP(LEFT(BD20,1),BASE!$C$346:$F$592,4,0),BD20)))</f>
        <v/>
      </c>
      <c r="BZ20" s="186" t="str">
        <f>(IFERROR(VLOOKUP(LEFT(BC20,2),BASE!$C$346:$F$592,4,0),IFERROR(VLOOKUP(LEFT(BC20,1),BASE!$C$346:$F$592,4,0),BC20)))</f>
        <v/>
      </c>
      <c r="CA20" s="186" t="str">
        <f>(IFERROR(VLOOKUP(LEFT(BB20,2),BASE!$C$346:$F$592,4,0),IFERROR(VLOOKUP(LEFT(BB20,1),BASE!$C$346:$F$592,4,0),BB20)))</f>
        <v/>
      </c>
      <c r="CB20" s="186" t="str">
        <f>(IFERROR(VLOOKUP(LEFT(BA20,2),BASE!$C$346:$F$592,4,0),IFERROR(VLOOKUP(LEFT(BA20,1),BASE!$C$346:$F$592,4,0),BA20)))</f>
        <v/>
      </c>
      <c r="CC20" s="186" t="str">
        <f>(IFERROR(VLOOKUP(LEFT(AZ20,2),BASE!$C$346:$F$592,4,0),IFERROR(VLOOKUP(LEFT(AZ20,1),BASE!$C$346:$F$592,4,0),AZ20)))</f>
        <v/>
      </c>
      <c r="CD20" s="58" t="str">
        <f t="shared" si="5"/>
        <v>குகுநெஒ</v>
      </c>
      <c r="CE20" s="58" t="str">
        <f>IFERROR(VLOOKUP((LEFT(U20,4)),BASE!$E$12:$F$23,2,0),IFERROR(VLOOKUP((LEFT(U20,3)),BASE!$E$12:$F$23,2,0),IFERROR(VLOOKUP((LEFT(U20,2)),BASE!$E$12:$F$23,2,0),IFERROR(VLOOKUP((LEFT(U20,1)),BASE!$E$12:$F$23,2,0),U20))))</f>
        <v>நிரை</v>
      </c>
      <c r="CF20" s="58" t="str">
        <f>IFERROR(VLOOKUP((LEFT(T20,4)),BASE!$E$12:$F$24,2,0),IFERROR(VLOOKUP((LEFT(T20,3)),BASE!$E$12:$F$24,2,0),IFERROR(VLOOKUP((LEFT(T20,2)),BASE!$E$12:$F$24,2,0),IFERROR(VLOOKUP((LEFT(T20,1)),BASE!$E$12:$F$24,2,0),T20))))</f>
        <v>நேர்</v>
      </c>
      <c r="CG20" s="58" t="str">
        <f>IFERROR(VLOOKUP((LEFT(S20,4)),BASE!$E$12:$F$23,2,0),IFERROR(VLOOKUP((LEFT(S20,3)),BASE!$E$12:$F$23,2,0),IFERROR(VLOOKUP((LEFT(S20,2)),BASE!$E$12:$F$23,2,0),IFERROR(VLOOKUP((LEFT(S20,1)),BASE!$E$12:$F$23,2,0),S20))))</f>
        <v/>
      </c>
      <c r="CH20" s="58" t="str">
        <f>IFERROR(VLOOKUP((LEFT(R20,4)),BASE!$E$12:$F$23,2,0),IFERROR(VLOOKUP((LEFT(R20,3)),BASE!$E$12:$F$23,2,0),IFERROR(VLOOKUP((LEFT(R20,2)),BASE!$E$12:$F$23,2,0),IFERROR(VLOOKUP((LEFT(R20,1)),BASE!$E$12:$F$23,2,0),R20))))</f>
        <v/>
      </c>
      <c r="CI20" s="58" t="str">
        <f>IFERROR(VLOOKUP((LEFT(Q20,4)),BASE!$E$12:$F$23,2,0),IFERROR(VLOOKUP((LEFT(Q20,3)),BASE!$E$12:$F$23,2,0),IFERROR(VLOOKUP((LEFT(Q20,2)),BASE!$E$12:$F$23,2,0),IFERROR(VLOOKUP((LEFT(Q20,1)),BASE!$E$12:$F$23,2,0),Q20))))</f>
        <v/>
      </c>
      <c r="CJ20" s="58" t="str">
        <f>IFERROR(VLOOKUP((LEFT(P20,4)),BASE!$E$12:$F$23,2,0),IFERROR(VLOOKUP((LEFT(P20,3)),BASE!$E$12:$F$23,2,0),IFERROR(VLOOKUP((LEFT(P20,2)),BASE!$E$12:$F$23,2,0),IFERROR(VLOOKUP((LEFT(P20,1)),BASE!$E$12:$F$23,2,0),P20))))</f>
        <v/>
      </c>
      <c r="CK20" s="58" t="str">
        <f>IFERROR(VLOOKUP((LEFT(O20,4)),BASE!$E$12:$F$23,2,0),IFERROR(VLOOKUP((LEFT(O20,3)),BASE!$E$12:$F$23,2,0),IFERROR(VLOOKUP((LEFT(O20,2)),BASE!$E$12:$F$23,2,0),IFERROR(VLOOKUP((LEFT(O20,1)),BASE!$E$12:$F$23,2,0),O20))))</f>
        <v/>
      </c>
      <c r="CL20" s="58" t="str">
        <f>IFERROR(VLOOKUP((LEFT(N20,4)),BASE!$E$12:$F$23,2,0),IFERROR(VLOOKUP((LEFT(N20,3)),BASE!$E$12:$F$23,2,0),IFERROR(VLOOKUP((LEFT(N20,2)),BASE!$E$12:$F$23,2,0),IFERROR(VLOOKUP((LEFT(N20,1)),BASE!$E$12:$F$23,2,0),N20))))</f>
        <v/>
      </c>
      <c r="CM20" s="58" t="str">
        <f>IFERROR(VLOOKUP((LEFT(M20,4)),BASE!$E$12:$F$23,2,0),IFERROR(VLOOKUP((LEFT(M20,3)),BASE!$E$12:$F$23,2,0),IFERROR(VLOOKUP((LEFT(M20,2)),BASE!$E$12:$F$23,2,0),IFERROR(VLOOKUP((LEFT(M20,1)),BASE!$E$12:$F$23,2,0),M20))))</f>
        <v/>
      </c>
      <c r="CN20" s="58" t="str">
        <f>IFERROR(VLOOKUP((LEFT(L20,4)),BASE!$E$12:$F$23,2,0),IFERROR(VLOOKUP((LEFT(L20,3)),BASE!$E$12:$F$23,2,0),IFERROR(VLOOKUP((LEFT(L20,2)),BASE!$E$12:$F$23,2,0),IFERROR(VLOOKUP((LEFT(L20,1)),BASE!$E$12:$F$23,2,0),L20))))</f>
        <v/>
      </c>
      <c r="CO20" s="58" t="str">
        <f t="shared" si="6"/>
        <v>நிரைநேர்</v>
      </c>
      <c r="CP20" s="58" t="str">
        <f>VLOOKUP(CO20,BASE!$E$25:$F$79,2,0)</f>
        <v>புளிமா</v>
      </c>
      <c r="CQ20" s="58" t="str">
        <f>VLOOKUP(CO20,BASE!$E$25:$G$79,3,0)&amp;CE21</f>
        <v>மாநிரை</v>
      </c>
      <c r="CR20" s="58" t="str">
        <f>VLOOKUP(CQ20,BASE!$E$86:$G$93,2,0)</f>
        <v>மாமுன் நிரை</v>
      </c>
      <c r="CS20" s="58" t="str">
        <f>VLOOKUP(CQ20,BASE!$E$86:$G$93,3,0)</f>
        <v>இயற்சீர் வெண்டளை</v>
      </c>
      <c r="CT20" s="58" t="str">
        <f t="shared" si="7"/>
        <v>மூவசைக்கு மிகவில்லை</v>
      </c>
      <c r="CU20" s="58" t="str">
        <f t="shared" si="8"/>
        <v>சரி</v>
      </c>
      <c r="CV20" s="193"/>
    </row>
    <row r="21" spans="1:100" ht="19.5" customHeight="1" x14ac:dyDescent="0.35">
      <c r="A21" s="119"/>
      <c r="B21" s="12">
        <f>IFERROR(VLOOKUP((LEFT(L21,4)),BASE!$E$12:$F$23,1,0),IFERROR(VLOOKUP((LEFT(L21,3)),BASE!$E$12:$F$23,1,0),IFERROR(VLOOKUP((LEFT(L21,2)),BASE!$E$12:$F$23,1,0),IFERROR(VLOOKUP((LEFT(L21,1)),BASE!$E$12:$F$23,1,0),100))))</f>
        <v>100</v>
      </c>
      <c r="C21" s="12">
        <f>IFERROR(VLOOKUP((LEFT(M21,4)),BASE!$E$12:$F$23,1,0),IFERROR(VLOOKUP((LEFT(M21,3)),BASE!$E$12:$F$23,1,0),IFERROR(VLOOKUP((LEFT(M21,2)),BASE!$E$12:$F$23,1,0),IFERROR(VLOOKUP((LEFT(M21,1)),BASE!$E$12:$F$23,1,0),100))))</f>
        <v>100</v>
      </c>
      <c r="D21" s="12">
        <f>IFERROR(VLOOKUP((LEFT(N21,4)),BASE!$E$12:$F$23,1,0),IFERROR(VLOOKUP((LEFT(N21,3)),BASE!$E$12:$F$23,1,0),IFERROR(VLOOKUP((LEFT(N21,2)),BASE!$E$12:$F$23,1,0),IFERROR(VLOOKUP((LEFT(N21,1)),BASE!$E$12:$F$23,1,0),100))))</f>
        <v>100</v>
      </c>
      <c r="E21" s="12">
        <f>IFERROR(VLOOKUP((LEFT(O21,4)),BASE!$E$12:$F$23,1,0),IFERROR(VLOOKUP((LEFT(O21,3)),BASE!$E$12:$F$23,1,0),IFERROR(VLOOKUP((LEFT(O21,2)),BASE!$E$12:$F$23,1,0),IFERROR(VLOOKUP((LEFT(O21,1)),BASE!$E$12:$F$23,1,0),100))))</f>
        <v>100</v>
      </c>
      <c r="F21" s="12">
        <f>IFERROR(VLOOKUP((LEFT(P21,4)),BASE!$E$12:$F$23,1,0),IFERROR(VLOOKUP((LEFT(P21,3)),BASE!$E$12:$F$23,1,0),IFERROR(VLOOKUP((LEFT(P21,2)),BASE!$E$12:$F$23,1,0),IFERROR(VLOOKUP((LEFT(P21,1)),BASE!$E$12:$F$23,1,0),100))))</f>
        <v>100</v>
      </c>
      <c r="G21" s="12">
        <f>IFERROR(VLOOKUP((LEFT(Q21,4)),BASE!$E$12:$F$23,1,0),IFERROR(VLOOKUP((LEFT(Q21,3)),BASE!$E$12:$F$23,1,0),IFERROR(VLOOKUP((LEFT(Q21,2)),BASE!$E$12:$F$23,1,0),IFERROR(VLOOKUP((LEFT(Q21,1)),BASE!$E$12:$F$23,1,0),100))))</f>
        <v>100</v>
      </c>
      <c r="H21" s="12">
        <f>IFERROR(VLOOKUP((LEFT(R21,4)),BASE!$E$12:$F$23,1,0),IFERROR(VLOOKUP((LEFT(R21,3)),BASE!$E$12:$F$23,1,0),IFERROR(VLOOKUP((LEFT(R21,2)),BASE!$E$12:$F$23,1,0),IFERROR(VLOOKUP((LEFT(R21,1)),BASE!$E$12:$F$23,1,0),100))))</f>
        <v>100</v>
      </c>
      <c r="I21" s="12" t="str">
        <f>IFERROR(VLOOKUP((LEFT(S21,4)),BASE!$E$12:$F$23,1,0),IFERROR(VLOOKUP((LEFT(S21,3)),BASE!$E$12:$F$23,1,0),IFERROR(VLOOKUP((LEFT(S21,2)),BASE!$E$12:$F$23,1,0),IFERROR(VLOOKUP((LEFT(S21,1)),BASE!$E$12:$F$23,1,0),100))))</f>
        <v>ko</v>
      </c>
      <c r="J21" s="12" t="str">
        <f>IFERROR(VLOOKUP((LEFT(T21,4)),BASE!$E$12:$F$24,1,0),IFERROR(VLOOKUP((LEFT(T21,3)),BASE!$E$12:$F$24,1,0),IFERROR(VLOOKUP((LEFT(T21,2)),BASE!$E$12:$F$24,1,0),IFERROR(VLOOKUP((LEFT(T21,1)),BASE!$E$12:$F$24,1,0),100))))</f>
        <v>n</v>
      </c>
      <c r="K21" s="12" t="str">
        <f>IFERROR(VLOOKUP((LEFT(U21,4)),BASE!$E$12:$F$23,1,0),IFERROR(VLOOKUP((LEFT(U21,3)),BASE!$E$12:$F$23,1,0),IFERROR(VLOOKUP((LEFT(U21,2)),BASE!$E$12:$F$23,1,0),IFERROR(VLOOKUP((LEFT(U21,1)),BASE!$E$12:$F$23,1,0),100))))</f>
        <v>kko</v>
      </c>
      <c r="L21" s="14" t="str">
        <f t="shared" si="0"/>
        <v/>
      </c>
      <c r="M21" s="14" t="str">
        <f t="shared" si="0"/>
        <v/>
      </c>
      <c r="N21" s="14" t="str">
        <f t="shared" si="0"/>
        <v/>
      </c>
      <c r="O21" s="14" t="str">
        <f t="shared" si="0"/>
        <v/>
      </c>
      <c r="P21" s="14" t="str">
        <f t="shared" si="0"/>
        <v/>
      </c>
      <c r="Q21" s="14" t="str">
        <f t="shared" si="0"/>
        <v/>
      </c>
      <c r="R21" s="14" t="str">
        <f t="shared" si="0"/>
        <v/>
      </c>
      <c r="S21" s="14" t="str">
        <f t="shared" si="0"/>
        <v>ko</v>
      </c>
      <c r="T21" s="14" t="str">
        <f t="shared" si="0"/>
        <v>nko</v>
      </c>
      <c r="U21" s="14" t="str">
        <f t="shared" si="1"/>
        <v>kkonko</v>
      </c>
      <c r="V21" s="13">
        <f>IFERROR(VLOOKUP(LEFT(AZ21,2),BASE!$C$96:$E$342,3,0),IFERROR(VLOOKUP(LEFT(AZ21,1),BASE!$C$96:$E$342,3,0),100))</f>
        <v>100</v>
      </c>
      <c r="W21" s="13">
        <f>IFERROR(VLOOKUP(LEFT(BA21,2),BASE!$C$96:$E$342,3,0),IFERROR(VLOOKUP(LEFT(BA21,1),BASE!$C$96:$E$342,3,0),100))</f>
        <v>100</v>
      </c>
      <c r="X21" s="13">
        <f>IFERROR(VLOOKUP(LEFT(BB21,2),BASE!$C$96:$E$342,3,0),IFERROR(VLOOKUP(LEFT(BB21,1),BASE!$C$96:$E$342,3,0),100))</f>
        <v>100</v>
      </c>
      <c r="Y21" s="13">
        <f>IFERROR(VLOOKUP(LEFT(BC21,2),BASE!$C$96:$E$342,3,0),IFERROR(VLOOKUP(LEFT(BC21,1),BASE!$C$96:$E$342,3,0),100))</f>
        <v>100</v>
      </c>
      <c r="Z21" s="13">
        <f>IFERROR(VLOOKUP(LEFT(BD21,2),BASE!$C$96:$E$342,3,0),IFERROR(VLOOKUP(LEFT(BD21,1),BASE!$C$96:$E$342,3,0),100))</f>
        <v>2</v>
      </c>
      <c r="AA21" s="13">
        <f>IFERROR(VLOOKUP(LEFT(BE21,2),BASE!$C$96:$E$342,3,0),IFERROR(VLOOKUP(LEFT(BE21,1),BASE!$C$96:$E$342,3,0),100))</f>
        <v>2</v>
      </c>
      <c r="AB21" s="13">
        <f>IFERROR(VLOOKUP(LEFT(BF21,2),BASE!$C$96:$E$342,3,0),IFERROR(VLOOKUP(LEFT(BF21,1),BASE!$C$96:$E$342,3,0),100))</f>
        <v>2</v>
      </c>
      <c r="AC21" s="13">
        <f>IFERROR(VLOOKUP(LEFT(BG21,2),BASE!$C$96:$E$342,3,0),IFERROR(VLOOKUP(LEFT(BG21,1),BASE!$C$96:$E$342,3,0),100))</f>
        <v>2</v>
      </c>
      <c r="AD21" s="13">
        <f>IFERROR(VLOOKUP(LEFT(BH21,2),BASE!$C$96:$E$342,3,0),IFERROR(VLOOKUP(LEFT(BH21,1),BASE!$C$96:$E$342,3,0),100))</f>
        <v>1</v>
      </c>
      <c r="AE21" s="13">
        <f>IFERROR(VLOOKUP(LEFT(BI21,2),BASE!$C$96:$E$342,3,0),IFERROR(VLOOKUP(LEFT(BI21,1),BASE!$C$96:$E$342,3,0),100))</f>
        <v>1</v>
      </c>
      <c r="AF21" s="187" t="str">
        <f>IF(AND(BS21=BR21,AG21="o"),"A", (IFERROR(VLOOKUP(LEFT(AZ21,2),BASE!$C$346:$D$592,2,0),IFERROR(VLOOKUP(LEFT(AZ21,1),BASE!$C$346:$D$5922,2,0),AZ21))))</f>
        <v/>
      </c>
      <c r="AG21" s="187" t="str">
        <f>IF(AND(BR21=BQ21,AH21="o"),"A", (IFERROR(VLOOKUP(LEFT(BA21,2),BASE!$C$346:$D$592,2,0),IFERROR(VLOOKUP(LEFT(BA21,1),BASE!$C$346:$D$592,2,0),BA21))))</f>
        <v/>
      </c>
      <c r="AH21" s="187" t="str">
        <f>IF(AND(BQ21=BP21,AI21="o"),"A", (IFERROR(VLOOKUP(LEFT(BB21,2),BASE!$C$346:$D$592,2,0),IFERROR(VLOOKUP(LEFT(BB21,1),BASE!$C$346:$D$592,2,0),BB21))))</f>
        <v/>
      </c>
      <c r="AI21" s="187" t="str">
        <f>IF(AND(BP21=BO21,AJ21="o"),"A", (IFERROR(VLOOKUP(LEFT(BC21,2),BASE!$C$346:$D$592,2,0),IFERROR(VLOOKUP(LEFT(BC21,1),BASE!$C$346:$D$592,2,0),BC21))))</f>
        <v/>
      </c>
      <c r="AJ21" s="187" t="str">
        <f>IF(AND(BO21=BN21,AK21="o"),"A", (IFERROR(VLOOKUP(LEFT(BD21,2),BASE!$C$346:$D$592,2,0),IFERROR(VLOOKUP(LEFT(BD21,1),BASE!$C$346:$D$592,2,0),BD21))))</f>
        <v>o</v>
      </c>
      <c r="AK21" s="187" t="str">
        <f>IF(AND(BN21=BM21,AL21="o"),"A", (IFERROR(VLOOKUP(LEFT(BE21,2),BASE!$C$346:$D$592,2,0),IFERROR(VLOOKUP(LEFT(BE21,1),BASE!$C$346:$D$592,2,0),BE21))))</f>
        <v>k</v>
      </c>
      <c r="AL21" s="187" t="str">
        <f>IF(AND(BM21=BL21,AM21="o"),"A", (IFERROR(VLOOKUP(LEFT(BF21,2),BASE!$C$346:$D$592,2,0),IFERROR(VLOOKUP(LEFT(BF21,1),BASE!$C$346:$D$592,2,0),BF21))))</f>
        <v>n</v>
      </c>
      <c r="AM21" s="187" t="str">
        <f>IF(AND(BL21=BK21,AN21="o"),"A",(IFERROR(VLOOKUP(LEFT(BG21,2),BASE!$C$346:$D$592,2,0),IFERROR(VLOOKUP(LEFT(BG21,1),BASE!$C$346:$D$592,2,0),BG21))))</f>
        <v>o</v>
      </c>
      <c r="AN21" s="187" t="str">
        <f>(IFERROR(VLOOKUP(LEFT(BH21,2),BASE!$C$346:$D$592,2,0),IFERROR(VLOOKUP(LEFT(BH21,1),BASE!$C$346:$D$592,2,0),BH21)))</f>
        <v>k</v>
      </c>
      <c r="AO21" s="187" t="str">
        <f>(IFERROR(VLOOKUP(LEFT(BI21,2),BASE!$C$96:$D$342,2,0),IFERROR(VLOOKUP(LEFT(BI21,1),BASE!$C$96:$D$342,2,0),BI21)))</f>
        <v>k</v>
      </c>
      <c r="AP21" s="5">
        <f t="shared" si="2"/>
        <v>10</v>
      </c>
      <c r="AQ21" s="5">
        <f t="shared" si="2"/>
        <v>10</v>
      </c>
      <c r="AR21" s="5">
        <f t="shared" si="2"/>
        <v>10</v>
      </c>
      <c r="AS21" s="5">
        <f t="shared" si="2"/>
        <v>10</v>
      </c>
      <c r="AT21" s="5">
        <f t="shared" si="2"/>
        <v>10</v>
      </c>
      <c r="AU21" s="5">
        <f t="shared" si="2"/>
        <v>10</v>
      </c>
      <c r="AV21" s="5">
        <f t="shared" si="2"/>
        <v>10</v>
      </c>
      <c r="AW21" s="5">
        <f t="shared" si="2"/>
        <v>10</v>
      </c>
      <c r="AX21" s="5">
        <f t="shared" si="2"/>
        <v>10</v>
      </c>
      <c r="AY21" s="5">
        <f t="shared" si="3"/>
        <v>10</v>
      </c>
      <c r="AZ21" s="12" t="str">
        <f t="shared" si="4"/>
        <v/>
      </c>
      <c r="BA21" s="12" t="str">
        <f t="shared" si="4"/>
        <v/>
      </c>
      <c r="BB21" s="12" t="str">
        <f t="shared" si="4"/>
        <v/>
      </c>
      <c r="BC21" s="12" t="str">
        <f t="shared" si="4"/>
        <v/>
      </c>
      <c r="BD21" s="12" t="str">
        <f t="shared" si="4"/>
        <v>ம்</v>
      </c>
      <c r="BE21" s="12" t="str">
        <f t="shared" si="4"/>
        <v>யும்</v>
      </c>
      <c r="BF21" s="12" t="str">
        <f t="shared" si="4"/>
        <v>தேயும்</v>
      </c>
      <c r="BG21" s="12" t="str">
        <f t="shared" si="4"/>
        <v>ந்தேயும்</v>
      </c>
      <c r="BH21" s="43" t="str">
        <f t="shared" si="4"/>
        <v>றந்தேயும்</v>
      </c>
      <c r="BI21" s="57" t="str">
        <f>CF9</f>
        <v>அறந்தேயும்</v>
      </c>
      <c r="BJ21" s="58" t="str">
        <f>IFERROR(VLOOKUP(LEFT(BI21,2),BASE!$C$96:$F$342,1,0),IFERROR(VLOOKUP(LEFT(BI21,1),BASE!$C$96:$F$342,1,0),BI21))</f>
        <v>அ</v>
      </c>
      <c r="BK21" s="58" t="str">
        <f>IFERROR(VLOOKUP(LEFT(BH21,2),BASE!$C$96:$D$342,1,0),IFERROR(VLOOKUP(LEFT(BH21,1),BASE!$C$96:$D$342,1,0),BH21))</f>
        <v>ற</v>
      </c>
      <c r="BL21" s="58" t="str">
        <f>IFERROR(VLOOKUP(LEFT(BG21,2),BASE!$C$96:$D$342,1,0),IFERROR(VLOOKUP(LEFT(BG21,1),BASE!$C$96:$D$342,1,0),BG21))</f>
        <v>ந்</v>
      </c>
      <c r="BM21" s="58" t="str">
        <f>IFERROR(VLOOKUP(LEFT(BF21,2),BASE!$C$96:$D$342,1,0),IFERROR(VLOOKUP(LEFT(BF21,1),BASE!$C$96:$D$342,1,0),BF21))</f>
        <v>தே</v>
      </c>
      <c r="BN21" s="58" t="str">
        <f>IFERROR(VLOOKUP(LEFT(BE21,2),BASE!$C$96:$D$342,1,0),IFERROR(VLOOKUP(LEFT(BE21,1),BASE!$C$96:$D$342,1,0),BE21))</f>
        <v>யு</v>
      </c>
      <c r="BO21" s="58" t="str">
        <f>IFERROR(VLOOKUP(LEFT(BD21,2),BASE!$C$96:$D$342,1,0),IFERROR(VLOOKUP(LEFT(BD21,1),BASE!$C$96:$D$342,1,0),BD21))</f>
        <v>ம்</v>
      </c>
      <c r="BP21" s="58" t="str">
        <f>IFERROR(VLOOKUP(LEFT(BC21,2),BASE!$C$96:$D$342,1,0),IFERROR(VLOOKUP(LEFT(BC21,1),BASE!$C$96:$D$342,1,0),BC21))</f>
        <v/>
      </c>
      <c r="BQ21" s="58" t="str">
        <f>IFERROR(VLOOKUP(LEFT(BB21,2),BASE!$C$96:$D$342,1,0),IFERROR(VLOOKUP(LEFT(BB21,1),BASE!$C$96:$D$342,1,0),BB21))</f>
        <v/>
      </c>
      <c r="BR21" s="58" t="str">
        <f>IFERROR(VLOOKUP(LEFT(BA21,2),BASE!$C$96:$D$342,1,0),IFERROR(VLOOKUP(LEFT(BA21,1),BASE!$C$96:$D$342,1,0),BA21))</f>
        <v/>
      </c>
      <c r="BS21" s="58" t="str">
        <f>IFERROR(VLOOKUP(LEFT(AZ21,2),BASE!$C$96:$D$342,1,0),IFERROR(VLOOKUP(LEFT(AZ21,1),BASE!$C$96:$D$342,1,0),AZ21))</f>
        <v/>
      </c>
      <c r="BT21" s="186" t="str">
        <f>(IFERROR(VLOOKUP(LEFT(BI21,2),BASE!$C$96:$F$342,4,0),IFERROR(VLOOKUP(LEFT(BI21,1),BASE!$C$96:$F$342,4,0),BI21)))</f>
        <v>கு</v>
      </c>
      <c r="BU21" s="186" t="str">
        <f>(IFERROR(VLOOKUP(LEFT(BH21,2),BASE!$C$346:$F$592,4,0),IFERROR(VLOOKUP(LEFT(BH21,1),BASE!$C$346:$F$592,4,0),BH21)))</f>
        <v>கு</v>
      </c>
      <c r="BV21" s="186" t="str">
        <f>(IFERROR(VLOOKUP(LEFT(BG21,2),BASE!$C$346:$F$592,4,0),IFERROR(VLOOKUP(LEFT(BG21,1),BASE!$C$346:$F$592,4,0),BG21)))</f>
        <v>ஒ</v>
      </c>
      <c r="BW21" s="186" t="str">
        <f>(IFERROR(VLOOKUP(LEFT(BF21,2),BASE!$C$346:$F$592,4,0),IFERROR(VLOOKUP(LEFT(BF21,1),BASE!$C$346:$F$592,4,0),BF21)))</f>
        <v>நெ</v>
      </c>
      <c r="BX21" s="186" t="str">
        <f>(IFERROR(VLOOKUP(LEFT(BE21,2),BASE!$C$346:$F$592,4,0),IFERROR(VLOOKUP(LEFT(BE21,1),BASE!$C$346:$F$592,4,0),BE21)))</f>
        <v>கு</v>
      </c>
      <c r="BY21" s="186" t="str">
        <f>(IFERROR(VLOOKUP(LEFT(BD21,2),BASE!$C$346:$F$592,4,0),IFERROR(VLOOKUP(LEFT(BD21,1),BASE!$C$346:$F$592,4,0),BD21)))</f>
        <v>ஒ</v>
      </c>
      <c r="BZ21" s="186" t="str">
        <f>(IFERROR(VLOOKUP(LEFT(BC21,2),BASE!$C$346:$F$592,4,0),IFERROR(VLOOKUP(LEFT(BC21,1),BASE!$C$346:$F$592,4,0),BC21)))</f>
        <v/>
      </c>
      <c r="CA21" s="186" t="str">
        <f>(IFERROR(VLOOKUP(LEFT(BB21,2),BASE!$C$346:$F$592,4,0),IFERROR(VLOOKUP(LEFT(BB21,1),BASE!$C$346:$F$592,4,0),BB21)))</f>
        <v/>
      </c>
      <c r="CB21" s="186" t="str">
        <f>(IFERROR(VLOOKUP(LEFT(BA21,2),BASE!$C$346:$F$592,4,0),IFERROR(VLOOKUP(LEFT(BA21,1),BASE!$C$346:$F$592,4,0),BA21)))</f>
        <v/>
      </c>
      <c r="CC21" s="186" t="str">
        <f>(IFERROR(VLOOKUP(LEFT(AZ21,2),BASE!$C$346:$F$592,4,0),IFERROR(VLOOKUP(LEFT(AZ21,1),BASE!$C$346:$F$592,4,0),AZ21)))</f>
        <v/>
      </c>
      <c r="CD21" s="58" t="str">
        <f t="shared" si="5"/>
        <v>குகுஒநெகுஒ</v>
      </c>
      <c r="CE21" s="58" t="str">
        <f>IFERROR(VLOOKUP((LEFT(U21,4)),BASE!$E$12:$F$23,2,0),IFERROR(VLOOKUP((LEFT(U21,3)),BASE!$E$12:$F$23,2,0),IFERROR(VLOOKUP((LEFT(U21,2)),BASE!$E$12:$F$23,2,0),IFERROR(VLOOKUP((LEFT(U21,1)),BASE!$E$12:$F$23,2,0),U21))))</f>
        <v>நிரை</v>
      </c>
      <c r="CF21" s="58" t="str">
        <f>IFERROR(VLOOKUP((LEFT(T21,4)),BASE!$E$12:$F$24,2,0),IFERROR(VLOOKUP((LEFT(T21,3)),BASE!$E$12:$F$24,2,0),IFERROR(VLOOKUP((LEFT(T21,2)),BASE!$E$12:$F$24,2,0),IFERROR(VLOOKUP((LEFT(T21,1)),BASE!$E$12:$F$24,2,0),T21))))</f>
        <v>நேர்</v>
      </c>
      <c r="CG21" s="58" t="str">
        <f>IFERROR(VLOOKUP((LEFT(S21,4)),BASE!$E$12:$F$23,2,0),IFERROR(VLOOKUP((LEFT(S21,3)),BASE!$E$12:$F$23,2,0),IFERROR(VLOOKUP((LEFT(S21,2)),BASE!$E$12:$F$23,2,0),IFERROR(VLOOKUP((LEFT(S21,1)),BASE!$E$12:$F$23,2,0),S21))))</f>
        <v>நேர்</v>
      </c>
      <c r="CH21" s="58" t="str">
        <f>IFERROR(VLOOKUP((LEFT(R21,4)),BASE!$E$12:$F$23,2,0),IFERROR(VLOOKUP((LEFT(R21,3)),BASE!$E$12:$F$23,2,0),IFERROR(VLOOKUP((LEFT(R21,2)),BASE!$E$12:$F$23,2,0),IFERROR(VLOOKUP((LEFT(R21,1)),BASE!$E$12:$F$23,2,0),R21))))</f>
        <v/>
      </c>
      <c r="CI21" s="58" t="str">
        <f>IFERROR(VLOOKUP((LEFT(Q21,4)),BASE!$E$12:$F$23,2,0),IFERROR(VLOOKUP((LEFT(Q21,3)),BASE!$E$12:$F$23,2,0),IFERROR(VLOOKUP((LEFT(Q21,2)),BASE!$E$12:$F$23,2,0),IFERROR(VLOOKUP((LEFT(Q21,1)),BASE!$E$12:$F$23,2,0),Q21))))</f>
        <v/>
      </c>
      <c r="CJ21" s="58" t="str">
        <f>IFERROR(VLOOKUP((LEFT(P21,4)),BASE!$E$12:$F$23,2,0),IFERROR(VLOOKUP((LEFT(P21,3)),BASE!$E$12:$F$23,2,0),IFERROR(VLOOKUP((LEFT(P21,2)),BASE!$E$12:$F$23,2,0),IFERROR(VLOOKUP((LEFT(P21,1)),BASE!$E$12:$F$23,2,0),P21))))</f>
        <v/>
      </c>
      <c r="CK21" s="58" t="str">
        <f>IFERROR(VLOOKUP((LEFT(O21,4)),BASE!$E$12:$F$23,2,0),IFERROR(VLOOKUP((LEFT(O21,3)),BASE!$E$12:$F$23,2,0),IFERROR(VLOOKUP((LEFT(O21,2)),BASE!$E$12:$F$23,2,0),IFERROR(VLOOKUP((LEFT(O21,1)),BASE!$E$12:$F$23,2,0),O21))))</f>
        <v/>
      </c>
      <c r="CL21" s="58" t="str">
        <f>IFERROR(VLOOKUP((LEFT(N21,4)),BASE!$E$12:$F$23,2,0),IFERROR(VLOOKUP((LEFT(N21,3)),BASE!$E$12:$F$23,2,0),IFERROR(VLOOKUP((LEFT(N21,2)),BASE!$E$12:$F$23,2,0),IFERROR(VLOOKUP((LEFT(N21,1)),BASE!$E$12:$F$23,2,0),N21))))</f>
        <v/>
      </c>
      <c r="CM21" s="58" t="str">
        <f>IFERROR(VLOOKUP((LEFT(M21,4)),BASE!$E$12:$F$23,2,0),IFERROR(VLOOKUP((LEFT(M21,3)),BASE!$E$12:$F$23,2,0),IFERROR(VLOOKUP((LEFT(M21,2)),BASE!$E$12:$F$23,2,0),IFERROR(VLOOKUP((LEFT(M21,1)),BASE!$E$12:$F$23,2,0),M21))))</f>
        <v/>
      </c>
      <c r="CN21" s="58" t="str">
        <f>IFERROR(VLOOKUP((LEFT(L21,4)),BASE!$E$12:$F$23,2,0),IFERROR(VLOOKUP((LEFT(L21,3)),BASE!$E$12:$F$23,2,0),IFERROR(VLOOKUP((LEFT(L21,2)),BASE!$E$12:$F$23,2,0),IFERROR(VLOOKUP((LEFT(L21,1)),BASE!$E$12:$F$23,2,0),L21))))</f>
        <v/>
      </c>
      <c r="CO21" s="58" t="str">
        <f t="shared" si="6"/>
        <v>நிரைநேர்நேர்</v>
      </c>
      <c r="CP21" s="58" t="str">
        <f>VLOOKUP(CO21,BASE!$E$25:$F$79,2,0)</f>
        <v>புளிமாங்காய்</v>
      </c>
      <c r="CQ21" s="58" t="str">
        <f>VLOOKUP(CO21,BASE!$E$25:$G$79,3,0)&amp;CE22</f>
        <v>காய்நேர்</v>
      </c>
      <c r="CR21" s="58" t="str">
        <f>VLOOKUP(CQ21,BASE!$E$86:$G$93,2,0)</f>
        <v>காய் முன் நேர்</v>
      </c>
      <c r="CS21" s="58" t="str">
        <f>VLOOKUP(CQ21,BASE!$E$86:$G$93,3,0)</f>
        <v>வெண்சீர் வெண்டளை</v>
      </c>
      <c r="CT21" s="58" t="str">
        <f t="shared" si="7"/>
        <v>மூவசைக்கு மிகவில்லை</v>
      </c>
      <c r="CU21" s="58" t="str">
        <f t="shared" si="8"/>
        <v>சரி</v>
      </c>
      <c r="CV21" s="193"/>
    </row>
    <row r="22" spans="1:100" ht="19.5" customHeight="1" x14ac:dyDescent="0.35">
      <c r="A22" s="119"/>
      <c r="B22" s="12">
        <f>IFERROR(VLOOKUP((LEFT(L22,4)),BASE!$E$12:$F$23,1,0),IFERROR(VLOOKUP((LEFT(L22,3)),BASE!$E$12:$F$23,1,0),IFERROR(VLOOKUP((LEFT(L22,2)),BASE!$E$12:$F$23,1,0),IFERROR(VLOOKUP((LEFT(L22,1)),BASE!$E$12:$F$23,1,0),100))))</f>
        <v>100</v>
      </c>
      <c r="C22" s="12">
        <f>IFERROR(VLOOKUP((LEFT(M22,4)),BASE!$E$12:$F$23,1,0),IFERROR(VLOOKUP((LEFT(M22,3)),BASE!$E$12:$F$23,1,0),IFERROR(VLOOKUP((LEFT(M22,2)),BASE!$E$12:$F$23,1,0),IFERROR(VLOOKUP((LEFT(M22,1)),BASE!$E$12:$F$23,1,0),100))))</f>
        <v>100</v>
      </c>
      <c r="D22" s="12">
        <f>IFERROR(VLOOKUP((LEFT(N22,4)),BASE!$E$12:$F$23,1,0),IFERROR(VLOOKUP((LEFT(N22,3)),BASE!$E$12:$F$23,1,0),IFERROR(VLOOKUP((LEFT(N22,2)),BASE!$E$12:$F$23,1,0),IFERROR(VLOOKUP((LEFT(N22,1)),BASE!$E$12:$F$23,1,0),100))))</f>
        <v>100</v>
      </c>
      <c r="E22" s="12">
        <f>IFERROR(VLOOKUP((LEFT(O22,4)),BASE!$E$12:$F$23,1,0),IFERROR(VLOOKUP((LEFT(O22,3)),BASE!$E$12:$F$23,1,0),IFERROR(VLOOKUP((LEFT(O22,2)),BASE!$E$12:$F$23,1,0),IFERROR(VLOOKUP((LEFT(O22,1)),BASE!$E$12:$F$23,1,0),100))))</f>
        <v>100</v>
      </c>
      <c r="F22" s="12">
        <f>IFERROR(VLOOKUP((LEFT(P22,4)),BASE!$E$12:$F$23,1,0),IFERROR(VLOOKUP((LEFT(P22,3)),BASE!$E$12:$F$23,1,0),IFERROR(VLOOKUP((LEFT(P22,2)),BASE!$E$12:$F$23,1,0),IFERROR(VLOOKUP((LEFT(P22,1)),BASE!$E$12:$F$23,1,0),100))))</f>
        <v>100</v>
      </c>
      <c r="G22" s="12">
        <f>IFERROR(VLOOKUP((LEFT(Q22,4)),BASE!$E$12:$F$23,1,0),IFERROR(VLOOKUP((LEFT(Q22,3)),BASE!$E$12:$F$23,1,0),IFERROR(VLOOKUP((LEFT(Q22,2)),BASE!$E$12:$F$23,1,0),IFERROR(VLOOKUP((LEFT(Q22,1)),BASE!$E$12:$F$23,1,0),100))))</f>
        <v>100</v>
      </c>
      <c r="H22" s="12">
        <f>IFERROR(VLOOKUP((LEFT(R22,4)),BASE!$E$12:$F$23,1,0),IFERROR(VLOOKUP((LEFT(R22,3)),BASE!$E$12:$F$23,1,0),IFERROR(VLOOKUP((LEFT(R22,2)),BASE!$E$12:$F$23,1,0),IFERROR(VLOOKUP((LEFT(R22,1)),BASE!$E$12:$F$23,1,0),100))))</f>
        <v>100</v>
      </c>
      <c r="I22" s="12">
        <f>IFERROR(VLOOKUP((LEFT(S22,4)),BASE!$E$12:$F$23,1,0),IFERROR(VLOOKUP((LEFT(S22,3)),BASE!$E$12:$F$23,1,0),IFERROR(VLOOKUP((LEFT(S22,2)),BASE!$E$12:$F$23,1,0),IFERROR(VLOOKUP((LEFT(S22,1)),BASE!$E$12:$F$23,1,0),100))))</f>
        <v>100</v>
      </c>
      <c r="J22" s="12" t="str">
        <f>IFERROR(VLOOKUP((LEFT(T22,4)),BASE!$E$12:$F$24,1,0),IFERROR(VLOOKUP((LEFT(T22,3)),BASE!$E$12:$F$24,1,0),IFERROR(VLOOKUP((LEFT(T22,2)),BASE!$E$12:$F$24,1,0),IFERROR(VLOOKUP((LEFT(T22,1)),BASE!$E$12:$F$24,1,0),100))))</f>
        <v>no</v>
      </c>
      <c r="K22" s="12" t="str">
        <f>IFERROR(VLOOKUP((LEFT(U22,4)),BASE!$E$12:$F$23,1,0),IFERROR(VLOOKUP((LEFT(U22,3)),BASE!$E$12:$F$23,1,0),IFERROR(VLOOKUP((LEFT(U22,2)),BASE!$E$12:$F$23,1,0),IFERROR(VLOOKUP((LEFT(U22,1)),BASE!$E$12:$F$23,1,0),100))))</f>
        <v>ko</v>
      </c>
      <c r="L22" s="14" t="str">
        <f t="shared" si="0"/>
        <v/>
      </c>
      <c r="M22" s="14" t="str">
        <f t="shared" si="0"/>
        <v/>
      </c>
      <c r="N22" s="14" t="str">
        <f t="shared" si="0"/>
        <v/>
      </c>
      <c r="O22" s="14" t="str">
        <f t="shared" si="0"/>
        <v/>
      </c>
      <c r="P22" s="14" t="str">
        <f t="shared" si="0"/>
        <v/>
      </c>
      <c r="Q22" s="14" t="str">
        <f t="shared" si="0"/>
        <v/>
      </c>
      <c r="R22" s="14" t="str">
        <f t="shared" si="0"/>
        <v/>
      </c>
      <c r="S22" s="14" t="str">
        <f t="shared" si="0"/>
        <v/>
      </c>
      <c r="T22" s="14" t="str">
        <f t="shared" si="0"/>
        <v>no</v>
      </c>
      <c r="U22" s="14" t="str">
        <f t="shared" si="1"/>
        <v>kono</v>
      </c>
      <c r="V22" s="13">
        <f>IFERROR(VLOOKUP(LEFT(AZ22,2),BASE!$C$96:$E$342,3,0),IFERROR(VLOOKUP(LEFT(AZ22,1),BASE!$C$96:$E$342,3,0),100))</f>
        <v>100</v>
      </c>
      <c r="W22" s="13">
        <f>IFERROR(VLOOKUP(LEFT(BA22,2),BASE!$C$96:$E$342,3,0),IFERROR(VLOOKUP(LEFT(BA22,1),BASE!$C$96:$E$342,3,0),100))</f>
        <v>100</v>
      </c>
      <c r="X22" s="13">
        <f>IFERROR(VLOOKUP(LEFT(BB22,2),BASE!$C$96:$E$342,3,0),IFERROR(VLOOKUP(LEFT(BB22,1),BASE!$C$96:$E$342,3,0),100))</f>
        <v>100</v>
      </c>
      <c r="Y22" s="13">
        <f>IFERROR(VLOOKUP(LEFT(BC22,2),BASE!$C$96:$E$342,3,0),IFERROR(VLOOKUP(LEFT(BC22,1),BASE!$C$96:$E$342,3,0),100))</f>
        <v>100</v>
      </c>
      <c r="Z22" s="13">
        <f>IFERROR(VLOOKUP(LEFT(BD22,2),BASE!$C$96:$E$342,3,0),IFERROR(VLOOKUP(LEFT(BD22,1),BASE!$C$96:$E$342,3,0),100))</f>
        <v>100</v>
      </c>
      <c r="AA22" s="13">
        <f>IFERROR(VLOOKUP(LEFT(BE22,2),BASE!$C$96:$E$342,3,0),IFERROR(VLOOKUP(LEFT(BE22,1),BASE!$C$96:$E$342,3,0),100))</f>
        <v>100</v>
      </c>
      <c r="AB22" s="13">
        <f>IFERROR(VLOOKUP(LEFT(BF22,2),BASE!$C$96:$E$342,3,0),IFERROR(VLOOKUP(LEFT(BF22,1),BASE!$C$96:$E$342,3,0),100))</f>
        <v>2</v>
      </c>
      <c r="AC22" s="13">
        <f>IFERROR(VLOOKUP(LEFT(BG22,2),BASE!$C$96:$E$342,3,0),IFERROR(VLOOKUP(LEFT(BG22,1),BASE!$C$96:$E$342,3,0),100))</f>
        <v>2</v>
      </c>
      <c r="AD22" s="13">
        <f>IFERROR(VLOOKUP(LEFT(BH22,2),BASE!$C$96:$E$342,3,0),IFERROR(VLOOKUP(LEFT(BH22,1),BASE!$C$96:$E$342,3,0),100))</f>
        <v>2</v>
      </c>
      <c r="AE22" s="13">
        <f>IFERROR(VLOOKUP(LEFT(BI22,2),BASE!$C$96:$E$342,3,0),IFERROR(VLOOKUP(LEFT(BI22,1),BASE!$C$96:$E$342,3,0),100))</f>
        <v>2</v>
      </c>
      <c r="AF22" s="187" t="str">
        <f>IF(AND(BS22=BR22,AG22="o"),"A", (IFERROR(VLOOKUP(LEFT(AZ22,2),BASE!$C$346:$D$592,2,0),IFERROR(VLOOKUP(LEFT(AZ22,1),BASE!$C$346:$D$5922,2,0),AZ22))))</f>
        <v/>
      </c>
      <c r="AG22" s="187" t="str">
        <f>IF(AND(BR22=BQ22,AH22="o"),"A", (IFERROR(VLOOKUP(LEFT(BA22,2),BASE!$C$346:$D$592,2,0),IFERROR(VLOOKUP(LEFT(BA22,1),BASE!$C$346:$D$592,2,0),BA22))))</f>
        <v/>
      </c>
      <c r="AH22" s="187" t="str">
        <f>IF(AND(BQ22=BP22,AI22="o"),"A", (IFERROR(VLOOKUP(LEFT(BB22,2),BASE!$C$346:$D$592,2,0),IFERROR(VLOOKUP(LEFT(BB22,1),BASE!$C$346:$D$592,2,0),BB22))))</f>
        <v/>
      </c>
      <c r="AI22" s="187" t="str">
        <f>IF(AND(BP22=BO22,AJ22="o"),"A", (IFERROR(VLOOKUP(LEFT(BC22,2),BASE!$C$346:$D$592,2,0),IFERROR(VLOOKUP(LEFT(BC22,1),BASE!$C$346:$D$592,2,0),BC22))))</f>
        <v/>
      </c>
      <c r="AJ22" s="187" t="str">
        <f>IF(AND(BO22=BN22,AK22="o"),"A", (IFERROR(VLOOKUP(LEFT(BD22,2),BASE!$C$346:$D$592,2,0),IFERROR(VLOOKUP(LEFT(BD22,1),BASE!$C$346:$D$592,2,0),BD22))))</f>
        <v/>
      </c>
      <c r="AK22" s="187" t="str">
        <f>IF(AND(BN22=BM22,AL22="o"),"A", (IFERROR(VLOOKUP(LEFT(BE22,2),BASE!$C$346:$D$592,2,0),IFERROR(VLOOKUP(LEFT(BE22,1),BASE!$C$346:$D$592,2,0),BE22))))</f>
        <v/>
      </c>
      <c r="AL22" s="187" t="str">
        <f>IF(AND(BM22=BL22,AM22="o"),"A", (IFERROR(VLOOKUP(LEFT(BF22,2),BASE!$C$346:$D$592,2,0),IFERROR(VLOOKUP(LEFT(BF22,1),BASE!$C$346:$D$592,2,0),BF22))))</f>
        <v>o</v>
      </c>
      <c r="AM22" s="187" t="str">
        <f>IF(AND(BL22=BK22,AN22="o"),"A",(IFERROR(VLOOKUP(LEFT(BG22,2),BASE!$C$346:$D$592,2,0),IFERROR(VLOOKUP(LEFT(BG22,1),BASE!$C$346:$D$592,2,0),BG22))))</f>
        <v>n</v>
      </c>
      <c r="AN22" s="187" t="str">
        <f>(IFERROR(VLOOKUP(LEFT(BH22,2),BASE!$C$346:$D$592,2,0),IFERROR(VLOOKUP(LEFT(BH22,1),BASE!$C$346:$D$592,2,0),BH22)))</f>
        <v>o</v>
      </c>
      <c r="AO22" s="187" t="str">
        <f>(IFERROR(VLOOKUP(LEFT(BI22,2),BASE!$C$96:$D$342,2,0),IFERROR(VLOOKUP(LEFT(BI22,1),BASE!$C$96:$D$342,2,0),BI22)))</f>
        <v>k</v>
      </c>
      <c r="AP22" s="5">
        <f t="shared" si="2"/>
        <v>8</v>
      </c>
      <c r="AQ22" s="5">
        <f t="shared" si="2"/>
        <v>8</v>
      </c>
      <c r="AR22" s="5">
        <f t="shared" si="2"/>
        <v>8</v>
      </c>
      <c r="AS22" s="5">
        <f t="shared" si="2"/>
        <v>8</v>
      </c>
      <c r="AT22" s="5">
        <f t="shared" si="2"/>
        <v>8</v>
      </c>
      <c r="AU22" s="5">
        <f t="shared" si="2"/>
        <v>8</v>
      </c>
      <c r="AV22" s="5">
        <f t="shared" si="2"/>
        <v>8</v>
      </c>
      <c r="AW22" s="5">
        <f t="shared" si="2"/>
        <v>8</v>
      </c>
      <c r="AX22" s="5">
        <f t="shared" si="2"/>
        <v>8</v>
      </c>
      <c r="AY22" s="5">
        <f t="shared" si="3"/>
        <v>8</v>
      </c>
      <c r="AZ22" s="12" t="str">
        <f t="shared" si="4"/>
        <v/>
      </c>
      <c r="BA22" s="12" t="str">
        <f t="shared" si="4"/>
        <v/>
      </c>
      <c r="BB22" s="12" t="str">
        <f t="shared" si="4"/>
        <v/>
      </c>
      <c r="BC22" s="12" t="str">
        <f t="shared" si="4"/>
        <v/>
      </c>
      <c r="BD22" s="12" t="str">
        <f t="shared" si="4"/>
        <v/>
      </c>
      <c r="BE22" s="12" t="str">
        <f t="shared" si="4"/>
        <v/>
      </c>
      <c r="BF22" s="12" t="str">
        <f t="shared" si="4"/>
        <v>ர்</v>
      </c>
      <c r="BG22" s="12" t="str">
        <f t="shared" si="4"/>
        <v>லார்</v>
      </c>
      <c r="BH22" s="43" t="str">
        <f t="shared" si="4"/>
        <v>ல்லார்</v>
      </c>
      <c r="BI22" s="57" t="str">
        <f>CG9</f>
        <v>பொல்லார்</v>
      </c>
      <c r="BJ22" s="58" t="str">
        <f>IFERROR(VLOOKUP(LEFT(BI22,2),BASE!$C$96:$F$342,1,0),IFERROR(VLOOKUP(LEFT(BI22,1),BASE!$C$96:$F$342,1,0),BI22))</f>
        <v>பொ</v>
      </c>
      <c r="BK22" s="58" t="str">
        <f>IFERROR(VLOOKUP(LEFT(BH22,2),BASE!$C$96:$D$342,1,0),IFERROR(VLOOKUP(LEFT(BH22,1),BASE!$C$96:$D$342,1,0),BH22))</f>
        <v>ல்</v>
      </c>
      <c r="BL22" s="58" t="str">
        <f>IFERROR(VLOOKUP(LEFT(BG22,2),BASE!$C$96:$D$342,1,0),IFERROR(VLOOKUP(LEFT(BG22,1),BASE!$C$96:$D$342,1,0),BG22))</f>
        <v>லா</v>
      </c>
      <c r="BM22" s="58" t="str">
        <f>IFERROR(VLOOKUP(LEFT(BF22,2),BASE!$C$96:$D$342,1,0),IFERROR(VLOOKUP(LEFT(BF22,1),BASE!$C$96:$D$342,1,0),BF22))</f>
        <v>ர்</v>
      </c>
      <c r="BN22" s="58" t="str">
        <f>IFERROR(VLOOKUP(LEFT(BE22,2),BASE!$C$96:$D$342,1,0),IFERROR(VLOOKUP(LEFT(BE22,1),BASE!$C$96:$D$342,1,0),BE22))</f>
        <v/>
      </c>
      <c r="BO22" s="58" t="str">
        <f>IFERROR(VLOOKUP(LEFT(BD22,2),BASE!$C$96:$D$342,1,0),IFERROR(VLOOKUP(LEFT(BD22,1),BASE!$C$96:$D$342,1,0),BD22))</f>
        <v/>
      </c>
      <c r="BP22" s="58" t="str">
        <f>IFERROR(VLOOKUP(LEFT(BC22,2),BASE!$C$96:$D$342,1,0),IFERROR(VLOOKUP(LEFT(BC22,1),BASE!$C$96:$D$342,1,0),BC22))</f>
        <v/>
      </c>
      <c r="BQ22" s="58" t="str">
        <f>IFERROR(VLOOKUP(LEFT(BB22,2),BASE!$C$96:$D$342,1,0),IFERROR(VLOOKUP(LEFT(BB22,1),BASE!$C$96:$D$342,1,0),BB22))</f>
        <v/>
      </c>
      <c r="BR22" s="58" t="str">
        <f>IFERROR(VLOOKUP(LEFT(BA22,2),BASE!$C$96:$D$342,1,0),IFERROR(VLOOKUP(LEFT(BA22,1),BASE!$C$96:$D$342,1,0),BA22))</f>
        <v/>
      </c>
      <c r="BS22" s="58" t="str">
        <f>IFERROR(VLOOKUP(LEFT(AZ22,2),BASE!$C$96:$D$342,1,0),IFERROR(VLOOKUP(LEFT(AZ22,1),BASE!$C$96:$D$342,1,0),AZ22))</f>
        <v/>
      </c>
      <c r="BT22" s="186" t="str">
        <f>(IFERROR(VLOOKUP(LEFT(BI22,2),BASE!$C$96:$F$342,4,0),IFERROR(VLOOKUP(LEFT(BI22,1),BASE!$C$96:$F$342,4,0),BI22)))</f>
        <v>கு</v>
      </c>
      <c r="BU22" s="186" t="str">
        <f>(IFERROR(VLOOKUP(LEFT(BH22,2),BASE!$C$346:$F$592,4,0),IFERROR(VLOOKUP(LEFT(BH22,1),BASE!$C$346:$F$592,4,0),BH22)))</f>
        <v>ஒ</v>
      </c>
      <c r="BV22" s="186" t="str">
        <f>(IFERROR(VLOOKUP(LEFT(BG22,2),BASE!$C$346:$F$592,4,0),IFERROR(VLOOKUP(LEFT(BG22,1),BASE!$C$346:$F$592,4,0),BG22)))</f>
        <v>நெ</v>
      </c>
      <c r="BW22" s="186" t="str">
        <f>(IFERROR(VLOOKUP(LEFT(BF22,2),BASE!$C$346:$F$592,4,0),IFERROR(VLOOKUP(LEFT(BF22,1),BASE!$C$346:$F$592,4,0),BF22)))</f>
        <v>ஒ</v>
      </c>
      <c r="BX22" s="186" t="str">
        <f>(IFERROR(VLOOKUP(LEFT(BE22,2),BASE!$C$346:$F$592,4,0),IFERROR(VLOOKUP(LEFT(BE22,1),BASE!$C$346:$F$592,4,0),BE22)))</f>
        <v/>
      </c>
      <c r="BY22" s="186" t="str">
        <f>(IFERROR(VLOOKUP(LEFT(BD22,2),BASE!$C$346:$F$592,4,0),IFERROR(VLOOKUP(LEFT(BD22,1),BASE!$C$346:$F$592,4,0),BD22)))</f>
        <v/>
      </c>
      <c r="BZ22" s="186" t="str">
        <f>(IFERROR(VLOOKUP(LEFT(BC22,2),BASE!$C$346:$F$592,4,0),IFERROR(VLOOKUP(LEFT(BC22,1),BASE!$C$346:$F$592,4,0),BC22)))</f>
        <v/>
      </c>
      <c r="CA22" s="186" t="str">
        <f>(IFERROR(VLOOKUP(LEFT(BB22,2),BASE!$C$346:$F$592,4,0),IFERROR(VLOOKUP(LEFT(BB22,1),BASE!$C$346:$F$592,4,0),BB22)))</f>
        <v/>
      </c>
      <c r="CB22" s="186" t="str">
        <f>(IFERROR(VLOOKUP(LEFT(BA22,2),BASE!$C$346:$F$592,4,0),IFERROR(VLOOKUP(LEFT(BA22,1),BASE!$C$346:$F$592,4,0),BA22)))</f>
        <v/>
      </c>
      <c r="CC22" s="186" t="str">
        <f>(IFERROR(VLOOKUP(LEFT(AZ22,2),BASE!$C$346:$F$592,4,0),IFERROR(VLOOKUP(LEFT(AZ22,1),BASE!$C$346:$F$592,4,0),AZ22)))</f>
        <v/>
      </c>
      <c r="CD22" s="58" t="str">
        <f t="shared" si="5"/>
        <v>குஒநெஒ</v>
      </c>
      <c r="CE22" s="58" t="str">
        <f>IFERROR(VLOOKUP((LEFT(U22,4)),BASE!$E$12:$F$23,2,0),IFERROR(VLOOKUP((LEFT(U22,3)),BASE!$E$12:$F$23,2,0),IFERROR(VLOOKUP((LEFT(U22,2)),BASE!$E$12:$F$23,2,0),IFERROR(VLOOKUP((LEFT(U22,1)),BASE!$E$12:$F$23,2,0),U22))))</f>
        <v>நேர்</v>
      </c>
      <c r="CF22" s="58" t="str">
        <f>IFERROR(VLOOKUP((LEFT(T22,4)),BASE!$E$12:$F$24,2,0),IFERROR(VLOOKUP((LEFT(T22,3)),BASE!$E$12:$F$24,2,0),IFERROR(VLOOKUP((LEFT(T22,2)),BASE!$E$12:$F$24,2,0),IFERROR(VLOOKUP((LEFT(T22,1)),BASE!$E$12:$F$24,2,0),T22))))</f>
        <v>நேர்</v>
      </c>
      <c r="CG22" s="58" t="str">
        <f>IFERROR(VLOOKUP((LEFT(S22,4)),BASE!$E$12:$F$23,2,0),IFERROR(VLOOKUP((LEFT(S22,3)),BASE!$E$12:$F$23,2,0),IFERROR(VLOOKUP((LEFT(S22,2)),BASE!$E$12:$F$23,2,0),IFERROR(VLOOKUP((LEFT(S22,1)),BASE!$E$12:$F$23,2,0),S22))))</f>
        <v/>
      </c>
      <c r="CH22" s="58" t="str">
        <f>IFERROR(VLOOKUP((LEFT(R22,4)),BASE!$E$12:$F$23,2,0),IFERROR(VLOOKUP((LEFT(R22,3)),BASE!$E$12:$F$23,2,0),IFERROR(VLOOKUP((LEFT(R22,2)),BASE!$E$12:$F$23,2,0),IFERROR(VLOOKUP((LEFT(R22,1)),BASE!$E$12:$F$23,2,0),R22))))</f>
        <v/>
      </c>
      <c r="CI22" s="58" t="str">
        <f>IFERROR(VLOOKUP((LEFT(Q22,4)),BASE!$E$12:$F$23,2,0),IFERROR(VLOOKUP((LEFT(Q22,3)),BASE!$E$12:$F$23,2,0),IFERROR(VLOOKUP((LEFT(Q22,2)),BASE!$E$12:$F$23,2,0),IFERROR(VLOOKUP((LEFT(Q22,1)),BASE!$E$12:$F$23,2,0),Q22))))</f>
        <v/>
      </c>
      <c r="CJ22" s="58" t="str">
        <f>IFERROR(VLOOKUP((LEFT(P22,4)),BASE!$E$12:$F$23,2,0),IFERROR(VLOOKUP((LEFT(P22,3)),BASE!$E$12:$F$23,2,0),IFERROR(VLOOKUP((LEFT(P22,2)),BASE!$E$12:$F$23,2,0),IFERROR(VLOOKUP((LEFT(P22,1)),BASE!$E$12:$F$23,2,0),P22))))</f>
        <v/>
      </c>
      <c r="CK22" s="58" t="str">
        <f>IFERROR(VLOOKUP((LEFT(O22,4)),BASE!$E$12:$F$23,2,0),IFERROR(VLOOKUP((LEFT(O22,3)),BASE!$E$12:$F$23,2,0),IFERROR(VLOOKUP((LEFT(O22,2)),BASE!$E$12:$F$23,2,0),IFERROR(VLOOKUP((LEFT(O22,1)),BASE!$E$12:$F$23,2,0),O22))))</f>
        <v/>
      </c>
      <c r="CL22" s="58" t="str">
        <f>IFERROR(VLOOKUP((LEFT(N22,4)),BASE!$E$12:$F$23,2,0),IFERROR(VLOOKUP((LEFT(N22,3)),BASE!$E$12:$F$23,2,0),IFERROR(VLOOKUP((LEFT(N22,2)),BASE!$E$12:$F$23,2,0),IFERROR(VLOOKUP((LEFT(N22,1)),BASE!$E$12:$F$23,2,0),N22))))</f>
        <v/>
      </c>
      <c r="CM22" s="58" t="str">
        <f>IFERROR(VLOOKUP((LEFT(M22,4)),BASE!$E$12:$F$23,2,0),IFERROR(VLOOKUP((LEFT(M22,3)),BASE!$E$12:$F$23,2,0),IFERROR(VLOOKUP((LEFT(M22,2)),BASE!$E$12:$F$23,2,0),IFERROR(VLOOKUP((LEFT(M22,1)),BASE!$E$12:$F$23,2,0),M22))))</f>
        <v/>
      </c>
      <c r="CN22" s="58" t="str">
        <f>IFERROR(VLOOKUP((LEFT(L22,4)),BASE!$E$12:$F$23,2,0),IFERROR(VLOOKUP((LEFT(L22,3)),BASE!$E$12:$F$23,2,0),IFERROR(VLOOKUP((LEFT(L22,2)),BASE!$E$12:$F$23,2,0),IFERROR(VLOOKUP((LEFT(L22,1)),BASE!$E$12:$F$23,2,0),L22))))</f>
        <v/>
      </c>
      <c r="CO22" s="58" t="str">
        <f t="shared" si="6"/>
        <v>நேர்நேர்</v>
      </c>
      <c r="CP22" s="58" t="str">
        <f>VLOOKUP(CO22,BASE!$E$25:$F$79,2,0)</f>
        <v>தேமா</v>
      </c>
      <c r="CQ22" s="58" t="str">
        <f>VLOOKUP(CO22,BASE!$E$25:$G$79,3,0)&amp;CE23</f>
        <v>மாநிரை</v>
      </c>
      <c r="CR22" s="58" t="str">
        <f>VLOOKUP(CQ22,BASE!$E$86:$G$93,2,0)</f>
        <v>மாமுன் நிரை</v>
      </c>
      <c r="CS22" s="58" t="str">
        <f>VLOOKUP(CQ22,BASE!$E$86:$G$93,3,0)</f>
        <v>இயற்சீர் வெண்டளை</v>
      </c>
      <c r="CT22" s="58" t="str">
        <f t="shared" si="7"/>
        <v>மூவசைக்கு மிகவில்லை</v>
      </c>
      <c r="CU22" s="58" t="str">
        <f t="shared" si="8"/>
        <v>சரி</v>
      </c>
      <c r="CV22" s="193"/>
    </row>
    <row r="23" spans="1:100" ht="19.5" customHeight="1" x14ac:dyDescent="0.35">
      <c r="A23" s="119"/>
      <c r="B23" s="12">
        <f>IFERROR(VLOOKUP((LEFT(L23,4)),BASE!$E$12:$F$23,1,0),IFERROR(VLOOKUP((LEFT(L23,3)),BASE!$E$12:$F$23,1,0),IFERROR(VLOOKUP((LEFT(L23,2)),BASE!$E$12:$F$23,1,0),IFERROR(VLOOKUP((LEFT(L23,1)),BASE!$E$12:$F$23,1,0),100))))</f>
        <v>100</v>
      </c>
      <c r="C23" s="12">
        <f>IFERROR(VLOOKUP((LEFT(M23,4)),BASE!$E$12:$F$23,1,0),IFERROR(VLOOKUP((LEFT(M23,3)),BASE!$E$12:$F$23,1,0),IFERROR(VLOOKUP((LEFT(M23,2)),BASE!$E$12:$F$23,1,0),IFERROR(VLOOKUP((LEFT(M23,1)),BASE!$E$12:$F$23,1,0),100))))</f>
        <v>100</v>
      </c>
      <c r="D23" s="12">
        <f>IFERROR(VLOOKUP((LEFT(N23,4)),BASE!$E$12:$F$23,1,0),IFERROR(VLOOKUP((LEFT(N23,3)),BASE!$E$12:$F$23,1,0),IFERROR(VLOOKUP((LEFT(N23,2)),BASE!$E$12:$F$23,1,0),IFERROR(VLOOKUP((LEFT(N23,1)),BASE!$E$12:$F$23,1,0),100))))</f>
        <v>100</v>
      </c>
      <c r="E23" s="12">
        <f>IFERROR(VLOOKUP((LEFT(O23,4)),BASE!$E$12:$F$23,1,0),IFERROR(VLOOKUP((LEFT(O23,3)),BASE!$E$12:$F$23,1,0),IFERROR(VLOOKUP((LEFT(O23,2)),BASE!$E$12:$F$23,1,0),IFERROR(VLOOKUP((LEFT(O23,1)),BASE!$E$12:$F$23,1,0),100))))</f>
        <v>100</v>
      </c>
      <c r="F23" s="12">
        <f>IFERROR(VLOOKUP((LEFT(P23,4)),BASE!$E$12:$F$23,1,0),IFERROR(VLOOKUP((LEFT(P23,3)),BASE!$E$12:$F$23,1,0),IFERROR(VLOOKUP((LEFT(P23,2)),BASE!$E$12:$F$23,1,0),IFERROR(VLOOKUP((LEFT(P23,1)),BASE!$E$12:$F$23,1,0),100))))</f>
        <v>100</v>
      </c>
      <c r="G23" s="12">
        <f>IFERROR(VLOOKUP((LEFT(Q23,4)),BASE!$E$12:$F$23,1,0),IFERROR(VLOOKUP((LEFT(Q23,3)),BASE!$E$12:$F$23,1,0),IFERROR(VLOOKUP((LEFT(Q23,2)),BASE!$E$12:$F$23,1,0),IFERROR(VLOOKUP((LEFT(Q23,1)),BASE!$E$12:$F$23,1,0),100))))</f>
        <v>100</v>
      </c>
      <c r="H23" s="12">
        <f>IFERROR(VLOOKUP((LEFT(R23,4)),BASE!$E$12:$F$23,1,0),IFERROR(VLOOKUP((LEFT(R23,3)),BASE!$E$12:$F$23,1,0),IFERROR(VLOOKUP((LEFT(R23,2)),BASE!$E$12:$F$23,1,0),IFERROR(VLOOKUP((LEFT(R23,1)),BASE!$E$12:$F$23,1,0),100))))</f>
        <v>100</v>
      </c>
      <c r="I23" s="12" t="str">
        <f>IFERROR(VLOOKUP((LEFT(S23,4)),BASE!$E$12:$F$23,1,0),IFERROR(VLOOKUP((LEFT(S23,3)),BASE!$E$12:$F$23,1,0),IFERROR(VLOOKUP((LEFT(S23,2)),BASE!$E$12:$F$23,1,0),IFERROR(VLOOKUP((LEFT(S23,1)),BASE!$E$12:$F$23,1,0),100))))</f>
        <v>ko</v>
      </c>
      <c r="J23" s="12" t="str">
        <f>IFERROR(VLOOKUP((LEFT(T23,4)),BASE!$E$12:$F$24,1,0),IFERROR(VLOOKUP((LEFT(T23,3)),BASE!$E$12:$F$24,1,0),IFERROR(VLOOKUP((LEFT(T23,2)),BASE!$E$12:$F$24,1,0),IFERROR(VLOOKUP((LEFT(T23,1)),BASE!$E$12:$F$24,1,0),100))))</f>
        <v>kk</v>
      </c>
      <c r="K23" s="12" t="str">
        <f>IFERROR(VLOOKUP((LEFT(U23,4)),BASE!$E$12:$F$23,1,0),IFERROR(VLOOKUP((LEFT(U23,3)),BASE!$E$12:$F$23,1,0),IFERROR(VLOOKUP((LEFT(U23,2)),BASE!$E$12:$F$23,1,0),IFERROR(VLOOKUP((LEFT(U23,1)),BASE!$E$12:$F$23,1,0),100))))</f>
        <v>kko</v>
      </c>
      <c r="L23" s="14" t="str">
        <f t="shared" si="0"/>
        <v/>
      </c>
      <c r="M23" s="14" t="str">
        <f t="shared" si="0"/>
        <v/>
      </c>
      <c r="N23" s="14" t="str">
        <f t="shared" si="0"/>
        <v/>
      </c>
      <c r="O23" s="14" t="str">
        <f t="shared" si="0"/>
        <v/>
      </c>
      <c r="P23" s="14" t="str">
        <f t="shared" si="0"/>
        <v/>
      </c>
      <c r="Q23" s="14" t="str">
        <f t="shared" si="0"/>
        <v/>
      </c>
      <c r="R23" s="14" t="str">
        <f t="shared" si="0"/>
        <v/>
      </c>
      <c r="S23" s="14" t="str">
        <f t="shared" si="0"/>
        <v>ko</v>
      </c>
      <c r="T23" s="14" t="str">
        <f t="shared" si="0"/>
        <v>kkko</v>
      </c>
      <c r="U23" s="14" t="str">
        <f t="shared" si="1"/>
        <v>kkokkko</v>
      </c>
      <c r="V23" s="13">
        <f>IFERROR(VLOOKUP(LEFT(AZ23,2),BASE!$C$96:$E$342,3,0),IFERROR(VLOOKUP(LEFT(AZ23,1),BASE!$C$96:$E$342,3,0),100))</f>
        <v>100</v>
      </c>
      <c r="W23" s="13">
        <f>IFERROR(VLOOKUP(LEFT(BA23,2),BASE!$C$96:$E$342,3,0),IFERROR(VLOOKUP(LEFT(BA23,1),BASE!$C$96:$E$342,3,0),100))</f>
        <v>100</v>
      </c>
      <c r="X23" s="13">
        <f>IFERROR(VLOOKUP(LEFT(BB23,2),BASE!$C$96:$E$342,3,0),IFERROR(VLOOKUP(LEFT(BB23,1),BASE!$C$96:$E$342,3,0),100))</f>
        <v>100</v>
      </c>
      <c r="Y23" s="13">
        <f>IFERROR(VLOOKUP(LEFT(BC23,2),BASE!$C$96:$E$342,3,0),IFERROR(VLOOKUP(LEFT(BC23,1),BASE!$C$96:$E$342,3,0),100))</f>
        <v>2</v>
      </c>
      <c r="Z23" s="13">
        <f>IFERROR(VLOOKUP(LEFT(BD23,2),BASE!$C$96:$E$342,3,0),IFERROR(VLOOKUP(LEFT(BD23,1),BASE!$C$96:$E$342,3,0),100))</f>
        <v>1</v>
      </c>
      <c r="AA23" s="13">
        <f>IFERROR(VLOOKUP(LEFT(BE23,2),BASE!$C$96:$E$342,3,0),IFERROR(VLOOKUP(LEFT(BE23,1),BASE!$C$96:$E$342,3,0),100))</f>
        <v>2</v>
      </c>
      <c r="AB23" s="13">
        <f>IFERROR(VLOOKUP(LEFT(BF23,2),BASE!$C$96:$E$342,3,0),IFERROR(VLOOKUP(LEFT(BF23,1),BASE!$C$96:$E$342,3,0),100))</f>
        <v>2</v>
      </c>
      <c r="AC23" s="13">
        <f>IFERROR(VLOOKUP(LEFT(BG23,2),BASE!$C$96:$E$342,3,0),IFERROR(VLOOKUP(LEFT(BG23,1),BASE!$C$96:$E$342,3,0),100))</f>
        <v>2</v>
      </c>
      <c r="AD23" s="13">
        <f>IFERROR(VLOOKUP(LEFT(BH23,2),BASE!$C$96:$E$342,3,0),IFERROR(VLOOKUP(LEFT(BH23,1),BASE!$C$96:$E$342,3,0),100))</f>
        <v>1</v>
      </c>
      <c r="AE23" s="13">
        <f>IFERROR(VLOOKUP(LEFT(BI23,2),BASE!$C$96:$E$342,3,0),IFERROR(VLOOKUP(LEFT(BI23,1),BASE!$C$96:$E$342,3,0),100))</f>
        <v>2</v>
      </c>
      <c r="AF23" s="187" t="str">
        <f>IF(AND(BS23=BR23,AG23="o"),"A", (IFERROR(VLOOKUP(LEFT(AZ23,2),BASE!$C$346:$D$592,2,0),IFERROR(VLOOKUP(LEFT(AZ23,1),BASE!$C$346:$D$5922,2,0),AZ23))))</f>
        <v/>
      </c>
      <c r="AG23" s="187" t="str">
        <f>IF(AND(BR23=BQ23,AH23="o"),"A", (IFERROR(VLOOKUP(LEFT(BA23,2),BASE!$C$346:$D$592,2,0),IFERROR(VLOOKUP(LEFT(BA23,1),BASE!$C$346:$D$592,2,0),BA23))))</f>
        <v/>
      </c>
      <c r="AH23" s="187" t="str">
        <f>IF(AND(BQ23=BP23,AI23="o"),"A", (IFERROR(VLOOKUP(LEFT(BB23,2),BASE!$C$346:$D$592,2,0),IFERROR(VLOOKUP(LEFT(BB23,1),BASE!$C$346:$D$592,2,0),BB23))))</f>
        <v/>
      </c>
      <c r="AI23" s="187" t="str">
        <f>IF(AND(BP23=BO23,AJ23="o"),"A", (IFERROR(VLOOKUP(LEFT(BC23,2),BASE!$C$346:$D$592,2,0),IFERROR(VLOOKUP(LEFT(BC23,1),BASE!$C$346:$D$592,2,0),BC23))))</f>
        <v>o</v>
      </c>
      <c r="AJ23" s="187" t="str">
        <f>IF(AND(BO23=BN23,AK23="o"),"A", (IFERROR(VLOOKUP(LEFT(BD23,2),BASE!$C$346:$D$592,2,0),IFERROR(VLOOKUP(LEFT(BD23,1),BASE!$C$346:$D$592,2,0),BD23))))</f>
        <v>k</v>
      </c>
      <c r="AK23" s="187" t="str">
        <f>IF(AND(BN23=BM23,AL23="o"),"A", (IFERROR(VLOOKUP(LEFT(BE23,2),BASE!$C$346:$D$592,2,0),IFERROR(VLOOKUP(LEFT(BE23,1),BASE!$C$346:$D$592,2,0),BE23))))</f>
        <v>k</v>
      </c>
      <c r="AL23" s="187" t="str">
        <f>IF(AND(BM23=BL23,AM23="o"),"A", (IFERROR(VLOOKUP(LEFT(BF23,2),BASE!$C$346:$D$592,2,0),IFERROR(VLOOKUP(LEFT(BF23,1),BASE!$C$346:$D$592,2,0),BF23))))</f>
        <v>k</v>
      </c>
      <c r="AM23" s="187" t="str">
        <f>IF(AND(BL23=BK23,AN23="o"),"A",(IFERROR(VLOOKUP(LEFT(BG23,2),BASE!$C$346:$D$592,2,0),IFERROR(VLOOKUP(LEFT(BG23,1),BASE!$C$346:$D$592,2,0),BG23))))</f>
        <v>o</v>
      </c>
      <c r="AN23" s="187" t="str">
        <f>(IFERROR(VLOOKUP(LEFT(BH23,2),BASE!$C$346:$D$592,2,0),IFERROR(VLOOKUP(LEFT(BH23,1),BASE!$C$346:$D$592,2,0),BH23)))</f>
        <v>k</v>
      </c>
      <c r="AO23" s="187" t="str">
        <f>(IFERROR(VLOOKUP(LEFT(BI23,2),BASE!$C$96:$D$342,2,0),IFERROR(VLOOKUP(LEFT(BI23,1),BASE!$C$96:$D$342,2,0),BI23)))</f>
        <v>k</v>
      </c>
      <c r="AP23" s="5">
        <f t="shared" si="2"/>
        <v>12</v>
      </c>
      <c r="AQ23" s="5">
        <f t="shared" si="2"/>
        <v>12</v>
      </c>
      <c r="AR23" s="5">
        <f t="shared" si="2"/>
        <v>12</v>
      </c>
      <c r="AS23" s="5">
        <f t="shared" si="2"/>
        <v>12</v>
      </c>
      <c r="AT23" s="5">
        <f t="shared" si="2"/>
        <v>12</v>
      </c>
      <c r="AU23" s="5">
        <f t="shared" si="2"/>
        <v>12</v>
      </c>
      <c r="AV23" s="5">
        <f t="shared" si="2"/>
        <v>12</v>
      </c>
      <c r="AW23" s="5">
        <f t="shared" si="2"/>
        <v>12</v>
      </c>
      <c r="AX23" s="5">
        <f t="shared" si="2"/>
        <v>12</v>
      </c>
      <c r="AY23" s="5">
        <f t="shared" si="3"/>
        <v>12</v>
      </c>
      <c r="AZ23" s="12" t="str">
        <f t="shared" si="4"/>
        <v/>
      </c>
      <c r="BA23" s="12" t="str">
        <f t="shared" si="4"/>
        <v/>
      </c>
      <c r="BB23" s="12" t="str">
        <f t="shared" si="4"/>
        <v/>
      </c>
      <c r="BC23" s="12" t="str">
        <f t="shared" si="4"/>
        <v>ல்</v>
      </c>
      <c r="BD23" s="12" t="str">
        <f t="shared" si="4"/>
        <v>தல்</v>
      </c>
      <c r="BE23" s="12" t="str">
        <f t="shared" si="4"/>
        <v>டுதல்</v>
      </c>
      <c r="BF23" s="12" t="str">
        <f t="shared" si="4"/>
        <v>விடுதல்</v>
      </c>
      <c r="BG23" s="12" t="str">
        <f t="shared" si="4"/>
        <v>ர்விடுதல்</v>
      </c>
      <c r="BH23" s="43" t="str">
        <f t="shared" si="4"/>
        <v>டர்விடுதல்</v>
      </c>
      <c r="BI23" s="57" t="str">
        <f>CD11</f>
        <v>தொடர்விடுதல்</v>
      </c>
      <c r="BJ23" s="58" t="str">
        <f>IFERROR(VLOOKUP(LEFT(BI23,2),BASE!$C$96:$F$342,1,0),IFERROR(VLOOKUP(LEFT(BI23,1),BASE!$C$96:$F$342,1,0),BI23))</f>
        <v>தொ</v>
      </c>
      <c r="BK23" s="58" t="str">
        <f>IFERROR(VLOOKUP(LEFT(BH23,2),BASE!$C$96:$D$342,1,0),IFERROR(VLOOKUP(LEFT(BH23,1),BASE!$C$96:$D$342,1,0),BH23))</f>
        <v>ட</v>
      </c>
      <c r="BL23" s="58" t="str">
        <f>IFERROR(VLOOKUP(LEFT(BG23,2),BASE!$C$96:$D$342,1,0),IFERROR(VLOOKUP(LEFT(BG23,1),BASE!$C$96:$D$342,1,0),BG23))</f>
        <v>ர்</v>
      </c>
      <c r="BM23" s="58" t="str">
        <f>IFERROR(VLOOKUP(LEFT(BF23,2),BASE!$C$96:$D$342,1,0),IFERROR(VLOOKUP(LEFT(BF23,1),BASE!$C$96:$D$342,1,0),BF23))</f>
        <v>வி</v>
      </c>
      <c r="BN23" s="58" t="str">
        <f>IFERROR(VLOOKUP(LEFT(BE23,2),BASE!$C$96:$D$342,1,0),IFERROR(VLOOKUP(LEFT(BE23,1),BASE!$C$96:$D$342,1,0),BE23))</f>
        <v>டு</v>
      </c>
      <c r="BO23" s="58" t="str">
        <f>IFERROR(VLOOKUP(LEFT(BD23,2),BASE!$C$96:$D$342,1,0),IFERROR(VLOOKUP(LEFT(BD23,1),BASE!$C$96:$D$342,1,0),BD23))</f>
        <v>த</v>
      </c>
      <c r="BP23" s="58" t="str">
        <f>IFERROR(VLOOKUP(LEFT(BC23,2),BASE!$C$96:$D$342,1,0),IFERROR(VLOOKUP(LEFT(BC23,1),BASE!$C$96:$D$342,1,0),BC23))</f>
        <v>ல்</v>
      </c>
      <c r="BQ23" s="58" t="str">
        <f>IFERROR(VLOOKUP(LEFT(BB23,2),BASE!$C$96:$D$342,1,0),IFERROR(VLOOKUP(LEFT(BB23,1),BASE!$C$96:$D$342,1,0),BB23))</f>
        <v/>
      </c>
      <c r="BR23" s="58" t="str">
        <f>IFERROR(VLOOKUP(LEFT(BA23,2),BASE!$C$96:$D$342,1,0),IFERROR(VLOOKUP(LEFT(BA23,1),BASE!$C$96:$D$342,1,0),BA23))</f>
        <v/>
      </c>
      <c r="BS23" s="58" t="str">
        <f>IFERROR(VLOOKUP(LEFT(AZ23,2),BASE!$C$96:$D$342,1,0),IFERROR(VLOOKUP(LEFT(AZ23,1),BASE!$C$96:$D$342,1,0),AZ23))</f>
        <v/>
      </c>
      <c r="BT23" s="186" t="str">
        <f>(IFERROR(VLOOKUP(LEFT(BI23,2),BASE!$C$96:$F$342,4,0),IFERROR(VLOOKUP(LEFT(BI23,1),BASE!$C$96:$F$342,4,0),BI23)))</f>
        <v>கு</v>
      </c>
      <c r="BU23" s="186" t="str">
        <f>(IFERROR(VLOOKUP(LEFT(BH23,2),BASE!$C$346:$F$592,4,0),IFERROR(VLOOKUP(LEFT(BH23,1),BASE!$C$346:$F$592,4,0),BH23)))</f>
        <v>கு</v>
      </c>
      <c r="BV23" s="186" t="str">
        <f>(IFERROR(VLOOKUP(LEFT(BG23,2),BASE!$C$346:$F$592,4,0),IFERROR(VLOOKUP(LEFT(BG23,1),BASE!$C$346:$F$592,4,0),BG23)))</f>
        <v>ஒ</v>
      </c>
      <c r="BW23" s="186" t="str">
        <f>(IFERROR(VLOOKUP(LEFT(BF23,2),BASE!$C$346:$F$592,4,0),IFERROR(VLOOKUP(LEFT(BF23,1),BASE!$C$346:$F$592,4,0),BF23)))</f>
        <v>கு</v>
      </c>
      <c r="BX23" s="186" t="str">
        <f>(IFERROR(VLOOKUP(LEFT(BE23,2),BASE!$C$346:$F$592,4,0),IFERROR(VLOOKUP(LEFT(BE23,1),BASE!$C$346:$F$592,4,0),BE23)))</f>
        <v>கு</v>
      </c>
      <c r="BY23" s="186" t="str">
        <f>(IFERROR(VLOOKUP(LEFT(BD23,2),BASE!$C$346:$F$592,4,0),IFERROR(VLOOKUP(LEFT(BD23,1),BASE!$C$346:$F$592,4,0),BD23)))</f>
        <v>கு</v>
      </c>
      <c r="BZ23" s="186" t="str">
        <f>(IFERROR(VLOOKUP(LEFT(BC23,2),BASE!$C$346:$F$592,4,0),IFERROR(VLOOKUP(LEFT(BC23,1),BASE!$C$346:$F$592,4,0),BC23)))</f>
        <v>ஒ</v>
      </c>
      <c r="CA23" s="186" t="str">
        <f>(IFERROR(VLOOKUP(LEFT(BB23,2),BASE!$C$346:$F$592,4,0),IFERROR(VLOOKUP(LEFT(BB23,1),BASE!$C$346:$F$592,4,0),BB23)))</f>
        <v/>
      </c>
      <c r="CB23" s="186" t="str">
        <f>(IFERROR(VLOOKUP(LEFT(BA23,2),BASE!$C$346:$F$592,4,0),IFERROR(VLOOKUP(LEFT(BA23,1),BASE!$C$346:$F$592,4,0),BA23)))</f>
        <v/>
      </c>
      <c r="CC23" s="186" t="str">
        <f>(IFERROR(VLOOKUP(LEFT(AZ23,2),BASE!$C$346:$F$592,4,0),IFERROR(VLOOKUP(LEFT(AZ23,1),BASE!$C$346:$F$592,4,0),AZ23)))</f>
        <v/>
      </c>
      <c r="CD23" s="58" t="str">
        <f t="shared" si="5"/>
        <v>குகுஒகுகுகுஒ</v>
      </c>
      <c r="CE23" s="58" t="str">
        <f>IFERROR(VLOOKUP((LEFT(U23,4)),BASE!$E$12:$F$23,2,0),IFERROR(VLOOKUP((LEFT(U23,3)),BASE!$E$12:$F$23,2,0),IFERROR(VLOOKUP((LEFT(U23,2)),BASE!$E$12:$F$23,2,0),IFERROR(VLOOKUP((LEFT(U23,1)),BASE!$E$12:$F$23,2,0),U23))))</f>
        <v>நிரை</v>
      </c>
      <c r="CF23" s="58" t="str">
        <f>IFERROR(VLOOKUP((LEFT(T23,4)),BASE!$E$12:$F$24,2,0),IFERROR(VLOOKUP((LEFT(T23,3)),BASE!$E$12:$F$24,2,0),IFERROR(VLOOKUP((LEFT(T23,2)),BASE!$E$12:$F$24,2,0),IFERROR(VLOOKUP((LEFT(T23,1)),BASE!$E$12:$F$24,2,0),T23))))</f>
        <v>நிரை</v>
      </c>
      <c r="CG23" s="58" t="str">
        <f>IFERROR(VLOOKUP((LEFT(S23,4)),BASE!$E$12:$F$23,2,0),IFERROR(VLOOKUP((LEFT(S23,3)),BASE!$E$12:$F$23,2,0),IFERROR(VLOOKUP((LEFT(S23,2)),BASE!$E$12:$F$23,2,0),IFERROR(VLOOKUP((LEFT(S23,1)),BASE!$E$12:$F$23,2,0),S23))))</f>
        <v>நேர்</v>
      </c>
      <c r="CH23" s="58" t="str">
        <f>IFERROR(VLOOKUP((LEFT(R23,4)),BASE!$E$12:$F$23,2,0),IFERROR(VLOOKUP((LEFT(R23,3)),BASE!$E$12:$F$23,2,0),IFERROR(VLOOKUP((LEFT(R23,2)),BASE!$E$12:$F$23,2,0),IFERROR(VLOOKUP((LEFT(R23,1)),BASE!$E$12:$F$23,2,0),R23))))</f>
        <v/>
      </c>
      <c r="CI23" s="58" t="str">
        <f>IFERROR(VLOOKUP((LEFT(Q23,4)),BASE!$E$12:$F$23,2,0),IFERROR(VLOOKUP((LEFT(Q23,3)),BASE!$E$12:$F$23,2,0),IFERROR(VLOOKUP((LEFT(Q23,2)),BASE!$E$12:$F$23,2,0),IFERROR(VLOOKUP((LEFT(Q23,1)),BASE!$E$12:$F$23,2,0),Q23))))</f>
        <v/>
      </c>
      <c r="CJ23" s="58" t="str">
        <f>IFERROR(VLOOKUP((LEFT(P23,4)),BASE!$E$12:$F$23,2,0),IFERROR(VLOOKUP((LEFT(P23,3)),BASE!$E$12:$F$23,2,0),IFERROR(VLOOKUP((LEFT(P23,2)),BASE!$E$12:$F$23,2,0),IFERROR(VLOOKUP((LEFT(P23,1)),BASE!$E$12:$F$23,2,0),P23))))</f>
        <v/>
      </c>
      <c r="CK23" s="58" t="str">
        <f>IFERROR(VLOOKUP((LEFT(O23,4)),BASE!$E$12:$F$23,2,0),IFERROR(VLOOKUP((LEFT(O23,3)),BASE!$E$12:$F$23,2,0),IFERROR(VLOOKUP((LEFT(O23,2)),BASE!$E$12:$F$23,2,0),IFERROR(VLOOKUP((LEFT(O23,1)),BASE!$E$12:$F$23,2,0),O23))))</f>
        <v/>
      </c>
      <c r="CL23" s="58" t="str">
        <f>IFERROR(VLOOKUP((LEFT(N23,4)),BASE!$E$12:$F$23,2,0),IFERROR(VLOOKUP((LEFT(N23,3)),BASE!$E$12:$F$23,2,0),IFERROR(VLOOKUP((LEFT(N23,2)),BASE!$E$12:$F$23,2,0),IFERROR(VLOOKUP((LEFT(N23,1)),BASE!$E$12:$F$23,2,0),N23))))</f>
        <v/>
      </c>
      <c r="CM23" s="58" t="str">
        <f>IFERROR(VLOOKUP((LEFT(M23,4)),BASE!$E$12:$F$23,2,0),IFERROR(VLOOKUP((LEFT(M23,3)),BASE!$E$12:$F$23,2,0),IFERROR(VLOOKUP((LEFT(M23,2)),BASE!$E$12:$F$23,2,0),IFERROR(VLOOKUP((LEFT(M23,1)),BASE!$E$12:$F$23,2,0),M23))))</f>
        <v/>
      </c>
      <c r="CN23" s="58" t="str">
        <f>IFERROR(VLOOKUP((LEFT(L23,4)),BASE!$E$12:$F$23,2,0),IFERROR(VLOOKUP((LEFT(L23,3)),BASE!$E$12:$F$23,2,0),IFERROR(VLOOKUP((LEFT(L23,2)),BASE!$E$12:$F$23,2,0),IFERROR(VLOOKUP((LEFT(L23,1)),BASE!$E$12:$F$23,2,0),L23))))</f>
        <v/>
      </c>
      <c r="CO23" s="58" t="str">
        <f t="shared" si="6"/>
        <v>நிரைநிரைநேர்</v>
      </c>
      <c r="CP23" s="58" t="str">
        <f>VLOOKUP(CO23,BASE!$E$25:$F$79,2,0)</f>
        <v>கருவிளங்காய்</v>
      </c>
      <c r="CQ23" s="58" t="str">
        <f>VLOOKUP(CO23,BASE!$E$25:$G$79,3,0)&amp;CE24</f>
        <v>காய்நேர்</v>
      </c>
      <c r="CR23" s="58" t="str">
        <f>VLOOKUP(CQ23,BASE!$E$86:$G$93,2,0)</f>
        <v>காய் முன் நேர்</v>
      </c>
      <c r="CS23" s="58" t="str">
        <f>VLOOKUP(CQ23,BASE!$E$86:$G$93,3,0)</f>
        <v>வெண்சீர் வெண்டளை</v>
      </c>
      <c r="CT23" s="58" t="str">
        <f t="shared" si="7"/>
        <v>மூவசைக்கு மிகவில்லை</v>
      </c>
      <c r="CU23" s="58" t="str">
        <f t="shared" si="8"/>
        <v>சரி</v>
      </c>
      <c r="CV23" s="193"/>
    </row>
    <row r="24" spans="1:100" ht="19.5" customHeight="1" x14ac:dyDescent="0.35">
      <c r="A24" s="119"/>
      <c r="B24" s="12">
        <f>IFERROR(VLOOKUP((LEFT(L24,4)),BASE!$E$12:$F$23,1,0),IFERROR(VLOOKUP((LEFT(L24,3)),BASE!$E$12:$F$23,1,0),IFERROR(VLOOKUP((LEFT(L24,2)),BASE!$E$12:$F$23,1,0),IFERROR(VLOOKUP((LEFT(L24,1)),BASE!$E$12:$F$23,1,0),100))))</f>
        <v>100</v>
      </c>
      <c r="C24" s="12">
        <f>IFERROR(VLOOKUP((LEFT(M24,4)),BASE!$E$12:$F$23,1,0),IFERROR(VLOOKUP((LEFT(M24,3)),BASE!$E$12:$F$23,1,0),IFERROR(VLOOKUP((LEFT(M24,2)),BASE!$E$12:$F$23,1,0),IFERROR(VLOOKUP((LEFT(M24,1)),BASE!$E$12:$F$23,1,0),100))))</f>
        <v>100</v>
      </c>
      <c r="D24" s="12">
        <f>IFERROR(VLOOKUP((LEFT(N24,4)),BASE!$E$12:$F$23,1,0),IFERROR(VLOOKUP((LEFT(N24,3)),BASE!$E$12:$F$23,1,0),IFERROR(VLOOKUP((LEFT(N24,2)),BASE!$E$12:$F$23,1,0),IFERROR(VLOOKUP((LEFT(N24,1)),BASE!$E$12:$F$23,1,0),100))))</f>
        <v>100</v>
      </c>
      <c r="E24" s="12">
        <f>IFERROR(VLOOKUP((LEFT(O24,4)),BASE!$E$12:$F$23,1,0),IFERROR(VLOOKUP((LEFT(O24,3)),BASE!$E$12:$F$23,1,0),IFERROR(VLOOKUP((LEFT(O24,2)),BASE!$E$12:$F$23,1,0),IFERROR(VLOOKUP((LEFT(O24,1)),BASE!$E$12:$F$23,1,0),100))))</f>
        <v>100</v>
      </c>
      <c r="F24" s="12">
        <f>IFERROR(VLOOKUP((LEFT(P24,4)),BASE!$E$12:$F$23,1,0),IFERROR(VLOOKUP((LEFT(P24,3)),BASE!$E$12:$F$23,1,0),IFERROR(VLOOKUP((LEFT(P24,2)),BASE!$E$12:$F$23,1,0),IFERROR(VLOOKUP((LEFT(P24,1)),BASE!$E$12:$F$23,1,0),100))))</f>
        <v>100</v>
      </c>
      <c r="G24" s="12">
        <f>IFERROR(VLOOKUP((LEFT(Q24,4)),BASE!$E$12:$F$23,1,0),IFERROR(VLOOKUP((LEFT(Q24,3)),BASE!$E$12:$F$23,1,0),IFERROR(VLOOKUP((LEFT(Q24,2)),BASE!$E$12:$F$23,1,0),IFERROR(VLOOKUP((LEFT(Q24,1)),BASE!$E$12:$F$23,1,0),100))))</f>
        <v>100</v>
      </c>
      <c r="H24" s="12">
        <f>IFERROR(VLOOKUP((LEFT(R24,4)),BASE!$E$12:$F$23,1,0),IFERROR(VLOOKUP((LEFT(R24,3)),BASE!$E$12:$F$23,1,0),IFERROR(VLOOKUP((LEFT(R24,2)),BASE!$E$12:$F$23,1,0),IFERROR(VLOOKUP((LEFT(R24,1)),BASE!$E$12:$F$23,1,0),100))))</f>
        <v>100</v>
      </c>
      <c r="I24" s="12">
        <f>IFERROR(VLOOKUP((LEFT(S24,4)),BASE!$E$12:$F$23,1,0),IFERROR(VLOOKUP((LEFT(S24,3)),BASE!$E$12:$F$23,1,0),IFERROR(VLOOKUP((LEFT(S24,2)),BASE!$E$12:$F$23,1,0),IFERROR(VLOOKUP((LEFT(S24,1)),BASE!$E$12:$F$23,1,0),100))))</f>
        <v>100</v>
      </c>
      <c r="J24" s="12" t="str">
        <f>IFERROR(VLOOKUP((LEFT(T24,4)),BASE!$E$12:$F$24,1,0),IFERROR(VLOOKUP((LEFT(T24,3)),BASE!$E$12:$F$24,1,0),IFERROR(VLOOKUP((LEFT(T24,2)),BASE!$E$12:$F$24,1,0),IFERROR(VLOOKUP((LEFT(T24,1)),BASE!$E$12:$F$24,1,0),100))))</f>
        <v>no</v>
      </c>
      <c r="K24" s="12" t="str">
        <f>IFERROR(VLOOKUP((LEFT(U24,4)),BASE!$E$12:$F$23,1,0),IFERROR(VLOOKUP((LEFT(U24,3)),BASE!$E$12:$F$23,1,0),IFERROR(VLOOKUP((LEFT(U24,2)),BASE!$E$12:$F$23,1,0),IFERROR(VLOOKUP((LEFT(U24,1)),BASE!$E$12:$F$23,1,0),100))))</f>
        <v>n</v>
      </c>
      <c r="L24" s="14" t="str">
        <f t="shared" si="0"/>
        <v/>
      </c>
      <c r="M24" s="14" t="str">
        <f t="shared" si="0"/>
        <v/>
      </c>
      <c r="N24" s="14" t="str">
        <f t="shared" si="0"/>
        <v/>
      </c>
      <c r="O24" s="14" t="str">
        <f t="shared" si="0"/>
        <v/>
      </c>
      <c r="P24" s="14" t="str">
        <f t="shared" si="0"/>
        <v/>
      </c>
      <c r="Q24" s="14" t="str">
        <f t="shared" si="0"/>
        <v/>
      </c>
      <c r="R24" s="14" t="str">
        <f t="shared" si="0"/>
        <v/>
      </c>
      <c r="S24" s="14" t="str">
        <f t="shared" si="0"/>
        <v/>
      </c>
      <c r="T24" s="14" t="str">
        <f t="shared" si="0"/>
        <v>no</v>
      </c>
      <c r="U24" s="14" t="str">
        <f t="shared" si="1"/>
        <v>nno</v>
      </c>
      <c r="V24" s="13">
        <f>IFERROR(VLOOKUP(LEFT(AZ24,2),BASE!$C$96:$E$342,3,0),IFERROR(VLOOKUP(LEFT(AZ24,1),BASE!$C$96:$E$342,3,0),100))</f>
        <v>100</v>
      </c>
      <c r="W24" s="13">
        <f>IFERROR(VLOOKUP(LEFT(BA24,2),BASE!$C$96:$E$342,3,0),IFERROR(VLOOKUP(LEFT(BA24,1),BASE!$C$96:$E$342,3,0),100))</f>
        <v>100</v>
      </c>
      <c r="X24" s="13">
        <f>IFERROR(VLOOKUP(LEFT(BB24,2),BASE!$C$96:$E$342,3,0),IFERROR(VLOOKUP(LEFT(BB24,1),BASE!$C$96:$E$342,3,0),100))</f>
        <v>100</v>
      </c>
      <c r="Y24" s="13">
        <f>IFERROR(VLOOKUP(LEFT(BC24,2),BASE!$C$96:$E$342,3,0),IFERROR(VLOOKUP(LEFT(BC24,1),BASE!$C$96:$E$342,3,0),100))</f>
        <v>100</v>
      </c>
      <c r="Z24" s="13">
        <f>IFERROR(VLOOKUP(LEFT(BD24,2),BASE!$C$96:$E$342,3,0),IFERROR(VLOOKUP(LEFT(BD24,1),BASE!$C$96:$E$342,3,0),100))</f>
        <v>100</v>
      </c>
      <c r="AA24" s="13">
        <f>IFERROR(VLOOKUP(LEFT(BE24,2),BASE!$C$96:$E$342,3,0),IFERROR(VLOOKUP(LEFT(BE24,1),BASE!$C$96:$E$342,3,0),100))</f>
        <v>100</v>
      </c>
      <c r="AB24" s="13">
        <f>IFERROR(VLOOKUP(LEFT(BF24,2),BASE!$C$96:$E$342,3,0),IFERROR(VLOOKUP(LEFT(BF24,1),BASE!$C$96:$E$342,3,0),100))</f>
        <v>100</v>
      </c>
      <c r="AC24" s="13">
        <f>IFERROR(VLOOKUP(LEFT(BG24,2),BASE!$C$96:$E$342,3,0),IFERROR(VLOOKUP(LEFT(BG24,1),BASE!$C$96:$E$342,3,0),100))</f>
        <v>2</v>
      </c>
      <c r="AD24" s="13">
        <f>IFERROR(VLOOKUP(LEFT(BH24,2),BASE!$C$96:$E$342,3,0),IFERROR(VLOOKUP(LEFT(BH24,1),BASE!$C$96:$E$342,3,0),100))</f>
        <v>2</v>
      </c>
      <c r="AE24" s="13">
        <f>IFERROR(VLOOKUP(LEFT(BI24,2),BASE!$C$96:$E$342,3,0),IFERROR(VLOOKUP(LEFT(BI24,1),BASE!$C$96:$E$342,3,0),100))</f>
        <v>2</v>
      </c>
      <c r="AF24" s="187" t="str">
        <f>IF(AND(BS24=BR24,AG24="o"),"A", (IFERROR(VLOOKUP(LEFT(AZ24,2),BASE!$C$346:$D$592,2,0),IFERROR(VLOOKUP(LEFT(AZ24,1),BASE!$C$346:$D$5922,2,0),AZ24))))</f>
        <v/>
      </c>
      <c r="AG24" s="187" t="str">
        <f>IF(AND(BR24=BQ24,AH24="o"),"A", (IFERROR(VLOOKUP(LEFT(BA24,2),BASE!$C$346:$D$592,2,0),IFERROR(VLOOKUP(LEFT(BA24,1),BASE!$C$346:$D$592,2,0),BA24))))</f>
        <v/>
      </c>
      <c r="AH24" s="187" t="str">
        <f>IF(AND(BQ24=BP24,AI24="o"),"A", (IFERROR(VLOOKUP(LEFT(BB24,2),BASE!$C$346:$D$592,2,0),IFERROR(VLOOKUP(LEFT(BB24,1),BASE!$C$346:$D$592,2,0),BB24))))</f>
        <v/>
      </c>
      <c r="AI24" s="187" t="str">
        <f>IF(AND(BP24=BO24,AJ24="o"),"A", (IFERROR(VLOOKUP(LEFT(BC24,2),BASE!$C$346:$D$592,2,0),IFERROR(VLOOKUP(LEFT(BC24,1),BASE!$C$346:$D$592,2,0),BC24))))</f>
        <v/>
      </c>
      <c r="AJ24" s="187" t="str">
        <f>IF(AND(BO24=BN24,AK24="o"),"A", (IFERROR(VLOOKUP(LEFT(BD24,2),BASE!$C$346:$D$592,2,0),IFERROR(VLOOKUP(LEFT(BD24,1),BASE!$C$346:$D$592,2,0),BD24))))</f>
        <v/>
      </c>
      <c r="AK24" s="187" t="str">
        <f>IF(AND(BN24=BM24,AL24="o"),"A", (IFERROR(VLOOKUP(LEFT(BE24,2),BASE!$C$346:$D$592,2,0),IFERROR(VLOOKUP(LEFT(BE24,1),BASE!$C$346:$D$592,2,0),BE24))))</f>
        <v/>
      </c>
      <c r="AL24" s="187" t="str">
        <f>IF(AND(BM24=BL24,AM24="o"),"A", (IFERROR(VLOOKUP(LEFT(BF24,2),BASE!$C$346:$D$592,2,0),IFERROR(VLOOKUP(LEFT(BF24,1),BASE!$C$346:$D$592,2,0),BF24))))</f>
        <v/>
      </c>
      <c r="AM24" s="187" t="str">
        <f>IF(AND(BL24=BK24,AN24="o"),"A",(IFERROR(VLOOKUP(LEFT(BG24,2),BASE!$C$346:$D$592,2,0),IFERROR(VLOOKUP(LEFT(BG24,1),BASE!$C$346:$D$592,2,0),BG24))))</f>
        <v>o</v>
      </c>
      <c r="AN24" s="187" t="str">
        <f>(IFERROR(VLOOKUP(LEFT(BH24,2),BASE!$C$346:$D$592,2,0),IFERROR(VLOOKUP(LEFT(BH24,1),BASE!$C$346:$D$592,2,0),BH24)))</f>
        <v>n</v>
      </c>
      <c r="AO24" s="187" t="str">
        <f>(IFERROR(VLOOKUP(LEFT(BI24,2),BASE!$C$96:$D$342,2,0),IFERROR(VLOOKUP(LEFT(BI24,1),BASE!$C$96:$D$342,2,0),BI24)))</f>
        <v>n</v>
      </c>
      <c r="AP24" s="5">
        <f t="shared" si="2"/>
        <v>6</v>
      </c>
      <c r="AQ24" s="5">
        <f t="shared" si="2"/>
        <v>6</v>
      </c>
      <c r="AR24" s="5">
        <f t="shared" si="2"/>
        <v>6</v>
      </c>
      <c r="AS24" s="5">
        <f t="shared" si="2"/>
        <v>6</v>
      </c>
      <c r="AT24" s="5">
        <f t="shared" si="2"/>
        <v>6</v>
      </c>
      <c r="AU24" s="5">
        <f t="shared" si="2"/>
        <v>6</v>
      </c>
      <c r="AV24" s="5">
        <f t="shared" si="2"/>
        <v>6</v>
      </c>
      <c r="AW24" s="5">
        <f t="shared" si="2"/>
        <v>6</v>
      </c>
      <c r="AX24" s="5">
        <f t="shared" si="2"/>
        <v>6</v>
      </c>
      <c r="AY24" s="5">
        <f t="shared" si="3"/>
        <v>6</v>
      </c>
      <c r="AZ24" s="12" t="str">
        <f t="shared" si="4"/>
        <v/>
      </c>
      <c r="BA24" s="12" t="str">
        <f t="shared" si="4"/>
        <v/>
      </c>
      <c r="BB24" s="12" t="str">
        <f t="shared" si="4"/>
        <v/>
      </c>
      <c r="BC24" s="12" t="str">
        <f t="shared" si="4"/>
        <v/>
      </c>
      <c r="BD24" s="12" t="str">
        <f t="shared" si="4"/>
        <v/>
      </c>
      <c r="BE24" s="12" t="str">
        <f t="shared" si="4"/>
        <v/>
      </c>
      <c r="BF24" s="12" t="str">
        <f t="shared" si="4"/>
        <v/>
      </c>
      <c r="BG24" s="12" t="str">
        <f t="shared" si="4"/>
        <v>ந்</v>
      </c>
      <c r="BH24" s="43" t="str">
        <f t="shared" si="4"/>
        <v>லாந்</v>
      </c>
      <c r="BI24" s="57" t="str">
        <f>CE11</f>
        <v>மேலாந்</v>
      </c>
      <c r="BJ24" s="58" t="str">
        <f>IFERROR(VLOOKUP(LEFT(BI24,2),BASE!$C$96:$F$342,1,0),IFERROR(VLOOKUP(LEFT(BI24,1),BASE!$C$96:$F$342,1,0),BI24))</f>
        <v>மே</v>
      </c>
      <c r="BK24" s="58" t="str">
        <f>IFERROR(VLOOKUP(LEFT(BH24,2),BASE!$C$96:$D$342,1,0),IFERROR(VLOOKUP(LEFT(BH24,1),BASE!$C$96:$D$342,1,0),BH24))</f>
        <v>லா</v>
      </c>
      <c r="BL24" s="58" t="str">
        <f>IFERROR(VLOOKUP(LEFT(BG24,2),BASE!$C$96:$D$342,1,0),IFERROR(VLOOKUP(LEFT(BG24,1),BASE!$C$96:$D$342,1,0),BG24))</f>
        <v>ந்</v>
      </c>
      <c r="BM24" s="58" t="str">
        <f>IFERROR(VLOOKUP(LEFT(BF24,2),BASE!$C$96:$D$342,1,0),IFERROR(VLOOKUP(LEFT(BF24,1),BASE!$C$96:$D$342,1,0),BF24))</f>
        <v/>
      </c>
      <c r="BN24" s="58" t="str">
        <f>IFERROR(VLOOKUP(LEFT(BE24,2),BASE!$C$96:$D$342,1,0),IFERROR(VLOOKUP(LEFT(BE24,1),BASE!$C$96:$D$342,1,0),BE24))</f>
        <v/>
      </c>
      <c r="BO24" s="58" t="str">
        <f>IFERROR(VLOOKUP(LEFT(BD24,2),BASE!$C$96:$D$342,1,0),IFERROR(VLOOKUP(LEFT(BD24,1),BASE!$C$96:$D$342,1,0),BD24))</f>
        <v/>
      </c>
      <c r="BP24" s="58" t="str">
        <f>IFERROR(VLOOKUP(LEFT(BC24,2),BASE!$C$96:$D$342,1,0),IFERROR(VLOOKUP(LEFT(BC24,1),BASE!$C$96:$D$342,1,0),BC24))</f>
        <v/>
      </c>
      <c r="BQ24" s="58" t="str">
        <f>IFERROR(VLOOKUP(LEFT(BB24,2),BASE!$C$96:$D$342,1,0),IFERROR(VLOOKUP(LEFT(BB24,1),BASE!$C$96:$D$342,1,0),BB24))</f>
        <v/>
      </c>
      <c r="BR24" s="58" t="str">
        <f>IFERROR(VLOOKUP(LEFT(BA24,2),BASE!$C$96:$D$342,1,0),IFERROR(VLOOKUP(LEFT(BA24,1),BASE!$C$96:$D$342,1,0),BA24))</f>
        <v/>
      </c>
      <c r="BS24" s="58" t="str">
        <f>IFERROR(VLOOKUP(LEFT(AZ24,2),BASE!$C$96:$D$342,1,0),IFERROR(VLOOKUP(LEFT(AZ24,1),BASE!$C$96:$D$342,1,0),AZ24))</f>
        <v/>
      </c>
      <c r="BT24" s="186" t="str">
        <f>(IFERROR(VLOOKUP(LEFT(BI24,2),BASE!$C$96:$F$342,4,0),IFERROR(VLOOKUP(LEFT(BI24,1),BASE!$C$96:$F$342,4,0),BI24)))</f>
        <v>நெ</v>
      </c>
      <c r="BU24" s="186" t="str">
        <f>(IFERROR(VLOOKUP(LEFT(BH24,2),BASE!$C$346:$F$592,4,0),IFERROR(VLOOKUP(LEFT(BH24,1),BASE!$C$346:$F$592,4,0),BH24)))</f>
        <v>நெ</v>
      </c>
      <c r="BV24" s="186" t="str">
        <f>(IFERROR(VLOOKUP(LEFT(BG24,2),BASE!$C$346:$F$592,4,0),IFERROR(VLOOKUP(LEFT(BG24,1),BASE!$C$346:$F$592,4,0),BG24)))</f>
        <v>ஒ</v>
      </c>
      <c r="BW24" s="186" t="str">
        <f>(IFERROR(VLOOKUP(LEFT(BF24,2),BASE!$C$346:$F$592,4,0),IFERROR(VLOOKUP(LEFT(BF24,1),BASE!$C$346:$F$592,4,0),BF24)))</f>
        <v/>
      </c>
      <c r="BX24" s="186" t="str">
        <f>(IFERROR(VLOOKUP(LEFT(BE24,2),BASE!$C$346:$F$592,4,0),IFERROR(VLOOKUP(LEFT(BE24,1),BASE!$C$346:$F$592,4,0),BE24)))</f>
        <v/>
      </c>
      <c r="BY24" s="186" t="str">
        <f>(IFERROR(VLOOKUP(LEFT(BD24,2),BASE!$C$346:$F$592,4,0),IFERROR(VLOOKUP(LEFT(BD24,1),BASE!$C$346:$F$592,4,0),BD24)))</f>
        <v/>
      </c>
      <c r="BZ24" s="186" t="str">
        <f>(IFERROR(VLOOKUP(LEFT(BC24,2),BASE!$C$346:$F$592,4,0),IFERROR(VLOOKUP(LEFT(BC24,1),BASE!$C$346:$F$592,4,0),BC24)))</f>
        <v/>
      </c>
      <c r="CA24" s="186" t="str">
        <f>(IFERROR(VLOOKUP(LEFT(BB24,2),BASE!$C$346:$F$592,4,0),IFERROR(VLOOKUP(LEFT(BB24,1),BASE!$C$346:$F$592,4,0),BB24)))</f>
        <v/>
      </c>
      <c r="CB24" s="186" t="str">
        <f>(IFERROR(VLOOKUP(LEFT(BA24,2),BASE!$C$346:$F$592,4,0),IFERROR(VLOOKUP(LEFT(BA24,1),BASE!$C$346:$F$592,4,0),BA24)))</f>
        <v/>
      </c>
      <c r="CC24" s="186" t="str">
        <f>(IFERROR(VLOOKUP(LEFT(AZ24,2),BASE!$C$346:$F$592,4,0),IFERROR(VLOOKUP(LEFT(AZ24,1),BASE!$C$346:$F$592,4,0),AZ24)))</f>
        <v/>
      </c>
      <c r="CD24" s="58" t="str">
        <f t="shared" si="5"/>
        <v>நெநெஒ</v>
      </c>
      <c r="CE24" s="58" t="str">
        <f>IFERROR(VLOOKUP((LEFT(U24,4)),BASE!$E$12:$F$23,2,0),IFERROR(VLOOKUP((LEFT(U24,3)),BASE!$E$12:$F$23,2,0),IFERROR(VLOOKUP((LEFT(U24,2)),BASE!$E$12:$F$23,2,0),IFERROR(VLOOKUP((LEFT(U24,1)),BASE!$E$12:$F$23,2,0),U24))))</f>
        <v>நேர்</v>
      </c>
      <c r="CF24" s="58" t="str">
        <f>IFERROR(VLOOKUP((LEFT(T24,4)),BASE!$E$12:$F$24,2,0),IFERROR(VLOOKUP((LEFT(T24,3)),BASE!$E$12:$F$24,2,0),IFERROR(VLOOKUP((LEFT(T24,2)),BASE!$E$12:$F$24,2,0),IFERROR(VLOOKUP((LEFT(T24,1)),BASE!$E$12:$F$24,2,0),T24))))</f>
        <v>நேர்</v>
      </c>
      <c r="CG24" s="58" t="str">
        <f>IFERROR(VLOOKUP((LEFT(S24,4)),BASE!$E$12:$F$23,2,0),IFERROR(VLOOKUP((LEFT(S24,3)),BASE!$E$12:$F$23,2,0),IFERROR(VLOOKUP((LEFT(S24,2)),BASE!$E$12:$F$23,2,0),IFERROR(VLOOKUP((LEFT(S24,1)),BASE!$E$12:$F$23,2,0),S24))))</f>
        <v/>
      </c>
      <c r="CH24" s="58" t="str">
        <f>IFERROR(VLOOKUP((LEFT(R24,4)),BASE!$E$12:$F$23,2,0),IFERROR(VLOOKUP((LEFT(R24,3)),BASE!$E$12:$F$23,2,0),IFERROR(VLOOKUP((LEFT(R24,2)),BASE!$E$12:$F$23,2,0),IFERROR(VLOOKUP((LEFT(R24,1)),BASE!$E$12:$F$23,2,0),R24))))</f>
        <v/>
      </c>
      <c r="CI24" s="58" t="str">
        <f>IFERROR(VLOOKUP((LEFT(Q24,4)),BASE!$E$12:$F$23,2,0),IFERROR(VLOOKUP((LEFT(Q24,3)),BASE!$E$12:$F$23,2,0),IFERROR(VLOOKUP((LEFT(Q24,2)),BASE!$E$12:$F$23,2,0),IFERROR(VLOOKUP((LEFT(Q24,1)),BASE!$E$12:$F$23,2,0),Q24))))</f>
        <v/>
      </c>
      <c r="CJ24" s="58" t="str">
        <f>IFERROR(VLOOKUP((LEFT(P24,4)),BASE!$E$12:$F$23,2,0),IFERROR(VLOOKUP((LEFT(P24,3)),BASE!$E$12:$F$23,2,0),IFERROR(VLOOKUP((LEFT(P24,2)),BASE!$E$12:$F$23,2,0),IFERROR(VLOOKUP((LEFT(P24,1)),BASE!$E$12:$F$23,2,0),P24))))</f>
        <v/>
      </c>
      <c r="CK24" s="58" t="str">
        <f>IFERROR(VLOOKUP((LEFT(O24,4)),BASE!$E$12:$F$23,2,0),IFERROR(VLOOKUP((LEFT(O24,3)),BASE!$E$12:$F$23,2,0),IFERROR(VLOOKUP((LEFT(O24,2)),BASE!$E$12:$F$23,2,0),IFERROR(VLOOKUP((LEFT(O24,1)),BASE!$E$12:$F$23,2,0),O24))))</f>
        <v/>
      </c>
      <c r="CL24" s="58" t="str">
        <f>IFERROR(VLOOKUP((LEFT(N24,4)),BASE!$E$12:$F$23,2,0),IFERROR(VLOOKUP((LEFT(N24,3)),BASE!$E$12:$F$23,2,0),IFERROR(VLOOKUP((LEFT(N24,2)),BASE!$E$12:$F$23,2,0),IFERROR(VLOOKUP((LEFT(N24,1)),BASE!$E$12:$F$23,2,0),N24))))</f>
        <v/>
      </c>
      <c r="CM24" s="58" t="str">
        <f>IFERROR(VLOOKUP((LEFT(M24,4)),BASE!$E$12:$F$23,2,0),IFERROR(VLOOKUP((LEFT(M24,3)),BASE!$E$12:$F$23,2,0),IFERROR(VLOOKUP((LEFT(M24,2)),BASE!$E$12:$F$23,2,0),IFERROR(VLOOKUP((LEFT(M24,1)),BASE!$E$12:$F$23,2,0),M24))))</f>
        <v/>
      </c>
      <c r="CN24" s="58" t="str">
        <f>IFERROR(VLOOKUP((LEFT(L24,4)),BASE!$E$12:$F$23,2,0),IFERROR(VLOOKUP((LEFT(L24,3)),BASE!$E$12:$F$23,2,0),IFERROR(VLOOKUP((LEFT(L24,2)),BASE!$E$12:$F$23,2,0),IFERROR(VLOOKUP((LEFT(L24,1)),BASE!$E$12:$F$23,2,0),L24))))</f>
        <v/>
      </c>
      <c r="CO24" s="58" t="str">
        <f t="shared" si="6"/>
        <v>நேர்நேர்</v>
      </c>
      <c r="CP24" s="58" t="str">
        <f>VLOOKUP(CO24,BASE!$E$25:$F$79,2,0)</f>
        <v>தேமா</v>
      </c>
      <c r="CQ24" s="58" t="str">
        <f>VLOOKUP(CO24,BASE!$E$25:$G$79,3,0)&amp;CE25</f>
        <v>மாநிரை</v>
      </c>
      <c r="CR24" s="58" t="str">
        <f>VLOOKUP(CQ24,BASE!$E$86:$G$93,2,0)</f>
        <v>மாமுன் நிரை</v>
      </c>
      <c r="CS24" s="58" t="str">
        <f>VLOOKUP(CQ24,BASE!$E$86:$G$93,3,0)</f>
        <v>இயற்சீர் வெண்டளை</v>
      </c>
      <c r="CT24" s="58" t="str">
        <f t="shared" si="7"/>
        <v>மூவசைக்கு மிகவில்லை</v>
      </c>
      <c r="CU24" s="58" t="str">
        <f t="shared" si="8"/>
        <v>சரி</v>
      </c>
      <c r="CV24" s="193"/>
    </row>
    <row r="25" spans="1:100" ht="19.5" customHeight="1" x14ac:dyDescent="0.35">
      <c r="A25" s="119"/>
      <c r="B25" s="12">
        <f>IFERROR(VLOOKUP((LEFT(L25,4)),BASE!$E$12:$F$23,1,0),IFERROR(VLOOKUP((LEFT(L25,3)),BASE!$E$12:$F$23,1,0),IFERROR(VLOOKUP((LEFT(L25,2)),BASE!$E$12:$F$23,1,0),IFERROR(VLOOKUP((LEFT(L25,1)),BASE!$E$12:$F$23,1,0),100))))</f>
        <v>100</v>
      </c>
      <c r="C25" s="12">
        <f>IFERROR(VLOOKUP((LEFT(M25,4)),BASE!$E$12:$F$23,1,0),IFERROR(VLOOKUP((LEFT(M25,3)),BASE!$E$12:$F$23,1,0),IFERROR(VLOOKUP((LEFT(M25,2)),BASE!$E$12:$F$23,1,0),IFERROR(VLOOKUP((LEFT(M25,1)),BASE!$E$12:$F$23,1,0),100))))</f>
        <v>100</v>
      </c>
      <c r="D25" s="12">
        <f>IFERROR(VLOOKUP((LEFT(N25,4)),BASE!$E$12:$F$23,1,0),IFERROR(VLOOKUP((LEFT(N25,3)),BASE!$E$12:$F$23,1,0),IFERROR(VLOOKUP((LEFT(N25,2)),BASE!$E$12:$F$23,1,0),IFERROR(VLOOKUP((LEFT(N25,1)),BASE!$E$12:$F$23,1,0),100))))</f>
        <v>100</v>
      </c>
      <c r="E25" s="12">
        <f>IFERROR(VLOOKUP((LEFT(O25,4)),BASE!$E$12:$F$23,1,0),IFERROR(VLOOKUP((LEFT(O25,3)),BASE!$E$12:$F$23,1,0),IFERROR(VLOOKUP((LEFT(O25,2)),BASE!$E$12:$F$23,1,0),IFERROR(VLOOKUP((LEFT(O25,1)),BASE!$E$12:$F$23,1,0),100))))</f>
        <v>100</v>
      </c>
      <c r="F25" s="12">
        <f>IFERROR(VLOOKUP((LEFT(P25,4)),BASE!$E$12:$F$23,1,0),IFERROR(VLOOKUP((LEFT(P25,3)),BASE!$E$12:$F$23,1,0),IFERROR(VLOOKUP((LEFT(P25,2)),BASE!$E$12:$F$23,1,0),IFERROR(VLOOKUP((LEFT(P25,1)),BASE!$E$12:$F$23,1,0),100))))</f>
        <v>100</v>
      </c>
      <c r="G25" s="12">
        <f>IFERROR(VLOOKUP((LEFT(Q25,4)),BASE!$E$12:$F$23,1,0),IFERROR(VLOOKUP((LEFT(Q25,3)),BASE!$E$12:$F$23,1,0),IFERROR(VLOOKUP((LEFT(Q25,2)),BASE!$E$12:$F$23,1,0),IFERROR(VLOOKUP((LEFT(Q25,1)),BASE!$E$12:$F$23,1,0),100))))</f>
        <v>100</v>
      </c>
      <c r="H25" s="12">
        <f>IFERROR(VLOOKUP((LEFT(R25,4)),BASE!$E$12:$F$23,1,0),IFERROR(VLOOKUP((LEFT(R25,3)),BASE!$E$12:$F$23,1,0),IFERROR(VLOOKUP((LEFT(R25,2)),BASE!$E$12:$F$23,1,0),IFERROR(VLOOKUP((LEFT(R25,1)),BASE!$E$12:$F$23,1,0),100))))</f>
        <v>100</v>
      </c>
      <c r="I25" s="12">
        <f>IFERROR(VLOOKUP((LEFT(S25,4)),BASE!$E$12:$F$23,1,0),IFERROR(VLOOKUP((LEFT(S25,3)),BASE!$E$12:$F$23,1,0),IFERROR(VLOOKUP((LEFT(S25,2)),BASE!$E$12:$F$23,1,0),IFERROR(VLOOKUP((LEFT(S25,1)),BASE!$E$12:$F$23,1,0),100))))</f>
        <v>100</v>
      </c>
      <c r="J25" s="12">
        <f>IFERROR(VLOOKUP((LEFT(T25,4)),BASE!$E$12:$F$24,1,0),IFERROR(VLOOKUP((LEFT(T25,3)),BASE!$E$12:$F$24,1,0),IFERROR(VLOOKUP((LEFT(T25,2)),BASE!$E$12:$F$24,1,0),IFERROR(VLOOKUP((LEFT(T25,1)),BASE!$E$12:$F$24,1,0),100))))</f>
        <v>100</v>
      </c>
      <c r="K25" s="12" t="str">
        <f>IFERROR(VLOOKUP((LEFT(U25,4)),BASE!$E$12:$F$23,1,0),IFERROR(VLOOKUP((LEFT(U25,3)),BASE!$E$12:$F$23,1,0),IFERROR(VLOOKUP((LEFT(U25,2)),BASE!$E$12:$F$23,1,0),IFERROR(VLOOKUP((LEFT(U25,1)),BASE!$E$12:$F$23,1,0),100))))</f>
        <v>kk</v>
      </c>
      <c r="L25" s="14" t="str">
        <f t="shared" si="0"/>
        <v/>
      </c>
      <c r="M25" s="14" t="str">
        <f t="shared" si="0"/>
        <v/>
      </c>
      <c r="N25" s="14" t="str">
        <f t="shared" si="0"/>
        <v/>
      </c>
      <c r="O25" s="14" t="str">
        <f t="shared" si="0"/>
        <v/>
      </c>
      <c r="P25" s="14" t="str">
        <f t="shared" si="0"/>
        <v/>
      </c>
      <c r="Q25" s="14" t="str">
        <f t="shared" si="0"/>
        <v/>
      </c>
      <c r="R25" s="14" t="str">
        <f t="shared" si="0"/>
        <v/>
      </c>
      <c r="S25" s="14" t="str">
        <f t="shared" si="0"/>
        <v/>
      </c>
      <c r="T25" s="14" t="str">
        <f t="shared" si="0"/>
        <v/>
      </c>
      <c r="U25" s="14" t="str">
        <f t="shared" si="1"/>
        <v>kk</v>
      </c>
      <c r="V25" s="13">
        <f>IFERROR(VLOOKUP(LEFT(AZ25,2),BASE!$C$96:$E$342,3,0),IFERROR(VLOOKUP(LEFT(AZ25,1),BASE!$C$96:$E$342,3,0),100))</f>
        <v>100</v>
      </c>
      <c r="W25" s="13">
        <f>IFERROR(VLOOKUP(LEFT(BA25,2),BASE!$C$96:$E$342,3,0),IFERROR(VLOOKUP(LEFT(BA25,1),BASE!$C$96:$E$342,3,0),100))</f>
        <v>100</v>
      </c>
      <c r="X25" s="13">
        <f>IFERROR(VLOOKUP(LEFT(BB25,2),BASE!$C$96:$E$342,3,0),IFERROR(VLOOKUP(LEFT(BB25,1),BASE!$C$96:$E$342,3,0),100))</f>
        <v>100</v>
      </c>
      <c r="Y25" s="13">
        <f>IFERROR(VLOOKUP(LEFT(BC25,2),BASE!$C$96:$E$342,3,0),IFERROR(VLOOKUP(LEFT(BC25,1),BASE!$C$96:$E$342,3,0),100))</f>
        <v>100</v>
      </c>
      <c r="Z25" s="13">
        <f>IFERROR(VLOOKUP(LEFT(BD25,2),BASE!$C$96:$E$342,3,0),IFERROR(VLOOKUP(LEFT(BD25,1),BASE!$C$96:$E$342,3,0),100))</f>
        <v>100</v>
      </c>
      <c r="AA25" s="13">
        <f>IFERROR(VLOOKUP(LEFT(BE25,2),BASE!$C$96:$E$342,3,0),IFERROR(VLOOKUP(LEFT(BE25,1),BASE!$C$96:$E$342,3,0),100))</f>
        <v>100</v>
      </c>
      <c r="AB25" s="13">
        <f>IFERROR(VLOOKUP(LEFT(BF25,2),BASE!$C$96:$E$342,3,0),IFERROR(VLOOKUP(LEFT(BF25,1),BASE!$C$96:$E$342,3,0),100))</f>
        <v>100</v>
      </c>
      <c r="AC25" s="13">
        <f>IFERROR(VLOOKUP(LEFT(BG25,2),BASE!$C$96:$E$342,3,0),IFERROR(VLOOKUP(LEFT(BG25,1),BASE!$C$96:$E$342,3,0),100))</f>
        <v>100</v>
      </c>
      <c r="AD25" s="13">
        <f>IFERROR(VLOOKUP(LEFT(BH25,2),BASE!$C$96:$E$342,3,0),IFERROR(VLOOKUP(LEFT(BH25,1),BASE!$C$96:$E$342,3,0),100))</f>
        <v>2</v>
      </c>
      <c r="AE25" s="13">
        <f>IFERROR(VLOOKUP(LEFT(BI25,2),BASE!$C$96:$E$342,3,0),IFERROR(VLOOKUP(LEFT(BI25,1),BASE!$C$96:$E$342,3,0),100))</f>
        <v>2</v>
      </c>
      <c r="AF25" s="187" t="str">
        <f>IF(AND(BS25=BR25,AG25="o"),"A", (IFERROR(VLOOKUP(LEFT(AZ25,2),BASE!$C$346:$D$592,2,0),IFERROR(VLOOKUP(LEFT(AZ25,1),BASE!$C$346:$D$5922,2,0),AZ25))))</f>
        <v/>
      </c>
      <c r="AG25" s="187" t="str">
        <f>IF(AND(BR25=BQ25,AH25="o"),"A", (IFERROR(VLOOKUP(LEFT(BA25,2),BASE!$C$346:$D$592,2,0),IFERROR(VLOOKUP(LEFT(BA25,1),BASE!$C$346:$D$592,2,0),BA25))))</f>
        <v/>
      </c>
      <c r="AH25" s="187" t="str">
        <f>IF(AND(BQ25=BP25,AI25="o"),"A", (IFERROR(VLOOKUP(LEFT(BB25,2),BASE!$C$346:$D$592,2,0),IFERROR(VLOOKUP(LEFT(BB25,1),BASE!$C$346:$D$592,2,0),BB25))))</f>
        <v/>
      </c>
      <c r="AI25" s="187" t="str">
        <f>IF(AND(BP25=BO25,AJ25="o"),"A", (IFERROR(VLOOKUP(LEFT(BC25,2),BASE!$C$346:$D$592,2,0),IFERROR(VLOOKUP(LEFT(BC25,1),BASE!$C$346:$D$592,2,0),BC25))))</f>
        <v/>
      </c>
      <c r="AJ25" s="187" t="str">
        <f>IF(AND(BO25=BN25,AK25="o"),"A", (IFERROR(VLOOKUP(LEFT(BD25,2),BASE!$C$346:$D$592,2,0),IFERROR(VLOOKUP(LEFT(BD25,1),BASE!$C$346:$D$592,2,0),BD25))))</f>
        <v/>
      </c>
      <c r="AK25" s="187" t="str">
        <f>IF(AND(BN25=BM25,AL25="o"),"A", (IFERROR(VLOOKUP(LEFT(BE25,2),BASE!$C$346:$D$592,2,0),IFERROR(VLOOKUP(LEFT(BE25,1),BASE!$C$346:$D$592,2,0),BE25))))</f>
        <v/>
      </c>
      <c r="AL25" s="187" t="str">
        <f>IF(AND(BM25=BL25,AM25="o"),"A", (IFERROR(VLOOKUP(LEFT(BF25,2),BASE!$C$346:$D$592,2,0),IFERROR(VLOOKUP(LEFT(BF25,1),BASE!$C$346:$D$592,2,0),BF25))))</f>
        <v/>
      </c>
      <c r="AM25" s="187" t="str">
        <f>IF(AND(BL25=BK25,AN25="o"),"A",(IFERROR(VLOOKUP(LEFT(BG25,2),BASE!$C$346:$D$592,2,0),IFERROR(VLOOKUP(LEFT(BG25,1),BASE!$C$346:$D$592,2,0),BG25))))</f>
        <v/>
      </c>
      <c r="AN25" s="187" t="str">
        <f>(IFERROR(VLOOKUP(LEFT(BH25,2),BASE!$C$346:$D$592,2,0),IFERROR(VLOOKUP(LEFT(BH25,1),BASE!$C$346:$D$592,2,0),BH25)))</f>
        <v>k</v>
      </c>
      <c r="AO25" s="187" t="str">
        <f>(IFERROR(VLOOKUP(LEFT(BI25,2),BASE!$C$96:$D$342,2,0),IFERROR(VLOOKUP(LEFT(BI25,1),BASE!$C$96:$D$342,2,0),BI25)))</f>
        <v>k</v>
      </c>
      <c r="AP25" s="5">
        <f t="shared" si="2"/>
        <v>4</v>
      </c>
      <c r="AQ25" s="5">
        <f t="shared" si="2"/>
        <v>4</v>
      </c>
      <c r="AR25" s="5">
        <f t="shared" si="2"/>
        <v>4</v>
      </c>
      <c r="AS25" s="5">
        <f t="shared" si="2"/>
        <v>4</v>
      </c>
      <c r="AT25" s="5">
        <f t="shared" si="2"/>
        <v>4</v>
      </c>
      <c r="AU25" s="5">
        <f t="shared" si="2"/>
        <v>4</v>
      </c>
      <c r="AV25" s="5">
        <f t="shared" si="2"/>
        <v>4</v>
      </c>
      <c r="AW25" s="5">
        <f t="shared" si="2"/>
        <v>4</v>
      </c>
      <c r="AX25" s="5">
        <f t="shared" si="2"/>
        <v>4</v>
      </c>
      <c r="AY25" s="5">
        <f t="shared" si="3"/>
        <v>4</v>
      </c>
      <c r="AZ25" s="12" t="str">
        <f t="shared" si="4"/>
        <v/>
      </c>
      <c r="BA25" s="12" t="str">
        <f t="shared" si="4"/>
        <v/>
      </c>
      <c r="BB25" s="12" t="str">
        <f t="shared" si="4"/>
        <v/>
      </c>
      <c r="BC25" s="12" t="str">
        <f t="shared" si="4"/>
        <v/>
      </c>
      <c r="BD25" s="12" t="str">
        <f t="shared" si="4"/>
        <v/>
      </c>
      <c r="BE25" s="12" t="str">
        <f t="shared" si="4"/>
        <v/>
      </c>
      <c r="BF25" s="12" t="str">
        <f t="shared" si="4"/>
        <v/>
      </c>
      <c r="BG25" s="12" t="str">
        <f t="shared" si="4"/>
        <v/>
      </c>
      <c r="BH25" s="43" t="str">
        <f t="shared" si="4"/>
        <v>ணை</v>
      </c>
      <c r="BI25" s="57" t="str">
        <f>CF11</f>
        <v>துணை</v>
      </c>
      <c r="BJ25" s="58" t="str">
        <f>IFERROR(VLOOKUP(LEFT(BI25,2),BASE!$C$96:$F$342,1,0),IFERROR(VLOOKUP(LEFT(BI25,1),BASE!$C$96:$F$342,1,0),BI25))</f>
        <v>து</v>
      </c>
      <c r="BK25" s="58" t="str">
        <f>IFERROR(VLOOKUP(LEFT(BH25,2),BASE!$C$96:$D$342,1,0),IFERROR(VLOOKUP(LEFT(BH25,1),BASE!$C$96:$D$342,1,0),BH25))</f>
        <v>ணை</v>
      </c>
      <c r="BL25" s="58" t="str">
        <f>IFERROR(VLOOKUP(LEFT(BG25,2),BASE!$C$96:$D$342,1,0),IFERROR(VLOOKUP(LEFT(BG25,1),BASE!$C$96:$D$342,1,0),BG25))</f>
        <v/>
      </c>
      <c r="BM25" s="58" t="str">
        <f>IFERROR(VLOOKUP(LEFT(BF25,2),BASE!$C$96:$D$342,1,0),IFERROR(VLOOKUP(LEFT(BF25,1),BASE!$C$96:$D$342,1,0),BF25))</f>
        <v/>
      </c>
      <c r="BN25" s="58" t="str">
        <f>IFERROR(VLOOKUP(LEFT(BE25,2),BASE!$C$96:$D$342,1,0),IFERROR(VLOOKUP(LEFT(BE25,1),BASE!$C$96:$D$342,1,0),BE25))</f>
        <v/>
      </c>
      <c r="BO25" s="58" t="str">
        <f>IFERROR(VLOOKUP(LEFT(BD25,2),BASE!$C$96:$D$342,1,0),IFERROR(VLOOKUP(LEFT(BD25,1),BASE!$C$96:$D$342,1,0),BD25))</f>
        <v/>
      </c>
      <c r="BP25" s="58" t="str">
        <f>IFERROR(VLOOKUP(LEFT(BC25,2),BASE!$C$96:$D$342,1,0),IFERROR(VLOOKUP(LEFT(BC25,1),BASE!$C$96:$D$342,1,0),BC25))</f>
        <v/>
      </c>
      <c r="BQ25" s="58" t="str">
        <f>IFERROR(VLOOKUP(LEFT(BB25,2),BASE!$C$96:$D$342,1,0),IFERROR(VLOOKUP(LEFT(BB25,1),BASE!$C$96:$D$342,1,0),BB25))</f>
        <v/>
      </c>
      <c r="BR25" s="58" t="str">
        <f>IFERROR(VLOOKUP(LEFT(BA25,2),BASE!$C$96:$D$342,1,0),IFERROR(VLOOKUP(LEFT(BA25,1),BASE!$C$96:$D$342,1,0),BA25))</f>
        <v/>
      </c>
      <c r="BS25" s="58" t="str">
        <f>IFERROR(VLOOKUP(LEFT(AZ25,2),BASE!$C$96:$D$342,1,0),IFERROR(VLOOKUP(LEFT(AZ25,1),BASE!$C$96:$D$342,1,0),AZ25))</f>
        <v/>
      </c>
      <c r="BT25" s="186" t="str">
        <f>(IFERROR(VLOOKUP(LEFT(BI25,2),BASE!$C$96:$F$342,4,0),IFERROR(VLOOKUP(LEFT(BI25,1),BASE!$C$96:$F$342,4,0),BI25)))</f>
        <v>கு</v>
      </c>
      <c r="BU25" s="186" t="str">
        <f>(IFERROR(VLOOKUP(LEFT(BH25,2),BASE!$C$346:$F$592,4,0),IFERROR(VLOOKUP(LEFT(BH25,1),BASE!$C$346:$F$592,4,0),BH25)))</f>
        <v>கு</v>
      </c>
      <c r="BV25" s="186" t="str">
        <f>(IFERROR(VLOOKUP(LEFT(BG25,2),BASE!$C$346:$F$592,4,0),IFERROR(VLOOKUP(LEFT(BG25,1),BASE!$C$346:$F$592,4,0),BG25)))</f>
        <v/>
      </c>
      <c r="BW25" s="186" t="str">
        <f>(IFERROR(VLOOKUP(LEFT(BF25,2),BASE!$C$346:$F$592,4,0),IFERROR(VLOOKUP(LEFT(BF25,1),BASE!$C$346:$F$592,4,0),BF25)))</f>
        <v/>
      </c>
      <c r="BX25" s="186" t="str">
        <f>(IFERROR(VLOOKUP(LEFT(BE25,2),BASE!$C$346:$F$592,4,0),IFERROR(VLOOKUP(LEFT(BE25,1),BASE!$C$346:$F$592,4,0),BE25)))</f>
        <v/>
      </c>
      <c r="BY25" s="186" t="str">
        <f>(IFERROR(VLOOKUP(LEFT(BD25,2),BASE!$C$346:$F$592,4,0),IFERROR(VLOOKUP(LEFT(BD25,1),BASE!$C$346:$F$592,4,0),BD25)))</f>
        <v/>
      </c>
      <c r="BZ25" s="186" t="str">
        <f>(IFERROR(VLOOKUP(LEFT(BC25,2),BASE!$C$346:$F$592,4,0),IFERROR(VLOOKUP(LEFT(BC25,1),BASE!$C$346:$F$592,4,0),BC25)))</f>
        <v/>
      </c>
      <c r="CA25" s="186" t="str">
        <f>(IFERROR(VLOOKUP(LEFT(BB25,2),BASE!$C$346:$F$592,4,0),IFERROR(VLOOKUP(LEFT(BB25,1),BASE!$C$346:$F$592,4,0),BB25)))</f>
        <v/>
      </c>
      <c r="CB25" s="186" t="str">
        <f>(IFERROR(VLOOKUP(LEFT(BA25,2),BASE!$C$346:$F$592,4,0),IFERROR(VLOOKUP(LEFT(BA25,1),BASE!$C$346:$F$592,4,0),BA25)))</f>
        <v/>
      </c>
      <c r="CC25" s="186" t="str">
        <f>(IFERROR(VLOOKUP(LEFT(AZ25,2),BASE!$C$346:$F$592,4,0),IFERROR(VLOOKUP(LEFT(AZ25,1),BASE!$C$346:$F$592,4,0),AZ25)))</f>
        <v/>
      </c>
      <c r="CD25" s="58" t="str">
        <f t="shared" si="5"/>
        <v>குகு</v>
      </c>
      <c r="CE25" s="58" t="str">
        <f>IFERROR(VLOOKUP((LEFT(U25,4)),BASE!$E$12:$F$23,2,0),IFERROR(VLOOKUP((LEFT(U25,3)),BASE!$E$12:$F$23,2,0),IFERROR(VLOOKUP((LEFT(U25,2)),BASE!$E$12:$F$23,2,0),IFERROR(VLOOKUP((LEFT(U25,1)),BASE!$E$12:$F$23,2,0),U25))))</f>
        <v>நிரை</v>
      </c>
      <c r="CF25" s="58" t="str">
        <f>IFERROR(VLOOKUP((LEFT(T25,4)),BASE!$E$12:$F$24,2,0),IFERROR(VLOOKUP((LEFT(T25,3)),BASE!$E$12:$F$24,2,0),IFERROR(VLOOKUP((LEFT(T25,2)),BASE!$E$12:$F$24,2,0),IFERROR(VLOOKUP((LEFT(T25,1)),BASE!$E$12:$F$24,2,0),T25))))</f>
        <v/>
      </c>
      <c r="CG25" s="58" t="str">
        <f>IFERROR(VLOOKUP((LEFT(S25,4)),BASE!$E$12:$F$23,2,0),IFERROR(VLOOKUP((LEFT(S25,3)),BASE!$E$12:$F$23,2,0),IFERROR(VLOOKUP((LEFT(S25,2)),BASE!$E$12:$F$23,2,0),IFERROR(VLOOKUP((LEFT(S25,1)),BASE!$E$12:$F$23,2,0),S25))))</f>
        <v/>
      </c>
      <c r="CH25" s="58" t="str">
        <f>IFERROR(VLOOKUP((LEFT(R25,4)),BASE!$E$12:$F$23,2,0),IFERROR(VLOOKUP((LEFT(R25,3)),BASE!$E$12:$F$23,2,0),IFERROR(VLOOKUP((LEFT(R25,2)),BASE!$E$12:$F$23,2,0),IFERROR(VLOOKUP((LEFT(R25,1)),BASE!$E$12:$F$23,2,0),R25))))</f>
        <v/>
      </c>
      <c r="CI25" s="58" t="str">
        <f>IFERROR(VLOOKUP((LEFT(Q25,4)),BASE!$E$12:$F$23,2,0),IFERROR(VLOOKUP((LEFT(Q25,3)),BASE!$E$12:$F$23,2,0),IFERROR(VLOOKUP((LEFT(Q25,2)),BASE!$E$12:$F$23,2,0),IFERROR(VLOOKUP((LEFT(Q25,1)),BASE!$E$12:$F$23,2,0),Q25))))</f>
        <v/>
      </c>
      <c r="CJ25" s="58" t="str">
        <f>IFERROR(VLOOKUP((LEFT(P25,4)),BASE!$E$12:$F$23,2,0),IFERROR(VLOOKUP((LEFT(P25,3)),BASE!$E$12:$F$23,2,0),IFERROR(VLOOKUP((LEFT(P25,2)),BASE!$E$12:$F$23,2,0),IFERROR(VLOOKUP((LEFT(P25,1)),BASE!$E$12:$F$23,2,0),P25))))</f>
        <v/>
      </c>
      <c r="CK25" s="58" t="str">
        <f>IFERROR(VLOOKUP((LEFT(O25,4)),BASE!$E$12:$F$23,2,0),IFERROR(VLOOKUP((LEFT(O25,3)),BASE!$E$12:$F$23,2,0),IFERROR(VLOOKUP((LEFT(O25,2)),BASE!$E$12:$F$23,2,0),IFERROR(VLOOKUP((LEFT(O25,1)),BASE!$E$12:$F$23,2,0),O25))))</f>
        <v/>
      </c>
      <c r="CL25" s="58" t="str">
        <f>IFERROR(VLOOKUP((LEFT(N25,4)),BASE!$E$12:$F$23,2,0),IFERROR(VLOOKUP((LEFT(N25,3)),BASE!$E$12:$F$23,2,0),IFERROR(VLOOKUP((LEFT(N25,2)),BASE!$E$12:$F$23,2,0),IFERROR(VLOOKUP((LEFT(N25,1)),BASE!$E$12:$F$23,2,0),N25))))</f>
        <v/>
      </c>
      <c r="CM25" s="58" t="str">
        <f>IFERROR(VLOOKUP((LEFT(M25,4)),BASE!$E$12:$F$23,2,0),IFERROR(VLOOKUP((LEFT(M25,3)),BASE!$E$12:$F$23,2,0),IFERROR(VLOOKUP((LEFT(M25,2)),BASE!$E$12:$F$23,2,0),IFERROR(VLOOKUP((LEFT(M25,1)),BASE!$E$12:$F$23,2,0),M25))))</f>
        <v/>
      </c>
      <c r="CN25" s="58" t="str">
        <f>IFERROR(VLOOKUP((LEFT(L25,4)),BASE!$E$12:$F$23,2,0),IFERROR(VLOOKUP((LEFT(L25,3)),BASE!$E$12:$F$23,2,0),IFERROR(VLOOKUP((LEFT(L25,2)),BASE!$E$12:$F$23,2,0),IFERROR(VLOOKUP((LEFT(L25,1)),BASE!$E$12:$F$23,2,0),L25))))</f>
        <v/>
      </c>
      <c r="CO25" s="58" t="str">
        <f t="shared" si="6"/>
        <v>நிரை</v>
      </c>
      <c r="CP25" s="58" t="str">
        <f>VLOOKUP(CO25,BASE!E81:F85,2,0)</f>
        <v>மலர்</v>
      </c>
      <c r="CQ25" s="58"/>
      <c r="CR25" s="58"/>
      <c r="CS25" s="58"/>
      <c r="CT25" s="58" t="str">
        <f>IF((OR(CG25="நிரை",CG25="நேர்")),"இரு அசைகட்கு மிகக்கூடாது","ஈரசைக்கு மிகவில்லை")</f>
        <v>ஈரசைக்கு மிகவில்லை</v>
      </c>
      <c r="CU25" s="58" t="str">
        <f>IFERROR((IF((OR(CP25="நாள்",CP25="மலர்",CP25="காசு",CP25="பிறப்பு")),"சரி","தளை தட்டுகிறது")),"பிழை")</f>
        <v>சரி</v>
      </c>
      <c r="CV25" s="193"/>
    </row>
    <row r="26" spans="1:100" s="82" customFormat="1" ht="19.5" customHeight="1" x14ac:dyDescent="0.35">
      <c r="A26" s="119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12"/>
      <c r="BA26" s="12"/>
      <c r="BB26" s="12"/>
      <c r="BC26" s="12"/>
      <c r="BD26" s="12"/>
      <c r="BE26" s="12"/>
      <c r="BF26" s="12"/>
      <c r="BG26" s="12"/>
      <c r="BH26" s="43"/>
      <c r="BI26" s="109"/>
      <c r="BJ26" s="110"/>
      <c r="BK26" s="110"/>
      <c r="BL26" s="110"/>
      <c r="BM26" s="110"/>
      <c r="BN26" s="110"/>
      <c r="BO26" s="110"/>
      <c r="BP26" s="110"/>
      <c r="BQ26" s="110"/>
      <c r="BR26" s="110"/>
      <c r="BS26" s="110"/>
      <c r="BT26" s="110"/>
      <c r="BU26" s="110"/>
      <c r="BV26" s="110"/>
      <c r="BW26" s="110"/>
      <c r="BX26" s="110"/>
      <c r="BY26" s="110"/>
      <c r="BZ26" s="110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  <c r="CN26" s="110"/>
      <c r="CO26" s="110"/>
      <c r="CP26" s="110"/>
      <c r="CQ26" s="110"/>
      <c r="CR26" s="110"/>
      <c r="CS26" s="110"/>
      <c r="CT26" s="110"/>
      <c r="CU26" s="110"/>
      <c r="CV26" s="111"/>
    </row>
    <row r="27" spans="1:100" s="82" customFormat="1" ht="19.5" customHeight="1" x14ac:dyDescent="0.35">
      <c r="A27" s="119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12"/>
      <c r="BA27" s="12"/>
      <c r="BB27" s="12"/>
      <c r="BC27" s="12"/>
      <c r="BD27" s="12"/>
      <c r="BE27" s="12"/>
      <c r="BF27" s="12"/>
      <c r="BG27" s="12"/>
      <c r="BH27" s="43"/>
      <c r="BI27" s="130" t="s">
        <v>484</v>
      </c>
      <c r="BJ27" s="113"/>
      <c r="BK27" s="113"/>
      <c r="BL27" s="113"/>
      <c r="BM27" s="113"/>
      <c r="BN27" s="113"/>
      <c r="BO27" s="113"/>
      <c r="BP27" s="113"/>
      <c r="BQ27" s="113"/>
      <c r="BR27" s="113"/>
      <c r="BS27" s="113"/>
      <c r="BT27" s="113"/>
      <c r="BU27" s="113"/>
      <c r="BV27" s="113"/>
      <c r="BW27" s="113"/>
      <c r="BX27" s="113"/>
      <c r="BY27" s="113"/>
      <c r="BZ27" s="113"/>
      <c r="CA27" s="113"/>
      <c r="CB27" s="113"/>
      <c r="CC27" s="113"/>
      <c r="CD27" s="113"/>
      <c r="CE27" s="113">
        <v>1</v>
      </c>
      <c r="CF27" s="113">
        <v>2</v>
      </c>
      <c r="CG27" s="113"/>
      <c r="CH27" s="113"/>
      <c r="CI27" s="113"/>
      <c r="CJ27" s="113"/>
      <c r="CK27" s="113"/>
      <c r="CL27" s="113"/>
      <c r="CM27" s="113"/>
      <c r="CN27" s="113"/>
      <c r="CO27" s="113"/>
      <c r="CP27" s="113"/>
      <c r="CQ27" s="110"/>
      <c r="CR27" s="113"/>
      <c r="CS27" s="113"/>
      <c r="CT27" s="110"/>
      <c r="CU27" s="110"/>
      <c r="CV27" s="111"/>
    </row>
    <row r="28" spans="1:100" s="82" customFormat="1" ht="19.5" customHeight="1" x14ac:dyDescent="0.35">
      <c r="A28" s="119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12"/>
      <c r="BA28" s="12"/>
      <c r="BB28" s="12"/>
      <c r="BC28" s="12"/>
      <c r="BD28" s="12"/>
      <c r="BE28" s="12"/>
      <c r="BF28" s="12"/>
      <c r="BG28" s="12"/>
      <c r="BH28" s="43"/>
      <c r="BI28" s="131" t="str">
        <f>CD7</f>
        <v>நல்லார்</v>
      </c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4"/>
      <c r="CB28" s="114"/>
      <c r="CC28" s="114"/>
      <c r="CD28" s="114" t="str">
        <f>MID(BI28,2,1)</f>
        <v>ல</v>
      </c>
      <c r="CE28" s="114" t="str">
        <f>IF(OR(CD28="ா",CD28="ி",CD28="ீ",CD28="ு",CD28="ூ",CD28="ெ",CD28="ே",CD28="ை",CD28="ொ",CD28="ோ",CD28="ௌ"),MID(BI28,1,2),MID(BI28,1,1))</f>
        <v>ந</v>
      </c>
      <c r="CF28" s="114" t="str">
        <f>IF(OR(CD28="ா",CD28="ி",CD28="ீ",CD28="ு",CD28="ூ",CD28="ெ",CD28="ே",CD28="ை",CD28="ொ",CD28="ோ",CD28="ௌ"),MID(BI28,3,2),MID(BI28,2,2))</f>
        <v>ல்</v>
      </c>
      <c r="CG28" s="114" t="str">
        <f>IF(OR(CD28="ா",CD28="ி",CD28="ீ",CD28="ு",CD28="ூ",CD28="ெ",CD28="ே",CD28="ை",CD28="ொ",CD28="ோ",CD28="ௌ"),MID(BI28,3,1),MID(BI28,2,1))</f>
        <v>ல</v>
      </c>
      <c r="CH28" s="114"/>
      <c r="CI28" s="114"/>
      <c r="CJ28" s="114"/>
      <c r="CK28" s="114"/>
      <c r="CL28" s="114"/>
      <c r="CM28" s="114"/>
      <c r="CN28" s="114"/>
      <c r="CO28" s="114"/>
      <c r="CP28" s="114" t="str">
        <f>CG28&amp;CG30</f>
        <v>லல</v>
      </c>
      <c r="CQ28" s="114"/>
      <c r="CR28" s="114" t="str">
        <f>VLOOKUP(CE28,BASE!$C$96:$F$342,4,0)</f>
        <v>கு</v>
      </c>
      <c r="CS28" s="114"/>
      <c r="CT28" s="110"/>
      <c r="CU28" s="110"/>
      <c r="CV28" s="111"/>
    </row>
    <row r="29" spans="1:100" s="82" customFormat="1" ht="19.5" customHeight="1" x14ac:dyDescent="0.35">
      <c r="A29" s="119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12"/>
      <c r="BA29" s="12"/>
      <c r="BB29" s="12"/>
      <c r="BC29" s="12"/>
      <c r="BD29" s="12"/>
      <c r="BE29" s="12"/>
      <c r="BF29" s="12"/>
      <c r="BG29" s="12"/>
      <c r="BH29" s="43"/>
      <c r="BI29" s="131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4"/>
      <c r="CB29" s="114"/>
      <c r="CC29" s="114"/>
      <c r="CD29" s="114"/>
      <c r="CE29" s="114"/>
      <c r="CF29" s="114"/>
      <c r="CG29" s="114"/>
      <c r="CH29" s="114"/>
      <c r="CI29" s="114"/>
      <c r="CJ29" s="114"/>
      <c r="CK29" s="114"/>
      <c r="CL29" s="114"/>
      <c r="CM29" s="114"/>
      <c r="CN29" s="114"/>
      <c r="CO29" s="114"/>
      <c r="CP29" s="114"/>
      <c r="CQ29" s="114"/>
      <c r="CR29" s="114"/>
      <c r="CS29" s="114"/>
      <c r="CT29" s="110"/>
      <c r="CU29" s="110"/>
      <c r="CV29" s="111"/>
    </row>
    <row r="30" spans="1:100" s="82" customFormat="1" ht="36.75" customHeight="1" x14ac:dyDescent="0.35">
      <c r="A30" s="119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12"/>
      <c r="BA30" s="12"/>
      <c r="BB30" s="12"/>
      <c r="BC30" s="12"/>
      <c r="BD30" s="12"/>
      <c r="BE30" s="12"/>
      <c r="BF30" s="12"/>
      <c r="BG30" s="12"/>
      <c r="BH30" s="43"/>
      <c r="BI30" s="131" t="str">
        <f>CD9</f>
        <v>அல்லார்</v>
      </c>
      <c r="BJ30" s="114"/>
      <c r="BK30" s="114"/>
      <c r="BL30" s="114"/>
      <c r="BM30" s="114"/>
      <c r="BN30" s="114"/>
      <c r="BO30" s="114"/>
      <c r="BP30" s="114"/>
      <c r="BQ30" s="114"/>
      <c r="BR30" s="114"/>
      <c r="BS30" s="114"/>
      <c r="BT30" s="114"/>
      <c r="BU30" s="114"/>
      <c r="BV30" s="114"/>
      <c r="BW30" s="114"/>
      <c r="BX30" s="114"/>
      <c r="BY30" s="114"/>
      <c r="BZ30" s="114"/>
      <c r="CA30" s="114"/>
      <c r="CB30" s="114"/>
      <c r="CC30" s="114"/>
      <c r="CD30" s="114" t="str">
        <f>MID(BI30,2,1)</f>
        <v>ல</v>
      </c>
      <c r="CE30" s="114" t="str">
        <f>IF(OR(CD30="ா",CD30="ி",CD30="ீ",CD30="ு",CD30="ூ",CD30="ெ",CD30="ே",CD30="ை",CD30="ொ",CD30="ோ",CD30="ௌ"),MID(BI30,1,2),MID(BI30,1,1))</f>
        <v>அ</v>
      </c>
      <c r="CF30" s="114" t="str">
        <f>IF(OR(CD30="ா",CD30="ி",CD30="ீ",CD30="ு",CD30="ூ",CD30="ெ",CD30="ே",CD30="ை",CD30="ொ",CD30="ோ",CD30="ௌ"),MID(BI30,3,2),MID(BI30,2,2))</f>
        <v>ல்</v>
      </c>
      <c r="CG30" s="114" t="str">
        <f>IF(OR(CD30="ா",CD30="ி",CD30="ீ",CD30="ு",CD30="ூ",CD30="ெ",CD30="ே",CD30="ை",CD30="ொ",CD30="ோ",CD30="ௌ"),MID(BI30,3,1),MID(BI30,2,1))</f>
        <v>ல</v>
      </c>
      <c r="CH30" s="114"/>
      <c r="CI30" s="114"/>
      <c r="CJ30" s="114"/>
      <c r="CK30" s="114"/>
      <c r="CL30" s="114"/>
      <c r="CM30" s="114"/>
      <c r="CN30" s="114"/>
      <c r="CO30" s="114"/>
      <c r="CP30" s="114" t="str">
        <f>IF(EXACT(CF28,CF30),"எதுகை",IF(EXACT(CG28,CG30),"2-எதுகை",IFERROR((VLOOKUP(CP28,BASE!V1:W108,2,0)),"எதுகை அமையவில்லை")))</f>
        <v>எதுகை</v>
      </c>
      <c r="CQ30" s="114"/>
      <c r="CR30" s="114" t="str">
        <f>VLOOKUP(CE30,BASE!$C$96:$F$342,4,0)</f>
        <v>கு</v>
      </c>
      <c r="CS30" s="114" t="str">
        <f>IF((AND((AND(CR28=CR30,CR28=CR34)),AND(RIGHT(CP30,2)="கை",RIGHT(CP34,2)="கை"))),"1,5,8-ஆம் சீர்களில் அடி எதுகை","அடி எதுகை அமையப் பெறவில்லை")</f>
        <v>1,5,8-ஆம் சீர்களில் அடி எதுகை</v>
      </c>
      <c r="CT30" s="110"/>
      <c r="CU30" s="110"/>
      <c r="CV30" s="111"/>
    </row>
    <row r="31" spans="1:100" s="82" customFormat="1" ht="19.5" customHeight="1" x14ac:dyDescent="0.35">
      <c r="A31" s="119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12"/>
      <c r="BA31" s="12"/>
      <c r="BB31" s="12"/>
      <c r="BC31" s="12"/>
      <c r="BD31" s="12"/>
      <c r="BE31" s="12"/>
      <c r="BF31" s="12"/>
      <c r="BG31" s="12"/>
      <c r="BH31" s="43"/>
      <c r="BI31" s="131"/>
      <c r="BJ31" s="114"/>
      <c r="BK31" s="114"/>
      <c r="BL31" s="114"/>
      <c r="BM31" s="114"/>
      <c r="BN31" s="114"/>
      <c r="BO31" s="114"/>
      <c r="BP31" s="114"/>
      <c r="BQ31" s="114"/>
      <c r="BR31" s="114"/>
      <c r="BS31" s="114"/>
      <c r="BT31" s="114"/>
      <c r="BU31" s="114"/>
      <c r="BV31" s="114"/>
      <c r="BW31" s="114"/>
      <c r="BX31" s="114"/>
      <c r="BY31" s="114"/>
      <c r="BZ31" s="114"/>
      <c r="CA31" s="114"/>
      <c r="CB31" s="114"/>
      <c r="CC31" s="114"/>
      <c r="CD31" s="114"/>
      <c r="CE31" s="114"/>
      <c r="CF31" s="114"/>
      <c r="CG31" s="114"/>
      <c r="CH31" s="114"/>
      <c r="CI31" s="114"/>
      <c r="CJ31" s="114"/>
      <c r="CK31" s="114"/>
      <c r="CL31" s="114"/>
      <c r="CM31" s="114"/>
      <c r="CN31" s="114"/>
      <c r="CO31" s="114"/>
      <c r="CP31" s="114"/>
      <c r="CQ31" s="114"/>
      <c r="CR31" s="114"/>
      <c r="CS31" s="112" t="str">
        <f>IF((RIGHT(CS30,2)="கை"),"சரி","அடி எதுகை அமையவில்லை")</f>
        <v>சரி</v>
      </c>
      <c r="CT31" s="110"/>
      <c r="CU31" s="110"/>
      <c r="CV31" s="111"/>
    </row>
    <row r="32" spans="1:100" s="82" customFormat="1" ht="19.5" customHeight="1" x14ac:dyDescent="0.35">
      <c r="A32" s="119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12"/>
      <c r="BA32" s="12"/>
      <c r="BB32" s="12"/>
      <c r="BC32" s="12"/>
      <c r="BD32" s="12"/>
      <c r="BE32" s="12"/>
      <c r="BF32" s="12"/>
      <c r="BG32" s="12"/>
      <c r="BH32" s="43"/>
      <c r="BI32" s="131" t="str">
        <f>BI30</f>
        <v>அல்லார்</v>
      </c>
      <c r="BJ32" s="114"/>
      <c r="BK32" s="114"/>
      <c r="BL32" s="114"/>
      <c r="BM32" s="114"/>
      <c r="BN32" s="114"/>
      <c r="BO32" s="114"/>
      <c r="BP32" s="114"/>
      <c r="BQ32" s="114"/>
      <c r="BR32" s="114"/>
      <c r="BS32" s="114"/>
      <c r="BT32" s="114"/>
      <c r="BU32" s="114"/>
      <c r="BV32" s="114"/>
      <c r="BW32" s="114"/>
      <c r="BX32" s="114"/>
      <c r="BY32" s="114"/>
      <c r="BZ32" s="114"/>
      <c r="CA32" s="114"/>
      <c r="CB32" s="114"/>
      <c r="CC32" s="114"/>
      <c r="CD32" s="114" t="str">
        <f>MID(BI32,2,1)</f>
        <v>ல</v>
      </c>
      <c r="CE32" s="114" t="str">
        <f>IF(OR(CD32="ா",CD32="ி",CD32="ீ",CD32="ு",CD32="ூ",CD32="ெ",CD32="ே",CD32="ை",CD32="ொ",CD32="ோ",CD32="ௌ"),MID(BI32,1,2),MID(BI32,1,1))</f>
        <v>அ</v>
      </c>
      <c r="CF32" s="114" t="str">
        <f>IF(OR(CD32="ா",CD32="ி",CD32="ீ",CD32="ு",CD32="ூ",CD32="ெ",CD32="ே",CD32="ை",CD32="ொ",CD32="ோ",CD32="ௌ"),MID(BI32,3,2),MID(BI32,2,2))</f>
        <v>ல்</v>
      </c>
      <c r="CG32" s="114" t="str">
        <f>IF(OR(CD32="ா",CD32="ி",CD32="ீ",CD32="ு",CD32="ூ",CD32="ெ",CD32="ே",CD32="ை",CD32="ொ",CD32="ோ",CD32="ௌ"),MID(BI32,3,1),MID(BI32,2,1))</f>
        <v>ல</v>
      </c>
      <c r="CH32" s="114"/>
      <c r="CI32" s="114"/>
      <c r="CJ32" s="114"/>
      <c r="CK32" s="114"/>
      <c r="CL32" s="114"/>
      <c r="CM32" s="114"/>
      <c r="CN32" s="114"/>
      <c r="CO32" s="114"/>
      <c r="CP32" s="114" t="str">
        <f>CG32&amp;CG34</f>
        <v>லல</v>
      </c>
      <c r="CQ32" s="114"/>
      <c r="CR32" s="114"/>
      <c r="CS32" s="114"/>
      <c r="CT32" s="110"/>
      <c r="CU32" s="110"/>
      <c r="CV32" s="111"/>
    </row>
    <row r="33" spans="1:100" s="82" customFormat="1" ht="19.5" customHeight="1" x14ac:dyDescent="0.35">
      <c r="A33" s="119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12"/>
      <c r="BA33" s="12"/>
      <c r="BB33" s="12"/>
      <c r="BC33" s="12"/>
      <c r="BD33" s="12"/>
      <c r="BE33" s="12"/>
      <c r="BF33" s="12"/>
      <c r="BG33" s="12"/>
      <c r="BH33" s="43"/>
      <c r="BI33" s="131"/>
      <c r="BJ33" s="114"/>
      <c r="BK33" s="114"/>
      <c r="BL33" s="114"/>
      <c r="BM33" s="114"/>
      <c r="BN33" s="114"/>
      <c r="BO33" s="114"/>
      <c r="BP33" s="114"/>
      <c r="BQ33" s="114"/>
      <c r="BR33" s="114"/>
      <c r="BS33" s="114"/>
      <c r="BT33" s="114"/>
      <c r="BU33" s="114"/>
      <c r="BV33" s="114"/>
      <c r="BW33" s="114"/>
      <c r="BX33" s="114"/>
      <c r="BY33" s="114"/>
      <c r="BZ33" s="114"/>
      <c r="CA33" s="114"/>
      <c r="CB33" s="114"/>
      <c r="CC33" s="114"/>
      <c r="CD33" s="114"/>
      <c r="CE33" s="114"/>
      <c r="CF33" s="114"/>
      <c r="CG33" s="114"/>
      <c r="CH33" s="114"/>
      <c r="CI33" s="114"/>
      <c r="CJ33" s="114"/>
      <c r="CK33" s="114"/>
      <c r="CL33" s="114"/>
      <c r="CM33" s="114"/>
      <c r="CN33" s="114"/>
      <c r="CO33" s="114"/>
      <c r="CP33" s="114"/>
      <c r="CQ33" s="114"/>
      <c r="CR33" s="114"/>
      <c r="CS33" s="114"/>
      <c r="CT33" s="31"/>
      <c r="CU33" s="31"/>
      <c r="CV33" s="49"/>
    </row>
    <row r="34" spans="1:100" s="82" customFormat="1" ht="35.25" customHeight="1" x14ac:dyDescent="0.35">
      <c r="A34" s="119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12"/>
      <c r="BA34" s="12"/>
      <c r="BB34" s="12"/>
      <c r="BC34" s="12"/>
      <c r="BD34" s="12"/>
      <c r="BE34" s="12"/>
      <c r="BF34" s="12"/>
      <c r="BG34" s="12"/>
      <c r="BH34" s="43"/>
      <c r="BI34" s="131" t="str">
        <f>CG9</f>
        <v>பொல்லார்</v>
      </c>
      <c r="BJ34" s="114"/>
      <c r="BK34" s="114"/>
      <c r="BL34" s="114"/>
      <c r="BM34" s="114"/>
      <c r="BN34" s="114"/>
      <c r="BO34" s="114"/>
      <c r="BP34" s="114"/>
      <c r="BQ34" s="114"/>
      <c r="BR34" s="114"/>
      <c r="BS34" s="114"/>
      <c r="BT34" s="114"/>
      <c r="BU34" s="114"/>
      <c r="BV34" s="114"/>
      <c r="BW34" s="114"/>
      <c r="BX34" s="114"/>
      <c r="BY34" s="114"/>
      <c r="BZ34" s="114"/>
      <c r="CA34" s="114"/>
      <c r="CB34" s="114"/>
      <c r="CC34" s="114"/>
      <c r="CD34" s="114" t="str">
        <f>MID(BI34,2,1)</f>
        <v>ொ</v>
      </c>
      <c r="CE34" s="114" t="str">
        <f>IF(OR(CD34="ா",CD34="ி",CD34="ீ",CD34="ு",CD34="ூ",CD34="ெ",CD34="ே",CD34="ை",CD34="ொ",CD34="ோ",CD34="ௌ"),MID(BI34,1,2),MID(BI34,1,1))</f>
        <v>பொ</v>
      </c>
      <c r="CF34" s="114" t="str">
        <f>IF(OR(CD34="ா",CD34="ி",CD34="ீ",CD34="ு",CD34="ூ",CD34="ெ",CD34="ே",CD34="ை",CD34="ொ",CD34="ோ",CD34="ௌ"),MID(BI34,3,2),MID(BI34,2,2))</f>
        <v>ல்</v>
      </c>
      <c r="CG34" s="114" t="str">
        <f>IF(OR(CD34="ா",CD34="ி",CD34="ீ",CD34="ு",CD34="ூ",CD34="ெ",CD34="ே",CD34="ை",CD34="ொ",CD34="ோ",CD34="ௌ"),MID(BI34,3,1),MID(BI34,2,1))</f>
        <v>ல</v>
      </c>
      <c r="CH34" s="114"/>
      <c r="CI34" s="114"/>
      <c r="CJ34" s="114"/>
      <c r="CK34" s="114"/>
      <c r="CL34" s="114"/>
      <c r="CM34" s="114"/>
      <c r="CN34" s="114"/>
      <c r="CO34" s="114"/>
      <c r="CP34" s="114" t="str">
        <f>IF(EXACT(CF32,CF34),"எதுகை",IF(EXACT(CG32,CG34),"2-எதுகை",IFERROR((VLOOKUP(CP32,DH37:DI144,2,0)),"எதுகை அமையவில்லை")))</f>
        <v>எதுகை</v>
      </c>
      <c r="CQ34" s="114"/>
      <c r="CR34" s="114" t="str">
        <f>VLOOKUP(CE34,BASE!$C$96:$F$342,4,0)</f>
        <v>கு</v>
      </c>
      <c r="CS34" s="114"/>
      <c r="CT34" s="31"/>
      <c r="CU34" s="31"/>
      <c r="CV34" s="49"/>
    </row>
    <row r="35" spans="1:100" s="82" customFormat="1" ht="19.5" customHeight="1" thickBot="1" x14ac:dyDescent="0.4">
      <c r="A35" s="123"/>
      <c r="B35" s="124"/>
      <c r="C35" s="124"/>
      <c r="D35" s="124"/>
      <c r="E35" s="124"/>
      <c r="F35" s="124"/>
      <c r="G35" s="124"/>
      <c r="H35" s="124"/>
      <c r="I35" s="124"/>
      <c r="J35" s="124"/>
      <c r="K35" s="124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6"/>
      <c r="W35" s="126"/>
      <c r="X35" s="126"/>
      <c r="Y35" s="126"/>
      <c r="Z35" s="126"/>
      <c r="AA35" s="126"/>
      <c r="AB35" s="126"/>
      <c r="AC35" s="126"/>
      <c r="AD35" s="126"/>
      <c r="AE35" s="126"/>
      <c r="AF35" s="124"/>
      <c r="AG35" s="124"/>
      <c r="AH35" s="124"/>
      <c r="AI35" s="124"/>
      <c r="AJ35" s="124"/>
      <c r="AK35" s="124"/>
      <c r="AL35" s="124"/>
      <c r="AM35" s="124"/>
      <c r="AN35" s="124"/>
      <c r="AO35" s="124"/>
      <c r="AP35" s="127"/>
      <c r="AQ35" s="127"/>
      <c r="AR35" s="127"/>
      <c r="AS35" s="127"/>
      <c r="AT35" s="127"/>
      <c r="AU35" s="127"/>
      <c r="AV35" s="127"/>
      <c r="AW35" s="127"/>
      <c r="AX35" s="127"/>
      <c r="AY35" s="127"/>
      <c r="AZ35" s="124"/>
      <c r="BA35" s="124"/>
      <c r="BB35" s="124"/>
      <c r="BC35" s="124"/>
      <c r="BD35" s="124"/>
      <c r="BE35" s="124"/>
      <c r="BF35" s="124"/>
      <c r="BG35" s="124"/>
      <c r="BH35" s="128"/>
      <c r="BI35" s="54"/>
      <c r="BJ35" s="55"/>
      <c r="BK35" s="55"/>
      <c r="BL35" s="55"/>
      <c r="BM35" s="55"/>
      <c r="BN35" s="55"/>
      <c r="BO35" s="55"/>
      <c r="BP35" s="55"/>
      <c r="BQ35" s="55"/>
      <c r="BR35" s="55"/>
      <c r="BS35" s="55"/>
      <c r="BT35" s="55"/>
      <c r="BU35" s="55"/>
      <c r="BV35" s="55"/>
      <c r="BW35" s="55"/>
      <c r="BX35" s="55"/>
      <c r="BY35" s="55"/>
      <c r="BZ35" s="55"/>
      <c r="CA35" s="55"/>
      <c r="CB35" s="55"/>
      <c r="CC35" s="55"/>
      <c r="CD35" s="55"/>
      <c r="CE35" s="55"/>
      <c r="CF35" s="55"/>
      <c r="CG35" s="55"/>
      <c r="CH35" s="55"/>
      <c r="CI35" s="55"/>
      <c r="CJ35" s="55"/>
      <c r="CK35" s="55"/>
      <c r="CL35" s="55"/>
      <c r="CM35" s="55"/>
      <c r="CN35" s="55"/>
      <c r="CO35" s="55"/>
      <c r="CP35" s="55"/>
      <c r="CQ35" s="55"/>
      <c r="CR35" s="55"/>
      <c r="CS35" s="55"/>
      <c r="CT35" s="55"/>
      <c r="CU35" s="55"/>
      <c r="CV35" s="56"/>
    </row>
    <row r="36" spans="1:100" s="82" customFormat="1" ht="19.5" customHeight="1" x14ac:dyDescent="0.35">
      <c r="B36" s="115"/>
      <c r="C36" s="115"/>
      <c r="D36" s="115"/>
      <c r="E36" s="11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5"/>
      <c r="U36" s="115"/>
      <c r="V36" s="115"/>
      <c r="W36" s="115"/>
      <c r="X36" s="115"/>
      <c r="Y36" s="115"/>
      <c r="Z36" s="115"/>
      <c r="AA36" s="115"/>
      <c r="AB36" s="115"/>
      <c r="AC36" s="115"/>
      <c r="AD36" s="115"/>
      <c r="AE36" s="115"/>
      <c r="AF36" s="115"/>
      <c r="AG36" s="115"/>
      <c r="AH36" s="115"/>
      <c r="AI36" s="115"/>
      <c r="AJ36" s="115"/>
      <c r="AK36" s="115"/>
      <c r="AL36" s="115"/>
      <c r="AM36" s="115"/>
      <c r="AN36" s="115"/>
      <c r="AO36" s="115"/>
      <c r="AP36" s="115"/>
      <c r="AQ36" s="115"/>
      <c r="AR36" s="115"/>
      <c r="AS36" s="115"/>
      <c r="AT36" s="115"/>
      <c r="AU36" s="115"/>
      <c r="AV36" s="115"/>
      <c r="AW36" s="115"/>
      <c r="AX36" s="115"/>
      <c r="AY36" s="115"/>
      <c r="AZ36" s="115"/>
      <c r="BA36" s="115"/>
      <c r="BB36" s="115"/>
      <c r="BC36" s="115"/>
      <c r="BD36" s="115"/>
      <c r="BE36" s="115"/>
      <c r="BF36" s="115"/>
      <c r="BG36" s="115"/>
      <c r="BH36" s="116"/>
    </row>
    <row r="37" spans="1:100" s="82" customFormat="1" ht="19.5" customHeight="1" x14ac:dyDescent="0.35">
      <c r="B37" s="80"/>
      <c r="C37" s="80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</row>
    <row r="38" spans="1:100" s="82" customFormat="1" ht="19.5" customHeight="1" x14ac:dyDescent="0.35">
      <c r="B38" s="80"/>
      <c r="C38" s="80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</row>
    <row r="39" spans="1:100" s="82" customFormat="1" ht="19.5" customHeight="1" x14ac:dyDescent="0.35">
      <c r="B39" s="80"/>
      <c r="C39" s="80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</row>
    <row r="40" spans="1:100" s="82" customFormat="1" ht="19.5" customHeight="1" x14ac:dyDescent="0.35">
      <c r="B40" s="80"/>
      <c r="C40" s="80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</row>
    <row r="41" spans="1:100" s="82" customFormat="1" ht="19.5" customHeight="1" x14ac:dyDescent="0.35">
      <c r="B41" s="80"/>
      <c r="C41" s="80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</row>
    <row r="42" spans="1:100" s="82" customFormat="1" ht="19.5" customHeight="1" x14ac:dyDescent="0.35">
      <c r="B42" s="80"/>
      <c r="C42" s="80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  <c r="O42" s="80"/>
      <c r="P42" s="80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</row>
    <row r="43" spans="1:100" s="82" customFormat="1" ht="19.5" customHeight="1" x14ac:dyDescent="0.35"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</row>
    <row r="44" spans="1:100" s="82" customFormat="1" ht="19.5" customHeight="1" x14ac:dyDescent="0.35">
      <c r="B44" s="80"/>
      <c r="C44" s="80"/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</row>
    <row r="45" spans="1:100" s="82" customFormat="1" ht="19.5" customHeight="1" x14ac:dyDescent="0.35">
      <c r="B45" s="80"/>
      <c r="C45" s="80"/>
      <c r="D45" s="80"/>
      <c r="E45" s="80"/>
      <c r="F45" s="80"/>
      <c r="G45" s="80"/>
      <c r="H45" s="80"/>
      <c r="I45" s="80"/>
      <c r="J45" s="80"/>
      <c r="K45" s="80"/>
      <c r="L45" s="80"/>
      <c r="M45" s="80"/>
      <c r="N45" s="80"/>
      <c r="O45" s="80"/>
      <c r="P45" s="80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</row>
    <row r="46" spans="1:100" s="82" customFormat="1" ht="19.5" customHeight="1" x14ac:dyDescent="0.35">
      <c r="B46" s="80"/>
      <c r="C46" s="80"/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</row>
    <row r="47" spans="1:100" s="82" customFormat="1" ht="19.5" customHeight="1" x14ac:dyDescent="0.35">
      <c r="B47" s="80"/>
      <c r="C47" s="80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</row>
    <row r="48" spans="1:100" s="82" customFormat="1" ht="19.5" customHeight="1" x14ac:dyDescent="0.35">
      <c r="B48" s="80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</row>
    <row r="49" spans="2:92" s="82" customFormat="1" ht="15.75" customHeight="1" x14ac:dyDescent="0.35">
      <c r="B49" s="80"/>
      <c r="C49" s="80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3"/>
    </row>
    <row r="50" spans="2:92" s="82" customFormat="1" ht="29.25" customHeight="1" x14ac:dyDescent="0.35">
      <c r="BH50" s="84"/>
      <c r="BI50" s="85"/>
      <c r="BJ50" s="86"/>
      <c r="BK50" s="86"/>
      <c r="BL50" s="86"/>
      <c r="BM50" s="86"/>
      <c r="BN50" s="84"/>
      <c r="BO50" s="84"/>
      <c r="BP50" s="84"/>
      <c r="BQ50" s="84"/>
      <c r="BR50" s="84"/>
      <c r="BS50" s="84"/>
      <c r="BT50" s="84"/>
      <c r="BU50" s="84"/>
      <c r="BV50" s="84"/>
      <c r="BW50" s="84"/>
      <c r="BX50" s="84"/>
      <c r="BY50" s="84"/>
      <c r="BZ50" s="84"/>
      <c r="CA50" s="84"/>
      <c r="CB50" s="84"/>
      <c r="CC50" s="84"/>
      <c r="CD50" s="84"/>
      <c r="CE50" s="84"/>
      <c r="CF50" s="84"/>
      <c r="CG50" s="84"/>
      <c r="CH50" s="84"/>
      <c r="CI50" s="84"/>
      <c r="CJ50" s="84"/>
      <c r="CK50" s="84"/>
      <c r="CL50" s="84"/>
      <c r="CM50" s="84"/>
      <c r="CN50" s="84"/>
    </row>
    <row r="51" spans="2:92" s="82" customFormat="1" ht="15.75" customHeight="1" x14ac:dyDescent="0.35">
      <c r="BH51" s="84"/>
      <c r="BI51" s="85"/>
      <c r="BJ51" s="86"/>
      <c r="BK51" s="86"/>
      <c r="BL51" s="86"/>
      <c r="BM51" s="86"/>
      <c r="BN51" s="84"/>
      <c r="BO51" s="84"/>
      <c r="BP51" s="84"/>
      <c r="BQ51" s="84"/>
      <c r="BR51" s="84"/>
      <c r="BS51" s="84"/>
      <c r="BT51" s="84"/>
      <c r="BU51" s="84"/>
      <c r="BV51" s="84"/>
      <c r="BW51" s="84"/>
      <c r="BX51" s="84"/>
      <c r="BY51" s="84"/>
      <c r="BZ51" s="84"/>
      <c r="CA51" s="84"/>
      <c r="CB51" s="84"/>
      <c r="CC51" s="84"/>
      <c r="CD51" s="84"/>
      <c r="CE51" s="84"/>
      <c r="CF51" s="84"/>
      <c r="CG51" s="84"/>
      <c r="CH51" s="84"/>
      <c r="CI51" s="84"/>
      <c r="CJ51" s="84"/>
      <c r="CK51" s="84"/>
      <c r="CL51" s="84"/>
      <c r="CM51" s="84"/>
      <c r="CN51" s="84"/>
    </row>
    <row r="52" spans="2:92" s="82" customFormat="1" ht="18" x14ac:dyDescent="0.35">
      <c r="BH52" s="84"/>
      <c r="BI52" s="85"/>
      <c r="BJ52" s="86"/>
      <c r="BK52" s="86"/>
      <c r="BL52" s="86"/>
      <c r="BM52" s="86"/>
      <c r="BN52" s="84"/>
      <c r="BO52" s="84"/>
      <c r="BP52" s="84"/>
      <c r="BQ52" s="84"/>
      <c r="BR52" s="84"/>
      <c r="BS52" s="84"/>
      <c r="BT52" s="84"/>
      <c r="BU52" s="84"/>
      <c r="BV52" s="84"/>
      <c r="BW52" s="84"/>
      <c r="BX52" s="84"/>
      <c r="BY52" s="84"/>
      <c r="BZ52" s="84"/>
      <c r="CA52" s="84"/>
      <c r="CB52" s="84"/>
      <c r="CC52" s="84"/>
      <c r="CD52" s="84"/>
      <c r="CE52" s="84"/>
      <c r="CF52" s="84"/>
      <c r="CG52" s="84"/>
      <c r="CH52" s="84"/>
      <c r="CI52" s="84"/>
      <c r="CJ52" s="84"/>
      <c r="CK52" s="84"/>
      <c r="CL52" s="84"/>
      <c r="CM52" s="84"/>
      <c r="CN52" s="84"/>
    </row>
    <row r="53" spans="2:92" s="82" customFormat="1" ht="18" x14ac:dyDescent="0.35">
      <c r="BH53" s="84"/>
      <c r="BI53" s="85"/>
      <c r="BJ53" s="86"/>
      <c r="BK53" s="86"/>
      <c r="BL53" s="86"/>
      <c r="BM53" s="86"/>
      <c r="BN53" s="84"/>
      <c r="BO53" s="84"/>
      <c r="BP53" s="84"/>
      <c r="BQ53" s="84"/>
      <c r="BR53" s="84"/>
      <c r="BS53" s="84"/>
      <c r="BT53" s="84"/>
      <c r="BU53" s="84"/>
      <c r="BV53" s="84"/>
      <c r="BW53" s="84"/>
      <c r="BX53" s="84"/>
      <c r="BY53" s="84"/>
      <c r="BZ53" s="84"/>
      <c r="CA53" s="84"/>
      <c r="CB53" s="84"/>
      <c r="CC53" s="84"/>
      <c r="CD53" s="84"/>
      <c r="CE53" s="84"/>
      <c r="CF53" s="84"/>
      <c r="CG53" s="84"/>
      <c r="CH53" s="84"/>
      <c r="CI53" s="84"/>
      <c r="CJ53" s="84"/>
      <c r="CK53" s="84"/>
      <c r="CL53" s="84"/>
      <c r="CM53" s="84"/>
      <c r="CN53" s="84"/>
    </row>
    <row r="54" spans="2:92" s="82" customFormat="1" ht="18" x14ac:dyDescent="0.35">
      <c r="BH54" s="84"/>
      <c r="BI54" s="85"/>
      <c r="BJ54" s="86"/>
      <c r="BK54" s="86"/>
      <c r="BL54" s="86"/>
      <c r="BM54" s="86"/>
      <c r="BN54" s="84"/>
      <c r="BO54" s="84"/>
      <c r="BP54" s="84"/>
      <c r="BQ54" s="84"/>
      <c r="BR54" s="84"/>
      <c r="BS54" s="84"/>
      <c r="BT54" s="84"/>
      <c r="BU54" s="84"/>
      <c r="BV54" s="84"/>
      <c r="BW54" s="84"/>
      <c r="BX54" s="84"/>
      <c r="BY54" s="84"/>
      <c r="BZ54" s="84"/>
      <c r="CA54" s="84"/>
      <c r="CB54" s="84"/>
      <c r="CC54" s="84"/>
      <c r="CD54" s="84"/>
      <c r="CE54" s="84"/>
      <c r="CF54" s="84"/>
      <c r="CG54" s="84"/>
      <c r="CH54" s="84"/>
      <c r="CI54" s="84"/>
      <c r="CJ54" s="84"/>
      <c r="CK54" s="84"/>
      <c r="CL54" s="84"/>
      <c r="CM54" s="84"/>
      <c r="CN54" s="84"/>
    </row>
    <row r="55" spans="2:92" ht="15.75" customHeight="1" x14ac:dyDescent="0.35">
      <c r="BH55"/>
      <c r="BI55" s="16"/>
      <c r="BJ55" s="10"/>
      <c r="BK55" s="10"/>
      <c r="BL55" s="10"/>
      <c r="BM55" s="10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</row>
    <row r="56" spans="2:92" ht="15.75" customHeight="1" x14ac:dyDescent="0.35">
      <c r="BH56"/>
      <c r="BI56" s="16"/>
      <c r="BJ56" s="10"/>
      <c r="BK56" s="10"/>
      <c r="BL56" s="10"/>
      <c r="BM56" s="10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</row>
    <row r="57" spans="2:92" ht="15.75" customHeight="1" x14ac:dyDescent="0.35">
      <c r="BH57"/>
      <c r="BI57" s="16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</row>
    <row r="58" spans="2:92" ht="15.75" customHeight="1" x14ac:dyDescent="0.35">
      <c r="BH58"/>
      <c r="BI58" s="16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</row>
    <row r="59" spans="2:92" ht="15.75" customHeight="1" x14ac:dyDescent="0.35">
      <c r="BH59"/>
      <c r="BI59" s="16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</row>
    <row r="60" spans="2:92" ht="15.75" customHeight="1" x14ac:dyDescent="0.35">
      <c r="BH60"/>
      <c r="BI60" s="16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</row>
    <row r="61" spans="2:92" ht="15.75" customHeight="1" x14ac:dyDescent="0.35">
      <c r="BH61"/>
      <c r="BI61" s="16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</row>
    <row r="62" spans="2:92" ht="15.75" customHeight="1" x14ac:dyDescent="0.35">
      <c r="BH62"/>
      <c r="BI62" s="16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</row>
    <row r="63" spans="2:92" ht="15.75" customHeight="1" x14ac:dyDescent="0.35">
      <c r="BH63"/>
      <c r="BI63" s="16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</row>
    <row r="64" spans="2:92" ht="15.75" customHeight="1" x14ac:dyDescent="0.35">
      <c r="BH64"/>
      <c r="BI64" s="16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</row>
    <row r="65" spans="60:92" ht="15.75" customHeight="1" x14ac:dyDescent="0.35">
      <c r="BH65"/>
      <c r="BI65" s="16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</row>
    <row r="66" spans="60:92" ht="15.75" customHeight="1" x14ac:dyDescent="0.35">
      <c r="BH66"/>
      <c r="BI66" s="1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</row>
    <row r="67" spans="60:92" ht="15.75" customHeight="1" x14ac:dyDescent="0.35">
      <c r="BH67"/>
      <c r="BI67" s="16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</row>
    <row r="68" spans="60:92" ht="15.75" customHeight="1" x14ac:dyDescent="0.35">
      <c r="BH68"/>
      <c r="BI68" s="16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</row>
    <row r="69" spans="60:92" ht="15.75" customHeight="1" x14ac:dyDescent="0.35">
      <c r="BH69"/>
      <c r="BI69" s="16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</row>
    <row r="70" spans="60:92" ht="15.75" customHeight="1" x14ac:dyDescent="0.35">
      <c r="BH70"/>
      <c r="BI70" s="16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</row>
    <row r="71" spans="60:92" ht="15.75" customHeight="1" x14ac:dyDescent="0.35">
      <c r="BH71"/>
      <c r="BI71" s="16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</row>
    <row r="72" spans="60:92" ht="15.75" customHeight="1" x14ac:dyDescent="0.35">
      <c r="BH72"/>
      <c r="BI72" s="16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</row>
    <row r="73" spans="60:92" ht="15.75" customHeight="1" x14ac:dyDescent="0.35">
      <c r="BH73"/>
      <c r="BI73" s="16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</row>
    <row r="74" spans="60:92" ht="15.75" customHeight="1" x14ac:dyDescent="0.35">
      <c r="BH74"/>
      <c r="BI74" s="16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</row>
    <row r="75" spans="60:92" ht="15.75" customHeight="1" x14ac:dyDescent="0.35">
      <c r="BH75"/>
      <c r="BI75" s="16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</row>
    <row r="76" spans="60:92" ht="15.75" customHeight="1" x14ac:dyDescent="0.35">
      <c r="BH76"/>
      <c r="BI76" s="1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</row>
    <row r="77" spans="60:92" ht="15.75" customHeight="1" x14ac:dyDescent="0.35">
      <c r="BH77"/>
      <c r="BI77" s="16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</row>
    <row r="78" spans="60:92" ht="15.75" customHeight="1" x14ac:dyDescent="0.35">
      <c r="BH78"/>
      <c r="BI78" s="16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</row>
    <row r="79" spans="60:92" ht="15.75" customHeight="1" x14ac:dyDescent="0.35">
      <c r="BH79"/>
      <c r="BI79" s="16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</row>
    <row r="80" spans="60:92" ht="15.75" customHeight="1" x14ac:dyDescent="0.35">
      <c r="BH80"/>
      <c r="BI80" s="16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</row>
    <row r="81" spans="60:92" ht="15.75" customHeight="1" x14ac:dyDescent="0.35">
      <c r="BH81"/>
      <c r="BI81" s="16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</row>
    <row r="82" spans="60:92" ht="15.75" customHeight="1" x14ac:dyDescent="0.35">
      <c r="BH82"/>
      <c r="BI82" s="16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</row>
    <row r="83" spans="60:92" ht="15.75" customHeight="1" x14ac:dyDescent="0.35">
      <c r="BH83"/>
      <c r="BI83" s="16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</row>
    <row r="84" spans="60:92" ht="15.75" customHeight="1" x14ac:dyDescent="0.35">
      <c r="BH84"/>
      <c r="BI84" s="16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</row>
    <row r="85" spans="60:92" ht="15.75" customHeight="1" x14ac:dyDescent="0.35">
      <c r="BH85"/>
      <c r="BI85" s="16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</row>
    <row r="86" spans="60:92" ht="15.75" customHeight="1" x14ac:dyDescent="0.35">
      <c r="BH86"/>
      <c r="BI86" s="1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</row>
    <row r="87" spans="60:92" ht="15.75" customHeight="1" x14ac:dyDescent="0.35">
      <c r="BH87"/>
      <c r="BI87" s="16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</row>
    <row r="88" spans="60:92" ht="15.75" customHeight="1" x14ac:dyDescent="0.35">
      <c r="BH88"/>
      <c r="BI88" s="16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</row>
    <row r="89" spans="60:92" ht="15.75" customHeight="1" x14ac:dyDescent="0.35">
      <c r="BH89"/>
      <c r="BI89" s="16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</row>
    <row r="90" spans="60:92" ht="15.75" customHeight="1" x14ac:dyDescent="0.35">
      <c r="BH90"/>
      <c r="BI90" s="16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</row>
    <row r="91" spans="60:92" ht="15.75" customHeight="1" x14ac:dyDescent="0.35">
      <c r="BH91"/>
      <c r="BI91" s="16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</row>
    <row r="92" spans="60:92" ht="15.75" customHeight="1" x14ac:dyDescent="0.35">
      <c r="BH92"/>
      <c r="BI92" s="16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</row>
    <row r="93" spans="60:92" ht="15.75" customHeight="1" x14ac:dyDescent="0.35">
      <c r="BH93"/>
      <c r="BI93" s="16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</row>
    <row r="94" spans="60:92" ht="15.75" customHeight="1" x14ac:dyDescent="0.35">
      <c r="BH94"/>
      <c r="BI94" s="16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</row>
    <row r="95" spans="60:92" ht="15.75" customHeight="1" x14ac:dyDescent="0.35">
      <c r="BH95"/>
      <c r="BI95" s="16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</row>
    <row r="96" spans="60:92" ht="15.75" customHeight="1" x14ac:dyDescent="0.35">
      <c r="BH96"/>
      <c r="BI96" s="1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</row>
    <row r="97" spans="60:92" ht="15.75" customHeight="1" x14ac:dyDescent="0.35">
      <c r="BH97"/>
      <c r="BI97" s="16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</row>
    <row r="98" spans="60:92" ht="15.75" customHeight="1" x14ac:dyDescent="0.45">
      <c r="BK98" s="2"/>
      <c r="BL98" s="2"/>
    </row>
    <row r="99" spans="60:92" ht="15.75" customHeight="1" x14ac:dyDescent="0.45">
      <c r="BK99" s="2"/>
      <c r="BL99" s="2"/>
    </row>
    <row r="100" spans="60:92" ht="15.75" customHeight="1" x14ac:dyDescent="0.45">
      <c r="BK100" s="2"/>
      <c r="BL100" s="2"/>
    </row>
    <row r="101" spans="60:92" ht="15.75" customHeight="1" x14ac:dyDescent="0.45">
      <c r="BK101" s="2"/>
      <c r="BL101" s="2"/>
    </row>
    <row r="102" spans="60:92" ht="15.75" customHeight="1" x14ac:dyDescent="0.45">
      <c r="BK102" s="2"/>
      <c r="BL102" s="2"/>
    </row>
    <row r="103" spans="60:92" ht="15.75" customHeight="1" x14ac:dyDescent="0.45">
      <c r="BK103" s="2"/>
      <c r="BL103" s="2"/>
    </row>
    <row r="104" spans="60:92" ht="15.75" customHeight="1" x14ac:dyDescent="0.45">
      <c r="BK104" s="2"/>
      <c r="BL104" s="2"/>
    </row>
    <row r="105" spans="60:92" ht="15.75" customHeight="1" x14ac:dyDescent="0.45">
      <c r="BK105" s="2"/>
      <c r="BL105" s="2"/>
    </row>
    <row r="106" spans="60:92" ht="15.75" customHeight="1" x14ac:dyDescent="0.45">
      <c r="BK106" s="2"/>
      <c r="BL106" s="2"/>
    </row>
    <row r="107" spans="60:92" ht="15.75" customHeight="1" x14ac:dyDescent="0.45">
      <c r="BK107" s="2"/>
      <c r="BL107" s="2"/>
    </row>
    <row r="108" spans="60:92" ht="15.75" customHeight="1" x14ac:dyDescent="0.45">
      <c r="BK108" s="2"/>
      <c r="BL108" s="2"/>
    </row>
    <row r="109" spans="60:92" ht="15.75" customHeight="1" x14ac:dyDescent="0.45">
      <c r="BK109" s="2"/>
      <c r="BL109" s="2"/>
    </row>
    <row r="110" spans="60:92" ht="15.75" customHeight="1" x14ac:dyDescent="0.45">
      <c r="BK110" s="2"/>
      <c r="BL110" s="2"/>
    </row>
    <row r="111" spans="60:92" ht="15.75" customHeight="1" x14ac:dyDescent="0.45">
      <c r="BK111" s="2"/>
      <c r="BL111" s="2"/>
    </row>
    <row r="112" spans="60:92" ht="15.75" customHeight="1" x14ac:dyDescent="0.45">
      <c r="BK112" s="2"/>
      <c r="BL112" s="2"/>
    </row>
    <row r="113" spans="63:64" ht="15.75" customHeight="1" x14ac:dyDescent="0.45">
      <c r="BK113" s="2"/>
      <c r="BL113" s="2"/>
    </row>
    <row r="114" spans="63:64" ht="15.75" customHeight="1" x14ac:dyDescent="0.45">
      <c r="BK114" s="2"/>
      <c r="BL114" s="2"/>
    </row>
    <row r="115" spans="63:64" ht="15.75" customHeight="1" x14ac:dyDescent="0.45">
      <c r="BK115" s="2"/>
      <c r="BL115" s="2"/>
    </row>
    <row r="116" spans="63:64" ht="15.75" customHeight="1" x14ac:dyDescent="0.45">
      <c r="BK116" s="2"/>
      <c r="BL116" s="2"/>
    </row>
    <row r="117" spans="63:64" ht="15.75" customHeight="1" x14ac:dyDescent="0.45">
      <c r="BK117" s="2"/>
      <c r="BL117" s="2"/>
    </row>
    <row r="118" spans="63:64" ht="15.75" customHeight="1" x14ac:dyDescent="0.45">
      <c r="BK118" s="2"/>
      <c r="BL118" s="2"/>
    </row>
    <row r="119" spans="63:64" ht="15.75" customHeight="1" x14ac:dyDescent="0.45">
      <c r="BK119" s="2"/>
      <c r="BL119" s="2"/>
    </row>
    <row r="120" spans="63:64" ht="15.75" customHeight="1" x14ac:dyDescent="0.45">
      <c r="BK120" s="2"/>
      <c r="BL120" s="2"/>
    </row>
    <row r="121" spans="63:64" ht="15.75" customHeight="1" x14ac:dyDescent="0.45">
      <c r="BK121" s="2"/>
      <c r="BL121" s="2"/>
    </row>
    <row r="122" spans="63:64" ht="15.75" customHeight="1" x14ac:dyDescent="0.45">
      <c r="BK122" s="2"/>
      <c r="BL122" s="2"/>
    </row>
    <row r="123" spans="63:64" ht="15.75" customHeight="1" x14ac:dyDescent="0.45">
      <c r="BK123" s="2"/>
      <c r="BL123" s="2"/>
    </row>
    <row r="124" spans="63:64" ht="15.75" customHeight="1" x14ac:dyDescent="0.45">
      <c r="BK124" s="2"/>
      <c r="BL124" s="2"/>
    </row>
    <row r="125" spans="63:64" ht="15.75" customHeight="1" x14ac:dyDescent="0.45">
      <c r="BK125" s="2"/>
      <c r="BL125" s="2"/>
    </row>
    <row r="126" spans="63:64" ht="15.75" customHeight="1" x14ac:dyDescent="0.45">
      <c r="BK126" s="2"/>
      <c r="BL126" s="2"/>
    </row>
    <row r="127" spans="63:64" ht="15.75" customHeight="1" x14ac:dyDescent="0.45">
      <c r="BK127" s="2"/>
      <c r="BL127" s="2"/>
    </row>
    <row r="128" spans="63:64" ht="15.75" customHeight="1" x14ac:dyDescent="0.45">
      <c r="BK128" s="2"/>
      <c r="BL128" s="2"/>
    </row>
    <row r="129" spans="63:64" ht="15.75" customHeight="1" x14ac:dyDescent="0.45">
      <c r="BK129" s="2"/>
      <c r="BL129" s="2"/>
    </row>
    <row r="130" spans="63:64" ht="15.75" customHeight="1" x14ac:dyDescent="0.45">
      <c r="BK130" s="2"/>
      <c r="BL130" s="2"/>
    </row>
    <row r="131" spans="63:64" ht="15.75" customHeight="1" x14ac:dyDescent="0.45">
      <c r="BK131" s="2"/>
      <c r="BL131" s="2"/>
    </row>
    <row r="132" spans="63:64" ht="15.75" customHeight="1" x14ac:dyDescent="0.45">
      <c r="BK132" s="2"/>
      <c r="BL132" s="2"/>
    </row>
    <row r="133" spans="63:64" ht="15.75" customHeight="1" x14ac:dyDescent="0.45">
      <c r="BK133" s="2"/>
      <c r="BL133" s="2"/>
    </row>
    <row r="134" spans="63:64" ht="15.75" customHeight="1" x14ac:dyDescent="0.45">
      <c r="BK134" s="2"/>
      <c r="BL134" s="2"/>
    </row>
    <row r="135" spans="63:64" ht="15.75" customHeight="1" x14ac:dyDescent="0.45">
      <c r="BK135" s="2"/>
      <c r="BL135" s="2"/>
    </row>
    <row r="136" spans="63:64" ht="15.75" customHeight="1" x14ac:dyDescent="0.45">
      <c r="BK136" s="2"/>
      <c r="BL136" s="2"/>
    </row>
    <row r="137" spans="63:64" ht="15.75" customHeight="1" x14ac:dyDescent="0.45">
      <c r="BK137" s="2"/>
      <c r="BL137" s="2"/>
    </row>
    <row r="138" spans="63:64" ht="15.75" customHeight="1" x14ac:dyDescent="0.45">
      <c r="BK138" s="2"/>
      <c r="BL138" s="2"/>
    </row>
    <row r="139" spans="63:64" ht="15.75" customHeight="1" x14ac:dyDescent="0.45">
      <c r="BK139" s="2"/>
      <c r="BL139" s="2"/>
    </row>
    <row r="140" spans="63:64" ht="15.75" customHeight="1" x14ac:dyDescent="0.45">
      <c r="BK140" s="2"/>
      <c r="BL140" s="2"/>
    </row>
    <row r="141" spans="63:64" ht="15.75" customHeight="1" x14ac:dyDescent="0.45">
      <c r="BK141" s="2"/>
      <c r="BL141" s="2"/>
    </row>
    <row r="142" spans="63:64" ht="15.75" customHeight="1" x14ac:dyDescent="0.45">
      <c r="BK142" s="2"/>
      <c r="BL142" s="2"/>
    </row>
    <row r="143" spans="63:64" ht="15.75" customHeight="1" x14ac:dyDescent="0.45">
      <c r="BK143" s="2"/>
      <c r="BL143" s="2"/>
    </row>
    <row r="144" spans="63:64" ht="15.75" customHeight="1" x14ac:dyDescent="0.45">
      <c r="BK144" s="2"/>
      <c r="BL144" s="2"/>
    </row>
    <row r="145" spans="63:64" ht="15.75" customHeight="1" x14ac:dyDescent="0.45">
      <c r="BK145" s="2"/>
      <c r="BL145" s="2"/>
    </row>
    <row r="146" spans="63:64" ht="15.75" customHeight="1" x14ac:dyDescent="0.45">
      <c r="BK146" s="2"/>
      <c r="BL146" s="2"/>
    </row>
    <row r="147" spans="63:64" ht="15.75" customHeight="1" x14ac:dyDescent="0.45">
      <c r="BK147" s="2"/>
      <c r="BL147" s="2"/>
    </row>
    <row r="148" spans="63:64" ht="15.75" customHeight="1" x14ac:dyDescent="0.45">
      <c r="BK148" s="2"/>
      <c r="BL148" s="2"/>
    </row>
    <row r="149" spans="63:64" ht="15.75" customHeight="1" x14ac:dyDescent="0.45">
      <c r="BK149" s="2"/>
      <c r="BL149" s="2"/>
    </row>
    <row r="150" spans="63:64" ht="15.75" customHeight="1" x14ac:dyDescent="0.45">
      <c r="BK150" s="2"/>
      <c r="BL150" s="2"/>
    </row>
    <row r="151" spans="63:64" ht="15.75" customHeight="1" x14ac:dyDescent="0.45">
      <c r="BK151" s="2"/>
      <c r="BL151" s="2"/>
    </row>
    <row r="152" spans="63:64" ht="15.75" customHeight="1" x14ac:dyDescent="0.45">
      <c r="BK152" s="2"/>
      <c r="BL152" s="2"/>
    </row>
    <row r="153" spans="63:64" ht="15.75" customHeight="1" x14ac:dyDescent="0.45">
      <c r="BK153" s="2"/>
      <c r="BL153" s="2"/>
    </row>
    <row r="154" spans="63:64" ht="15.75" customHeight="1" x14ac:dyDescent="0.45">
      <c r="BK154" s="2"/>
      <c r="BL154" s="2"/>
    </row>
    <row r="155" spans="63:64" ht="15.75" customHeight="1" x14ac:dyDescent="0.45">
      <c r="BK155" s="2"/>
      <c r="BL155" s="2"/>
    </row>
    <row r="156" spans="63:64" ht="15.75" customHeight="1" x14ac:dyDescent="0.45">
      <c r="BK156" s="2"/>
      <c r="BL156" s="2"/>
    </row>
    <row r="157" spans="63:64" ht="15.75" customHeight="1" x14ac:dyDescent="0.45">
      <c r="BK157" s="2"/>
      <c r="BL157" s="2"/>
    </row>
    <row r="158" spans="63:64" ht="15.75" customHeight="1" x14ac:dyDescent="0.45">
      <c r="BK158" s="2"/>
      <c r="BL158" s="2"/>
    </row>
    <row r="159" spans="63:64" ht="15.75" customHeight="1" x14ac:dyDescent="0.45">
      <c r="BK159" s="2"/>
      <c r="BL159" s="2"/>
    </row>
    <row r="160" spans="63:64" ht="15.75" customHeight="1" x14ac:dyDescent="0.45">
      <c r="BK160" s="2"/>
      <c r="BL160" s="2"/>
    </row>
    <row r="161" spans="63:64" ht="15.75" customHeight="1" x14ac:dyDescent="0.45">
      <c r="BK161" s="2"/>
      <c r="BL161" s="2"/>
    </row>
    <row r="162" spans="63:64" ht="15.75" customHeight="1" x14ac:dyDescent="0.45">
      <c r="BK162" s="2"/>
      <c r="BL162" s="2"/>
    </row>
    <row r="163" spans="63:64" ht="15.75" customHeight="1" x14ac:dyDescent="0.45">
      <c r="BK163" s="2"/>
      <c r="BL163" s="2"/>
    </row>
    <row r="164" spans="63:64" ht="15.75" customHeight="1" x14ac:dyDescent="0.45">
      <c r="BK164" s="2"/>
      <c r="BL164" s="2"/>
    </row>
    <row r="165" spans="63:64" ht="15.75" customHeight="1" x14ac:dyDescent="0.45">
      <c r="BK165" s="2"/>
      <c r="BL165" s="2"/>
    </row>
    <row r="166" spans="63:64" ht="15.75" customHeight="1" x14ac:dyDescent="0.45">
      <c r="BK166" s="2"/>
      <c r="BL166" s="2"/>
    </row>
    <row r="167" spans="63:64" ht="15.75" customHeight="1" x14ac:dyDescent="0.45">
      <c r="BK167" s="2"/>
      <c r="BL167" s="2"/>
    </row>
    <row r="168" spans="63:64" ht="15.75" customHeight="1" x14ac:dyDescent="0.45">
      <c r="BK168" s="2"/>
      <c r="BL168" s="2"/>
    </row>
    <row r="169" spans="63:64" ht="15.75" customHeight="1" x14ac:dyDescent="0.45">
      <c r="BK169" s="2"/>
      <c r="BL169" s="2"/>
    </row>
    <row r="170" spans="63:64" ht="15.75" customHeight="1" x14ac:dyDescent="0.45">
      <c r="BK170" s="2"/>
      <c r="BL170" s="2"/>
    </row>
    <row r="171" spans="63:64" ht="15.75" customHeight="1" x14ac:dyDescent="0.45">
      <c r="BK171" s="2"/>
      <c r="BL171" s="2"/>
    </row>
    <row r="172" spans="63:64" ht="15.75" customHeight="1" x14ac:dyDescent="0.45">
      <c r="BK172" s="2"/>
      <c r="BL172" s="2"/>
    </row>
    <row r="173" spans="63:64" ht="15.75" customHeight="1" x14ac:dyDescent="0.45">
      <c r="BK173" s="2"/>
      <c r="BL173" s="2"/>
    </row>
    <row r="174" spans="63:64" ht="15.75" customHeight="1" x14ac:dyDescent="0.45">
      <c r="BK174" s="2"/>
      <c r="BL174" s="2"/>
    </row>
    <row r="175" spans="63:64" ht="15.75" customHeight="1" x14ac:dyDescent="0.45">
      <c r="BK175" s="2"/>
      <c r="BL175" s="2"/>
    </row>
    <row r="176" spans="63:64" ht="15.75" customHeight="1" x14ac:dyDescent="0.45">
      <c r="BK176" s="2"/>
      <c r="BL176" s="2"/>
    </row>
    <row r="177" spans="63:64" ht="15.75" customHeight="1" x14ac:dyDescent="0.45">
      <c r="BK177" s="2"/>
      <c r="BL177" s="2"/>
    </row>
    <row r="178" spans="63:64" ht="15.75" customHeight="1" x14ac:dyDescent="0.45">
      <c r="BK178" s="2"/>
      <c r="BL178" s="2"/>
    </row>
    <row r="179" spans="63:64" ht="15.75" customHeight="1" x14ac:dyDescent="0.45">
      <c r="BK179" s="2"/>
      <c r="BL179" s="2"/>
    </row>
    <row r="180" spans="63:64" ht="15.75" customHeight="1" x14ac:dyDescent="0.45">
      <c r="BK180" s="2"/>
      <c r="BL180" s="2"/>
    </row>
    <row r="181" spans="63:64" ht="15.75" customHeight="1" x14ac:dyDescent="0.45">
      <c r="BK181" s="2"/>
      <c r="BL181" s="2"/>
    </row>
    <row r="182" spans="63:64" ht="15.75" customHeight="1" x14ac:dyDescent="0.45">
      <c r="BK182" s="2"/>
      <c r="BL182" s="2"/>
    </row>
    <row r="183" spans="63:64" ht="15.75" customHeight="1" x14ac:dyDescent="0.45">
      <c r="BK183" s="2"/>
      <c r="BL183" s="2"/>
    </row>
    <row r="184" spans="63:64" ht="15.75" customHeight="1" x14ac:dyDescent="0.45">
      <c r="BK184" s="2"/>
      <c r="BL184" s="2"/>
    </row>
    <row r="185" spans="63:64" ht="15.75" customHeight="1" x14ac:dyDescent="0.45">
      <c r="BK185" s="2"/>
      <c r="BL185" s="2"/>
    </row>
    <row r="186" spans="63:64" ht="15.75" customHeight="1" x14ac:dyDescent="0.45">
      <c r="BK186" s="2"/>
      <c r="BL186" s="2"/>
    </row>
    <row r="187" spans="63:64" ht="15.75" customHeight="1" x14ac:dyDescent="0.45">
      <c r="BK187" s="2"/>
      <c r="BL187" s="2"/>
    </row>
    <row r="188" spans="63:64" ht="15.75" customHeight="1" x14ac:dyDescent="0.45">
      <c r="BK188" s="2"/>
      <c r="BL188" s="2"/>
    </row>
    <row r="189" spans="63:64" ht="15.75" customHeight="1" x14ac:dyDescent="0.45">
      <c r="BK189" s="2"/>
      <c r="BL189" s="2"/>
    </row>
    <row r="190" spans="63:64" ht="15.75" customHeight="1" x14ac:dyDescent="0.45">
      <c r="BK190" s="2"/>
      <c r="BL190" s="2"/>
    </row>
    <row r="191" spans="63:64" ht="15.75" customHeight="1" x14ac:dyDescent="0.45">
      <c r="BK191" s="2"/>
      <c r="BL191" s="2"/>
    </row>
    <row r="192" spans="63:64" ht="15.75" customHeight="1" x14ac:dyDescent="0.45">
      <c r="BK192" s="2"/>
      <c r="BL192" s="2"/>
    </row>
    <row r="193" spans="63:64" ht="15.75" customHeight="1" x14ac:dyDescent="0.45">
      <c r="BK193" s="2"/>
      <c r="BL193" s="2"/>
    </row>
    <row r="194" spans="63:64" ht="15.75" customHeight="1" x14ac:dyDescent="0.45">
      <c r="BK194" s="2"/>
      <c r="BL194" s="2"/>
    </row>
    <row r="195" spans="63:64" ht="15.75" customHeight="1" x14ac:dyDescent="0.45">
      <c r="BK195" s="2"/>
      <c r="BL195" s="2"/>
    </row>
    <row r="196" spans="63:64" ht="15.75" customHeight="1" x14ac:dyDescent="0.45">
      <c r="BK196" s="2"/>
      <c r="BL196" s="2"/>
    </row>
    <row r="197" spans="63:64" ht="15.75" customHeight="1" x14ac:dyDescent="0.45">
      <c r="BK197" s="2"/>
      <c r="BL197" s="2"/>
    </row>
    <row r="198" spans="63:64" ht="15.75" customHeight="1" x14ac:dyDescent="0.45">
      <c r="BK198" s="2"/>
      <c r="BL198" s="2"/>
    </row>
    <row r="199" spans="63:64" ht="15.75" customHeight="1" x14ac:dyDescent="0.45">
      <c r="BK199" s="2"/>
      <c r="BL199" s="2"/>
    </row>
    <row r="200" spans="63:64" ht="15.75" customHeight="1" x14ac:dyDescent="0.45">
      <c r="BK200" s="2"/>
      <c r="BL200" s="2"/>
    </row>
    <row r="201" spans="63:64" ht="15.75" customHeight="1" x14ac:dyDescent="0.45">
      <c r="BK201" s="2"/>
      <c r="BL201" s="2"/>
    </row>
    <row r="202" spans="63:64" ht="15.75" customHeight="1" x14ac:dyDescent="0.45">
      <c r="BK202" s="2"/>
      <c r="BL202" s="2"/>
    </row>
    <row r="203" spans="63:64" ht="15.75" customHeight="1" x14ac:dyDescent="0.45">
      <c r="BK203" s="2"/>
      <c r="BL203" s="2"/>
    </row>
    <row r="204" spans="63:64" ht="15.75" customHeight="1" x14ac:dyDescent="0.45">
      <c r="BK204" s="2"/>
      <c r="BL204" s="2"/>
    </row>
    <row r="205" spans="63:64" ht="15.75" customHeight="1" x14ac:dyDescent="0.45">
      <c r="BK205" s="2"/>
      <c r="BL205" s="2"/>
    </row>
    <row r="206" spans="63:64" ht="15.75" customHeight="1" x14ac:dyDescent="0.45">
      <c r="BK206" s="2"/>
      <c r="BL206" s="2"/>
    </row>
    <row r="207" spans="63:64" ht="15.75" customHeight="1" x14ac:dyDescent="0.45">
      <c r="BK207" s="2"/>
      <c r="BL207" s="2"/>
    </row>
    <row r="208" spans="63:64" ht="15.75" customHeight="1" x14ac:dyDescent="0.45">
      <c r="BK208" s="2"/>
      <c r="BL208" s="2"/>
    </row>
    <row r="209" spans="63:64" ht="15.75" customHeight="1" x14ac:dyDescent="0.45">
      <c r="BK209" s="2"/>
      <c r="BL209" s="2"/>
    </row>
    <row r="210" spans="63:64" ht="15.75" customHeight="1" x14ac:dyDescent="0.45">
      <c r="BK210" s="2"/>
      <c r="BL210" s="2"/>
    </row>
    <row r="211" spans="63:64" ht="15.75" customHeight="1" x14ac:dyDescent="0.45">
      <c r="BK211" s="2"/>
      <c r="BL211" s="2"/>
    </row>
    <row r="212" spans="63:64" ht="15.75" customHeight="1" x14ac:dyDescent="0.45">
      <c r="BK212" s="2"/>
      <c r="BL212" s="2"/>
    </row>
    <row r="213" spans="63:64" ht="15.75" customHeight="1" x14ac:dyDescent="0.45">
      <c r="BK213" s="2"/>
      <c r="BL213" s="2"/>
    </row>
    <row r="214" spans="63:64" ht="15.75" customHeight="1" x14ac:dyDescent="0.45">
      <c r="BK214" s="2"/>
      <c r="BL214" s="2"/>
    </row>
    <row r="215" spans="63:64" ht="15.75" customHeight="1" x14ac:dyDescent="0.45">
      <c r="BK215" s="2"/>
      <c r="BL215" s="2"/>
    </row>
    <row r="216" spans="63:64" ht="15.75" customHeight="1" x14ac:dyDescent="0.45">
      <c r="BK216" s="2"/>
      <c r="BL216" s="2"/>
    </row>
    <row r="217" spans="63:64" ht="15.75" customHeight="1" x14ac:dyDescent="0.45">
      <c r="BK217" s="2"/>
      <c r="BL217" s="2"/>
    </row>
    <row r="218" spans="63:64" ht="15.75" customHeight="1" x14ac:dyDescent="0.45">
      <c r="BK218" s="2"/>
      <c r="BL218" s="2"/>
    </row>
    <row r="219" spans="63:64" ht="15.75" customHeight="1" x14ac:dyDescent="0.45">
      <c r="BK219" s="2"/>
      <c r="BL219" s="2"/>
    </row>
    <row r="220" spans="63:64" ht="15.75" customHeight="1" x14ac:dyDescent="0.45">
      <c r="BK220" s="2"/>
      <c r="BL220" s="2"/>
    </row>
    <row r="221" spans="63:64" ht="15.75" customHeight="1" x14ac:dyDescent="0.45">
      <c r="BK221" s="2"/>
      <c r="BL221" s="2"/>
    </row>
    <row r="222" spans="63:64" ht="15.75" customHeight="1" x14ac:dyDescent="0.45">
      <c r="BK222" s="2"/>
      <c r="BL222" s="2"/>
    </row>
    <row r="223" spans="63:64" ht="15.75" customHeight="1" x14ac:dyDescent="0.45">
      <c r="BK223" s="2"/>
      <c r="BL223" s="2"/>
    </row>
    <row r="224" spans="63:64" ht="15.75" customHeight="1" x14ac:dyDescent="0.45">
      <c r="BK224" s="2"/>
      <c r="BL224" s="2"/>
    </row>
    <row r="225" spans="63:64" ht="15.75" customHeight="1" x14ac:dyDescent="0.45">
      <c r="BK225" s="2"/>
      <c r="BL225" s="2"/>
    </row>
    <row r="226" spans="63:64" ht="15.75" customHeight="1" x14ac:dyDescent="0.45">
      <c r="BK226" s="2"/>
      <c r="BL226" s="2"/>
    </row>
    <row r="227" spans="63:64" ht="15.75" customHeight="1" x14ac:dyDescent="0.45">
      <c r="BK227" s="2"/>
      <c r="BL227" s="2"/>
    </row>
    <row r="228" spans="63:64" ht="15.75" customHeight="1" x14ac:dyDescent="0.45">
      <c r="BK228" s="2"/>
      <c r="BL228" s="2"/>
    </row>
    <row r="229" spans="63:64" ht="15.75" customHeight="1" x14ac:dyDescent="0.45">
      <c r="BK229" s="2"/>
      <c r="BL229" s="2"/>
    </row>
    <row r="230" spans="63:64" ht="15.75" customHeight="1" x14ac:dyDescent="0.45">
      <c r="BK230" s="2"/>
      <c r="BL230" s="2"/>
    </row>
    <row r="231" spans="63:64" ht="15.75" customHeight="1" x14ac:dyDescent="0.45">
      <c r="BK231" s="2"/>
      <c r="BL231" s="2"/>
    </row>
    <row r="232" spans="63:64" ht="15.75" customHeight="1" x14ac:dyDescent="0.45">
      <c r="BK232" s="2"/>
      <c r="BL232" s="2"/>
    </row>
    <row r="233" spans="63:64" ht="15.75" customHeight="1" x14ac:dyDescent="0.45">
      <c r="BK233" s="2"/>
      <c r="BL233" s="2"/>
    </row>
    <row r="234" spans="63:64" ht="15.75" customHeight="1" x14ac:dyDescent="0.45">
      <c r="BK234" s="2"/>
      <c r="BL234" s="2"/>
    </row>
    <row r="235" spans="63:64" ht="15.75" customHeight="1" x14ac:dyDescent="0.45">
      <c r="BK235" s="2"/>
      <c r="BL235" s="2"/>
    </row>
    <row r="236" spans="63:64" ht="15.75" customHeight="1" x14ac:dyDescent="0.45">
      <c r="BK236" s="2"/>
      <c r="BL236" s="2"/>
    </row>
    <row r="237" spans="63:64" ht="15.75" customHeight="1" x14ac:dyDescent="0.45">
      <c r="BK237" s="2"/>
      <c r="BL237" s="2"/>
    </row>
    <row r="238" spans="63:64" ht="15.75" customHeight="1" x14ac:dyDescent="0.45">
      <c r="BK238" s="2"/>
      <c r="BL238" s="2"/>
    </row>
    <row r="239" spans="63:64" ht="15.75" customHeight="1" x14ac:dyDescent="0.45">
      <c r="BK239" s="2"/>
      <c r="BL239" s="2"/>
    </row>
    <row r="240" spans="63:64" ht="15.75" customHeight="1" x14ac:dyDescent="0.45">
      <c r="BK240" s="2"/>
      <c r="BL240" s="2"/>
    </row>
    <row r="241" spans="63:64" ht="15.75" customHeight="1" x14ac:dyDescent="0.45">
      <c r="BK241" s="2"/>
      <c r="BL241" s="2"/>
    </row>
    <row r="242" spans="63:64" ht="15.75" customHeight="1" x14ac:dyDescent="0.45">
      <c r="BK242" s="2"/>
      <c r="BL242" s="2"/>
    </row>
    <row r="243" spans="63:64" ht="15.75" customHeight="1" x14ac:dyDescent="0.45">
      <c r="BK243" s="2"/>
      <c r="BL243" s="2"/>
    </row>
    <row r="244" spans="63:64" ht="15.75" customHeight="1" x14ac:dyDescent="0.45">
      <c r="BK244" s="2"/>
      <c r="BL244" s="2"/>
    </row>
    <row r="245" spans="63:64" ht="15.75" customHeight="1" x14ac:dyDescent="0.45">
      <c r="BK245" s="2"/>
      <c r="BL245" s="2"/>
    </row>
    <row r="246" spans="63:64" x14ac:dyDescent="0.45">
      <c r="BK246" s="2"/>
      <c r="BL246" s="2"/>
    </row>
    <row r="247" spans="63:64" ht="15.75" customHeight="1" x14ac:dyDescent="0.45">
      <c r="BK247" s="2"/>
      <c r="BL247" s="2"/>
    </row>
    <row r="248" spans="63:64" ht="15.75" customHeight="1" x14ac:dyDescent="0.45">
      <c r="BK248" s="2"/>
      <c r="BL248" s="2"/>
    </row>
    <row r="249" spans="63:64" ht="15.75" customHeight="1" x14ac:dyDescent="0.45"/>
    <row r="250" spans="63:64" ht="15.75" customHeight="1" x14ac:dyDescent="0.45"/>
    <row r="251" spans="63:64" ht="15.75" customHeight="1" x14ac:dyDescent="0.45"/>
    <row r="252" spans="63:64" ht="15.75" customHeight="1" x14ac:dyDescent="0.45"/>
    <row r="253" spans="63:64" ht="15.75" customHeight="1" x14ac:dyDescent="0.45"/>
    <row r="254" spans="63:64" ht="15.75" customHeight="1" x14ac:dyDescent="0.45"/>
    <row r="255" spans="63:64" ht="15.75" customHeight="1" x14ac:dyDescent="0.45"/>
    <row r="256" spans="63:64" ht="15.75" customHeight="1" x14ac:dyDescent="0.45"/>
    <row r="257" ht="15.75" customHeight="1" x14ac:dyDescent="0.45"/>
    <row r="258" ht="15.75" customHeight="1" x14ac:dyDescent="0.45"/>
    <row r="259" ht="15.75" customHeight="1" x14ac:dyDescent="0.45"/>
    <row r="260" ht="15.75" customHeight="1" x14ac:dyDescent="0.45"/>
    <row r="261" ht="15.75" customHeight="1" x14ac:dyDescent="0.45"/>
    <row r="262" ht="15.75" customHeight="1" x14ac:dyDescent="0.45"/>
    <row r="263" ht="15.75" customHeight="1" x14ac:dyDescent="0.45"/>
    <row r="264" ht="15.75" customHeight="1" x14ac:dyDescent="0.45"/>
    <row r="265" ht="23.25" customHeight="1" x14ac:dyDescent="0.45"/>
    <row r="266" ht="15" customHeight="1" x14ac:dyDescent="0.45"/>
    <row r="267" ht="15.75" customHeight="1" x14ac:dyDescent="0.45"/>
    <row r="268" ht="15" customHeight="1" x14ac:dyDescent="0.45"/>
    <row r="269" ht="15.75" customHeight="1" x14ac:dyDescent="0.45"/>
    <row r="270" ht="15" customHeight="1" x14ac:dyDescent="0.45"/>
    <row r="271" ht="15.75" customHeight="1" x14ac:dyDescent="0.45"/>
    <row r="272" ht="15" customHeight="1" x14ac:dyDescent="0.45"/>
    <row r="273" ht="15.75" customHeight="1" x14ac:dyDescent="0.45"/>
    <row r="274" ht="15" customHeight="1" x14ac:dyDescent="0.45"/>
    <row r="275" ht="15.75" customHeight="1" x14ac:dyDescent="0.45"/>
    <row r="276" ht="15" customHeight="1" x14ac:dyDescent="0.45"/>
    <row r="277" ht="15.75" customHeight="1" x14ac:dyDescent="0.45"/>
    <row r="278" ht="15" customHeight="1" x14ac:dyDescent="0.45"/>
    <row r="279" ht="15.75" customHeight="1" x14ac:dyDescent="0.45"/>
    <row r="280" ht="15" customHeight="1" x14ac:dyDescent="0.45"/>
    <row r="281" ht="15.75" customHeight="1" x14ac:dyDescent="0.45"/>
    <row r="282" ht="15" customHeight="1" x14ac:dyDescent="0.45"/>
    <row r="283" ht="15.75" customHeight="1" x14ac:dyDescent="0.45"/>
    <row r="284" ht="15" customHeight="1" x14ac:dyDescent="0.45"/>
    <row r="285" ht="15.75" customHeight="1" x14ac:dyDescent="0.45"/>
    <row r="286" ht="15" customHeight="1" x14ac:dyDescent="0.45"/>
    <row r="287" ht="15.75" customHeight="1" x14ac:dyDescent="0.45"/>
    <row r="288" ht="15" customHeight="1" x14ac:dyDescent="0.45"/>
    <row r="289" ht="15.75" customHeight="1" x14ac:dyDescent="0.45"/>
    <row r="290" ht="15" customHeight="1" x14ac:dyDescent="0.45"/>
    <row r="291" ht="15.75" customHeight="1" x14ac:dyDescent="0.45"/>
    <row r="292" ht="15" customHeight="1" x14ac:dyDescent="0.45"/>
    <row r="293" ht="15.75" customHeight="1" x14ac:dyDescent="0.45"/>
    <row r="294" ht="15" customHeight="1" x14ac:dyDescent="0.45"/>
    <row r="295" ht="15.75" customHeight="1" x14ac:dyDescent="0.45"/>
    <row r="296" ht="15" customHeight="1" x14ac:dyDescent="0.45"/>
    <row r="297" ht="15.75" customHeight="1" x14ac:dyDescent="0.45"/>
  </sheetData>
  <mergeCells count="1">
    <mergeCell ref="CR7:CR9"/>
  </mergeCells>
  <conditionalFormatting sqref="CR7 BI8:BI9">
    <cfRule type="containsText" dxfId="191" priority="53" operator="containsText" text="பிழை">
      <formula>NOT(ISERROR(SEARCH("பிழை",BI7)))</formula>
    </cfRule>
    <cfRule type="cellIs" dxfId="190" priority="54" operator="equal">
      <formula>"சரி"</formula>
    </cfRule>
  </conditionalFormatting>
  <conditionalFormatting sqref="CR7:CR9">
    <cfRule type="cellIs" dxfId="189" priority="48" operator="equal">
      <formula>"சரி"</formula>
    </cfRule>
    <cfRule type="containsText" dxfId="188" priority="47" operator="containsText" text="பிழை">
      <formula>NOT(ISERROR(SEARCH("பிழை",CR7)))</formula>
    </cfRule>
    <cfRule type="cellIs" dxfId="187" priority="46" operator="equal">
      <formula>"சரி"</formula>
    </cfRule>
    <cfRule type="containsText" dxfId="186" priority="45" operator="containsText" text="பிழை">
      <formula>NOT(ISERROR(SEARCH("பிழை",CR7)))</formula>
    </cfRule>
  </conditionalFormatting>
  <conditionalFormatting sqref="CS31">
    <cfRule type="containsText" dxfId="185" priority="50" operator="containsText" text="சரி">
      <formula>NOT(ISERROR(SEARCH("சரி",CS31)))</formula>
    </cfRule>
    <cfRule type="notContainsText" dxfId="184" priority="49" operator="notContains" text="சரி">
      <formula>ISERROR(SEARCH("சரி",CS31))</formula>
    </cfRule>
  </conditionalFormatting>
  <conditionalFormatting sqref="CU15">
    <cfRule type="containsText" dxfId="183" priority="42" operator="containsText" text="சரி">
      <formula>NOT(ISERROR(SEARCH("சரி",CU15)))</formula>
    </cfRule>
    <cfRule type="notContainsText" dxfId="182" priority="41" operator="notContains" text="சரி">
      <formula>ISERROR(SEARCH("சரி",CU15))</formula>
    </cfRule>
  </conditionalFormatting>
  <conditionalFormatting sqref="CU15:CU16">
    <cfRule type="containsText" dxfId="181" priority="38" operator="containsText" text="சரி">
      <formula>NOT(ISERROR(SEARCH("சரி",CU15)))</formula>
    </cfRule>
    <cfRule type="notContainsText" dxfId="180" priority="37" operator="notContains" text="சரி">
      <formula>ISERROR(SEARCH("சரி",CU15))</formula>
    </cfRule>
  </conditionalFormatting>
  <conditionalFormatting sqref="CU15:CU25">
    <cfRule type="containsText" dxfId="179" priority="44" operator="containsText" text="சரி">
      <formula>NOT(ISERROR(SEARCH("சரி",CU15)))</formula>
    </cfRule>
    <cfRule type="notContainsText" dxfId="178" priority="43" operator="notContains" text="சரி">
      <formula>ISERROR(SEARCH("சரி",CU15))</formula>
    </cfRule>
  </conditionalFormatting>
  <conditionalFormatting sqref="CU15:CU32">
    <cfRule type="containsText" dxfId="177" priority="52" operator="containsText" text="சரி">
      <formula>NOT(ISERROR(SEARCH("சரி",CU15)))</formula>
    </cfRule>
    <cfRule type="notContainsText" dxfId="176" priority="51" operator="notContains" text="சரி">
      <formula>ISERROR(SEARCH("சரி",CU15))</formula>
    </cfRule>
  </conditionalFormatting>
  <conditionalFormatting sqref="CU16">
    <cfRule type="notContainsText" dxfId="175" priority="35" operator="notContains" text="சரி">
      <formula>ISERROR(SEARCH("சரி",CU16))</formula>
    </cfRule>
    <cfRule type="containsText" dxfId="174" priority="36" operator="containsText" text="சரி">
      <formula>NOT(ISERROR(SEARCH("சரி",CU16)))</formula>
    </cfRule>
  </conditionalFormatting>
  <conditionalFormatting sqref="CU16:CU17">
    <cfRule type="notContainsText" dxfId="173" priority="33" operator="notContains" text="சரி">
      <formula>ISERROR(SEARCH("சரி",CU16))</formula>
    </cfRule>
    <cfRule type="containsText" dxfId="172" priority="32" operator="containsText" text="சரி">
      <formula>NOT(ISERROR(SEARCH("சரி",CU16)))</formula>
    </cfRule>
    <cfRule type="notContainsText" dxfId="171" priority="31" operator="notContains" text="சரி">
      <formula>ISERROR(SEARCH("சரி",CU16))</formula>
    </cfRule>
    <cfRule type="containsText" dxfId="170" priority="34" operator="containsText" text="சரி">
      <formula>NOT(ISERROR(SEARCH("சரி",CU16)))</formula>
    </cfRule>
  </conditionalFormatting>
  <conditionalFormatting sqref="CU16:CU18">
    <cfRule type="notContainsText" dxfId="169" priority="27" operator="notContains" text="சரி">
      <formula>ISERROR(SEARCH("சரி",CU16))</formula>
    </cfRule>
    <cfRule type="containsText" dxfId="168" priority="28" operator="containsText" text="சரி">
      <formula>NOT(ISERROR(SEARCH("சரி",CU16)))</formula>
    </cfRule>
    <cfRule type="notContainsText" dxfId="167" priority="29" operator="notContains" text="சரி">
      <formula>ISERROR(SEARCH("சரி",CU16))</formula>
    </cfRule>
    <cfRule type="containsText" dxfId="166" priority="30" operator="containsText" text="சரி">
      <formula>NOT(ISERROR(SEARCH("சரி",CU16)))</formula>
    </cfRule>
  </conditionalFormatting>
  <conditionalFormatting sqref="CU16:CU19">
    <cfRule type="containsText" dxfId="165" priority="26" operator="containsText" text="சரி">
      <formula>NOT(ISERROR(SEARCH("சரி",CU16)))</formula>
    </cfRule>
    <cfRule type="notContainsText" dxfId="164" priority="25" operator="notContains" text="சரி">
      <formula>ISERROR(SEARCH("சரி",CU16))</formula>
    </cfRule>
    <cfRule type="containsText" dxfId="163" priority="24" operator="containsText" text="சரி">
      <formula>NOT(ISERROR(SEARCH("சரி",CU16)))</formula>
    </cfRule>
    <cfRule type="notContainsText" dxfId="162" priority="23" operator="notContains" text="சரி">
      <formula>ISERROR(SEARCH("சரி",CU16))</formula>
    </cfRule>
  </conditionalFormatting>
  <conditionalFormatting sqref="CU16:CU20">
    <cfRule type="containsText" dxfId="161" priority="22" operator="containsText" text="சரி">
      <formula>NOT(ISERROR(SEARCH("சரி",CU16)))</formula>
    </cfRule>
    <cfRule type="notContainsText" dxfId="160" priority="21" operator="notContains" text="சரி">
      <formula>ISERROR(SEARCH("சரி",CU16))</formula>
    </cfRule>
    <cfRule type="containsText" dxfId="159" priority="20" operator="containsText" text="சரி">
      <formula>NOT(ISERROR(SEARCH("சரி",CU16)))</formula>
    </cfRule>
    <cfRule type="notContainsText" dxfId="158" priority="19" operator="notContains" text="சரி">
      <formula>ISERROR(SEARCH("சரி",CU16))</formula>
    </cfRule>
  </conditionalFormatting>
  <conditionalFormatting sqref="CU16:CU21">
    <cfRule type="containsText" dxfId="157" priority="18" operator="containsText" text="சரி">
      <formula>NOT(ISERROR(SEARCH("சரி",CU16)))</formula>
    </cfRule>
    <cfRule type="notContainsText" dxfId="156" priority="17" operator="notContains" text="சரி">
      <formula>ISERROR(SEARCH("சரி",CU16))</formula>
    </cfRule>
    <cfRule type="containsText" dxfId="155" priority="16" operator="containsText" text="சரி">
      <formula>NOT(ISERROR(SEARCH("சரி",CU16)))</formula>
    </cfRule>
    <cfRule type="notContainsText" dxfId="154" priority="15" operator="notContains" text="சரி">
      <formula>ISERROR(SEARCH("சரி",CU16))</formula>
    </cfRule>
  </conditionalFormatting>
  <conditionalFormatting sqref="CU16:CU22">
    <cfRule type="notContainsText" dxfId="153" priority="13" operator="notContains" text="சரி">
      <formula>ISERROR(SEARCH("சரி",CU16))</formula>
    </cfRule>
    <cfRule type="containsText" dxfId="152" priority="14" operator="containsText" text="சரி">
      <formula>NOT(ISERROR(SEARCH("சரி",CU16)))</formula>
    </cfRule>
    <cfRule type="containsText" dxfId="151" priority="12" operator="containsText" text="சரி">
      <formula>NOT(ISERROR(SEARCH("சரி",CU16)))</formula>
    </cfRule>
    <cfRule type="notContainsText" dxfId="150" priority="11" operator="notContains" text="சரி">
      <formula>ISERROR(SEARCH("சரி",CU16))</formula>
    </cfRule>
  </conditionalFormatting>
  <conditionalFormatting sqref="CU16:CU23">
    <cfRule type="notContainsText" dxfId="149" priority="7" operator="notContains" text="சரி">
      <formula>ISERROR(SEARCH("சரி",CU16))</formula>
    </cfRule>
    <cfRule type="containsText" dxfId="148" priority="10" operator="containsText" text="சரி">
      <formula>NOT(ISERROR(SEARCH("சரி",CU16)))</formula>
    </cfRule>
    <cfRule type="notContainsText" dxfId="147" priority="9" operator="notContains" text="சரி">
      <formula>ISERROR(SEARCH("சரி",CU16))</formula>
    </cfRule>
    <cfRule type="containsText" dxfId="146" priority="8" operator="containsText" text="சரி">
      <formula>NOT(ISERROR(SEARCH("சரி",CU16)))</formula>
    </cfRule>
  </conditionalFormatting>
  <conditionalFormatting sqref="CU16:CU24">
    <cfRule type="containsText" dxfId="145" priority="6" operator="containsText" text="சரி">
      <formula>NOT(ISERROR(SEARCH("சரி",CU16)))</formula>
    </cfRule>
    <cfRule type="notContainsText" dxfId="144" priority="5" operator="notContains" text="சரி">
      <formula>ISERROR(SEARCH("சரி",CU16))</formula>
    </cfRule>
  </conditionalFormatting>
  <conditionalFormatting sqref="CU16:CU25">
    <cfRule type="containsText" dxfId="143" priority="2" operator="containsText" text="சரி">
      <formula>NOT(ISERROR(SEARCH("சரி",CU16)))</formula>
    </cfRule>
    <cfRule type="notContainsText" dxfId="142" priority="1" operator="notContains" text="சரி">
      <formula>ISERROR(SEARCH("சரி",CU16))</formula>
    </cfRule>
  </conditionalFormatting>
  <pageMargins left="0.7" right="0.7" top="0.75" bottom="0.75" header="0.3" footer="0.3"/>
  <pageSetup scale="63" orientation="landscape" r:id="rId1"/>
  <rowBreaks count="1" manualBreakCount="1">
    <brk id="35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00B050"/>
  </sheetPr>
  <dimension ref="A1:DQ296"/>
  <sheetViews>
    <sheetView topLeftCell="BI1" zoomScale="75" zoomScaleNormal="75" zoomScaleSheetLayoutView="85" workbookViewId="0">
      <selection activeCell="CT33" sqref="CT33"/>
    </sheetView>
  </sheetViews>
  <sheetFormatPr defaultColWidth="9.109375" defaultRowHeight="20.399999999999999" x14ac:dyDescent="0.45"/>
  <cols>
    <col min="1" max="22" width="8.109375" style="1" hidden="1" customWidth="1"/>
    <col min="23" max="27" width="5.109375" style="1" hidden="1" customWidth="1"/>
    <col min="28" max="31" width="2.5546875" style="1" hidden="1" customWidth="1"/>
    <col min="32" max="37" width="8.109375" style="1" hidden="1" customWidth="1"/>
    <col min="38" max="38" width="2.5546875" style="1" hidden="1" customWidth="1"/>
    <col min="39" max="39" width="2.44140625" style="1" hidden="1" customWidth="1"/>
    <col min="40" max="40" width="2.5546875" style="1" hidden="1" customWidth="1"/>
    <col min="41" max="41" width="2.44140625" style="1" hidden="1" customWidth="1"/>
    <col min="42" max="51" width="2.5546875" style="1" hidden="1" customWidth="1"/>
    <col min="52" max="56" width="8.109375" style="1" hidden="1" customWidth="1"/>
    <col min="57" max="57" width="11.109375" style="1" hidden="1" customWidth="1"/>
    <col min="58" max="60" width="9.109375" style="1" hidden="1" customWidth="1"/>
    <col min="61" max="61" width="25.6640625" style="17" bestFit="1" customWidth="1"/>
    <col min="62" max="63" width="4" style="1" hidden="1" customWidth="1"/>
    <col min="64" max="64" width="4.5546875" style="1" hidden="1" customWidth="1"/>
    <col min="65" max="65" width="3" style="1" hidden="1" customWidth="1"/>
    <col min="66" max="71" width="2.6640625" style="1" hidden="1" customWidth="1"/>
    <col min="72" max="81" width="4.33203125" style="1" hidden="1" customWidth="1"/>
    <col min="82" max="85" width="17.44140625" style="1" customWidth="1"/>
    <col min="86" max="86" width="7.6640625" style="1" hidden="1" customWidth="1"/>
    <col min="87" max="92" width="4.44140625" style="1" hidden="1" customWidth="1"/>
    <col min="93" max="93" width="21.5546875" style="1" hidden="1" customWidth="1"/>
    <col min="94" max="94" width="15.5546875" style="1" customWidth="1"/>
    <col min="95" max="95" width="9.109375" style="1" hidden="1" customWidth="1"/>
    <col min="96" max="96" width="16.33203125" style="1" customWidth="1"/>
    <col min="97" max="97" width="23.88671875" style="1" bestFit="1" customWidth="1"/>
    <col min="98" max="98" width="26" style="1" bestFit="1" customWidth="1"/>
    <col min="99" max="99" width="9.109375" style="1"/>
    <col min="100" max="100" width="7.109375" style="1" customWidth="1"/>
    <col min="101" max="101" width="9.109375" style="82" customWidth="1"/>
    <col min="102" max="102" width="9.109375" style="82"/>
    <col min="103" max="103" width="10.88671875" style="82" bestFit="1" customWidth="1"/>
    <col min="104" max="121" width="9.109375" style="82"/>
    <col min="122" max="16384" width="9.109375" style="1"/>
  </cols>
  <sheetData>
    <row r="1" spans="61:121" ht="32.4" x14ac:dyDescent="0.7">
      <c r="BI1" s="63" t="s">
        <v>485</v>
      </c>
      <c r="BJ1" s="64"/>
      <c r="BK1" s="64"/>
      <c r="BL1" s="64"/>
      <c r="BM1" s="64"/>
      <c r="BN1" s="64"/>
      <c r="BO1" s="64"/>
      <c r="BP1" s="64"/>
      <c r="BQ1" s="64"/>
      <c r="BR1" s="64"/>
      <c r="BS1" s="64"/>
      <c r="BT1" s="64"/>
      <c r="BU1" s="64"/>
      <c r="BV1" s="64"/>
      <c r="BW1" s="64"/>
      <c r="BX1" s="64"/>
      <c r="BY1" s="64"/>
      <c r="BZ1" s="64"/>
      <c r="CA1" s="64"/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4"/>
      <c r="CU1" s="64"/>
      <c r="CV1" s="65"/>
    </row>
    <row r="2" spans="61:121" ht="25.8" x14ac:dyDescent="0.55000000000000004">
      <c r="BI2" s="66"/>
      <c r="BJ2" s="67"/>
      <c r="BK2" s="67"/>
      <c r="BL2" s="67"/>
      <c r="BM2" s="67"/>
      <c r="BN2" s="67"/>
      <c r="BO2" s="67"/>
      <c r="BP2" s="67"/>
      <c r="BQ2" s="67"/>
      <c r="BR2" s="67"/>
      <c r="BS2" s="67"/>
      <c r="BT2" s="67"/>
      <c r="BU2" s="67"/>
      <c r="BV2" s="67"/>
      <c r="BW2" s="67"/>
      <c r="BX2" s="67"/>
      <c r="BY2" s="67"/>
      <c r="BZ2" s="67"/>
      <c r="CA2" s="67"/>
      <c r="CB2" s="67"/>
      <c r="CC2" s="67"/>
      <c r="CD2" s="67"/>
      <c r="CE2" s="67"/>
      <c r="CF2" s="67"/>
      <c r="CG2" s="67"/>
      <c r="CH2" s="67"/>
      <c r="CI2" s="67"/>
      <c r="CJ2" s="67"/>
      <c r="CK2" s="67"/>
      <c r="CL2" s="67"/>
      <c r="CM2" s="67"/>
      <c r="CN2" s="67"/>
      <c r="CO2" s="67"/>
      <c r="CP2" s="67"/>
      <c r="CQ2" s="67"/>
      <c r="CR2" s="67"/>
      <c r="CS2" s="67"/>
      <c r="CT2" s="67"/>
      <c r="CU2" s="68" t="s">
        <v>346</v>
      </c>
      <c r="CV2" s="69"/>
    </row>
    <row r="3" spans="61:121" ht="16.8" x14ac:dyDescent="0.35">
      <c r="BI3" s="44"/>
      <c r="BJ3" s="25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7"/>
      <c r="BX3" s="28"/>
      <c r="BY3" s="28"/>
      <c r="BZ3" s="28"/>
      <c r="CA3" s="28"/>
      <c r="CB3" s="28"/>
      <c r="CC3" s="28"/>
      <c r="CD3" s="25"/>
      <c r="CE3" s="25"/>
      <c r="CF3" s="25"/>
      <c r="CG3" s="25"/>
      <c r="CH3" s="25"/>
      <c r="CI3" s="25"/>
      <c r="CJ3" s="25"/>
      <c r="CK3" s="25"/>
      <c r="CL3" s="25"/>
      <c r="CM3" s="25"/>
      <c r="CN3" s="25"/>
      <c r="CO3" s="25"/>
      <c r="CP3" s="25"/>
      <c r="CQ3" s="25"/>
      <c r="CR3" s="25"/>
      <c r="CS3" s="25"/>
      <c r="CT3" s="25"/>
      <c r="CU3" s="25"/>
      <c r="CV3" s="45"/>
    </row>
    <row r="4" spans="61:121" s="17" customFormat="1" x14ac:dyDescent="0.45">
      <c r="BI4" s="77" t="s">
        <v>348</v>
      </c>
      <c r="BJ4" s="78"/>
      <c r="BK4" s="78"/>
      <c r="BL4" s="78"/>
      <c r="BM4" s="78"/>
      <c r="BN4" s="78"/>
      <c r="BO4" s="78"/>
      <c r="BP4" s="78"/>
      <c r="BQ4" s="78"/>
      <c r="BR4" s="78"/>
      <c r="BS4" s="78"/>
      <c r="BT4" s="78"/>
      <c r="BU4" s="78"/>
      <c r="BV4" s="78"/>
      <c r="BW4" s="78"/>
      <c r="BX4" s="78"/>
      <c r="BY4" s="78"/>
      <c r="BZ4" s="78"/>
      <c r="CA4" s="78"/>
      <c r="CB4" s="78"/>
      <c r="CC4" s="78"/>
      <c r="CD4" s="78"/>
      <c r="CE4" s="78"/>
      <c r="CF4" s="78"/>
      <c r="CG4" s="78"/>
      <c r="CH4" s="78"/>
      <c r="CI4" s="78"/>
      <c r="CJ4" s="78"/>
      <c r="CK4" s="78"/>
      <c r="CL4" s="78"/>
      <c r="CM4" s="78"/>
      <c r="CN4" s="78"/>
      <c r="CO4" s="78"/>
      <c r="CP4" s="78"/>
      <c r="CQ4" s="78"/>
      <c r="CR4" s="78"/>
      <c r="CS4" s="78"/>
      <c r="CT4" s="78"/>
      <c r="CU4" s="78"/>
      <c r="CV4" s="79"/>
      <c r="CW4" s="87"/>
      <c r="CX4" s="87"/>
      <c r="CY4" s="87"/>
      <c r="CZ4" s="87"/>
      <c r="DA4" s="87"/>
      <c r="DB4" s="87"/>
      <c r="DC4" s="87"/>
      <c r="DD4" s="87"/>
      <c r="DE4" s="87"/>
      <c r="DF4" s="87"/>
      <c r="DG4" s="87"/>
      <c r="DH4" s="87"/>
      <c r="DI4" s="87"/>
      <c r="DJ4" s="87"/>
      <c r="DK4" s="87"/>
      <c r="DL4" s="87"/>
      <c r="DM4" s="87"/>
      <c r="DN4" s="87"/>
      <c r="DO4" s="87"/>
      <c r="DP4" s="87"/>
      <c r="DQ4" s="87"/>
    </row>
    <row r="5" spans="61:121" ht="18.75" customHeight="1" x14ac:dyDescent="0.35">
      <c r="BI5" s="48"/>
      <c r="BJ5" s="31"/>
      <c r="BK5" s="32"/>
      <c r="BL5" s="32"/>
      <c r="BM5" s="32"/>
      <c r="BN5" s="32"/>
      <c r="BO5" s="32"/>
      <c r="BP5" s="32"/>
      <c r="BQ5" s="32"/>
      <c r="BR5" s="32"/>
      <c r="BS5" s="32"/>
      <c r="BT5" s="32"/>
      <c r="BU5" s="32"/>
      <c r="BV5" s="32"/>
      <c r="BW5" s="33"/>
      <c r="CD5" s="31"/>
      <c r="CE5" s="31"/>
      <c r="CF5" s="31"/>
      <c r="CG5" s="31"/>
      <c r="CH5" s="31"/>
      <c r="CI5" s="31"/>
      <c r="CJ5" s="31"/>
      <c r="CK5" s="31"/>
      <c r="CL5" s="31"/>
      <c r="CM5" s="31"/>
      <c r="CN5" s="31"/>
      <c r="CO5" s="31"/>
      <c r="CP5" s="31"/>
      <c r="CQ5" s="31"/>
      <c r="CR5" s="31"/>
      <c r="CS5" s="31"/>
      <c r="CT5" s="31"/>
      <c r="CU5" s="31"/>
      <c r="CV5" s="49"/>
    </row>
    <row r="6" spans="61:121" s="29" customFormat="1" ht="18.75" customHeight="1" x14ac:dyDescent="0.35">
      <c r="BI6" s="50"/>
      <c r="BJ6" s="34"/>
      <c r="BK6" s="35"/>
      <c r="BL6" s="35"/>
      <c r="BM6" s="35"/>
      <c r="BN6" s="35"/>
      <c r="BO6" s="35"/>
      <c r="BP6" s="35"/>
      <c r="BQ6" s="35"/>
      <c r="BR6" s="35"/>
      <c r="BS6" s="35"/>
      <c r="BT6" s="35"/>
      <c r="BU6" s="35"/>
      <c r="BV6" s="35"/>
      <c r="BW6" s="36"/>
      <c r="CD6" s="76" t="s">
        <v>486</v>
      </c>
      <c r="CE6" s="76" t="s">
        <v>487</v>
      </c>
      <c r="CF6" s="76" t="s">
        <v>488</v>
      </c>
      <c r="CG6" s="76" t="s">
        <v>489</v>
      </c>
      <c r="CH6" s="34"/>
      <c r="CI6" s="34"/>
      <c r="CJ6" s="34"/>
      <c r="CK6" s="34"/>
      <c r="CL6" s="34"/>
      <c r="CM6" s="34"/>
      <c r="CN6" s="34"/>
      <c r="CO6" s="34"/>
      <c r="CP6" s="31"/>
      <c r="CQ6" s="34"/>
      <c r="CR6" s="197" t="str">
        <f>IF((CONCATENATE(CU17,CU18,CU19,CU20,CU21,CU22,CU23,CU24,CU25,CU26,CU27,CU28,CU29,CU30,CU31))="சரிசரிசரிசரிசரிசரிசரிசரிசரிசரிசரிசரிசரிசரிசரி","சரி","பிழை")</f>
        <v>சரி</v>
      </c>
      <c r="CS6" s="34"/>
      <c r="CT6" s="34"/>
      <c r="CU6" s="34"/>
      <c r="CV6" s="51"/>
      <c r="CW6" s="88"/>
      <c r="CX6" s="82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</row>
    <row r="7" spans="61:121" s="29" customFormat="1" ht="18.75" customHeight="1" x14ac:dyDescent="0.35">
      <c r="BI7" s="50"/>
      <c r="BJ7" s="34"/>
      <c r="BK7" s="37"/>
      <c r="BL7" s="37"/>
      <c r="BM7" s="37"/>
      <c r="BN7" s="37"/>
      <c r="BO7" s="37"/>
      <c r="BP7" s="37"/>
      <c r="BQ7" s="37"/>
      <c r="BR7" s="37"/>
      <c r="BS7" s="37"/>
      <c r="BT7" s="37"/>
      <c r="BU7" s="37"/>
      <c r="BV7" s="37"/>
      <c r="BW7" s="36"/>
      <c r="CD7" s="34"/>
      <c r="CE7" s="34"/>
      <c r="CF7" s="34"/>
      <c r="CG7" s="34"/>
      <c r="CH7" s="34"/>
      <c r="CI7" s="34"/>
      <c r="CJ7" s="34"/>
      <c r="CK7" s="34"/>
      <c r="CL7" s="34"/>
      <c r="CM7" s="34"/>
      <c r="CN7" s="34"/>
      <c r="CO7" s="34"/>
      <c r="CP7" s="31"/>
      <c r="CQ7" s="34"/>
      <c r="CR7" s="197"/>
      <c r="CS7" s="34"/>
      <c r="CT7" s="34"/>
      <c r="CU7" s="34"/>
      <c r="CV7" s="51"/>
      <c r="CW7" s="88"/>
      <c r="CX7" s="82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</row>
    <row r="8" spans="61:121" s="29" customFormat="1" ht="18.75" customHeight="1" x14ac:dyDescent="0.35">
      <c r="BI8" s="50"/>
      <c r="BJ8" s="34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6"/>
      <c r="CD8" s="76" t="s">
        <v>490</v>
      </c>
      <c r="CE8" s="76" t="s">
        <v>491</v>
      </c>
      <c r="CF8" s="76" t="s">
        <v>492</v>
      </c>
      <c r="CG8" s="76" t="s">
        <v>493</v>
      </c>
      <c r="CH8" s="34"/>
      <c r="CI8" s="34"/>
      <c r="CJ8" s="34"/>
      <c r="CK8" s="34"/>
      <c r="CL8" s="34"/>
      <c r="CM8" s="34"/>
      <c r="CN8" s="34"/>
      <c r="CO8" s="34"/>
      <c r="CP8" s="31"/>
      <c r="CQ8" s="34"/>
      <c r="CR8" s="197"/>
      <c r="CS8" s="34"/>
      <c r="CT8" s="34"/>
      <c r="CU8" s="34"/>
      <c r="CV8" s="51"/>
      <c r="CW8" s="88"/>
      <c r="CX8" s="82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</row>
    <row r="9" spans="61:121" s="29" customFormat="1" ht="18.75" customHeight="1" x14ac:dyDescent="0.35">
      <c r="BI9" s="50"/>
      <c r="BJ9" s="34"/>
      <c r="BK9" s="35"/>
      <c r="BL9" s="35"/>
      <c r="BM9" s="35"/>
      <c r="BN9" s="35"/>
      <c r="BO9" s="35"/>
      <c r="BP9" s="35"/>
      <c r="BQ9" s="35"/>
      <c r="BR9" s="35"/>
      <c r="BS9" s="35"/>
      <c r="BT9" s="35"/>
      <c r="BU9" s="35"/>
      <c r="BV9" s="35"/>
      <c r="BW9" s="36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1"/>
      <c r="CQ9" s="34"/>
      <c r="CR9" s="197"/>
      <c r="CS9" s="34"/>
      <c r="CT9" s="34"/>
      <c r="CU9" s="34"/>
      <c r="CV9" s="51"/>
      <c r="CW9" s="88"/>
      <c r="CX9" s="82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</row>
    <row r="10" spans="61:121" s="29" customFormat="1" ht="18.75" customHeight="1" x14ac:dyDescent="0.35">
      <c r="BI10" s="50"/>
      <c r="BJ10" s="34"/>
      <c r="BK10" s="35"/>
      <c r="BL10" s="35"/>
      <c r="BM10" s="35"/>
      <c r="BN10" s="35"/>
      <c r="BO10" s="35"/>
      <c r="BP10" s="35"/>
      <c r="BQ10" s="35"/>
      <c r="BR10" s="35"/>
      <c r="BS10" s="35"/>
      <c r="BT10" s="35"/>
      <c r="BU10" s="35"/>
      <c r="BV10" s="35"/>
      <c r="BW10" s="36"/>
      <c r="CD10" s="76" t="s">
        <v>494</v>
      </c>
      <c r="CE10" s="76" t="s">
        <v>495</v>
      </c>
      <c r="CF10" s="76" t="s">
        <v>496</v>
      </c>
      <c r="CG10" s="76" t="s">
        <v>497</v>
      </c>
      <c r="CH10" s="34"/>
      <c r="CI10" s="34"/>
      <c r="CJ10" s="34"/>
      <c r="CK10" s="34"/>
      <c r="CL10" s="34"/>
      <c r="CM10" s="34"/>
      <c r="CN10" s="34"/>
      <c r="CO10" s="34"/>
      <c r="CP10" s="31"/>
      <c r="CQ10" s="34"/>
      <c r="CR10" s="132"/>
      <c r="CS10" s="34"/>
      <c r="CT10" s="34"/>
      <c r="CU10" s="34"/>
      <c r="CV10" s="51"/>
      <c r="CW10" s="88"/>
      <c r="CX10" s="82"/>
      <c r="CY10" s="88"/>
      <c r="CZ10" s="88"/>
      <c r="DA10" s="88"/>
      <c r="DB10" s="88"/>
      <c r="DC10" s="88"/>
      <c r="DD10" s="88"/>
      <c r="DE10" s="88"/>
      <c r="DF10" s="88"/>
      <c r="DG10" s="88"/>
      <c r="DH10" s="88"/>
      <c r="DI10" s="88"/>
      <c r="DJ10" s="88"/>
      <c r="DK10" s="88"/>
      <c r="DL10" s="88"/>
      <c r="DM10" s="88"/>
      <c r="DN10" s="88"/>
      <c r="DO10" s="88"/>
      <c r="DP10" s="88"/>
      <c r="DQ10" s="88"/>
    </row>
    <row r="11" spans="61:121" ht="18.75" customHeight="1" x14ac:dyDescent="0.35">
      <c r="BI11" s="48"/>
      <c r="BJ11" s="31"/>
      <c r="BK11" s="38"/>
      <c r="BL11" s="38"/>
      <c r="BM11" s="38"/>
      <c r="BN11" s="38"/>
      <c r="BO11" s="38"/>
      <c r="BP11" s="38"/>
      <c r="BQ11" s="38"/>
      <c r="BR11" s="38"/>
      <c r="BS11" s="38"/>
      <c r="BT11" s="38"/>
      <c r="BU11" s="38"/>
      <c r="BV11" s="38"/>
      <c r="BW11" s="39"/>
      <c r="CD11" s="31"/>
      <c r="CE11" s="31"/>
      <c r="CF11" s="31"/>
      <c r="CG11" s="31"/>
      <c r="CH11" s="31"/>
      <c r="CI11" s="31"/>
      <c r="CJ11" s="31"/>
      <c r="CK11" s="31"/>
      <c r="CL11" s="31"/>
      <c r="CM11" s="31"/>
      <c r="CN11" s="31"/>
      <c r="CO11" s="31"/>
      <c r="CP11" s="31"/>
      <c r="CQ11" s="31"/>
      <c r="CR11" s="31"/>
      <c r="CS11" s="31"/>
      <c r="CT11" s="31"/>
      <c r="CU11" s="31"/>
      <c r="CV11" s="49"/>
    </row>
    <row r="12" spans="61:121" ht="18.75" customHeight="1" x14ac:dyDescent="0.35">
      <c r="BI12" s="48"/>
      <c r="BJ12" s="31"/>
      <c r="BK12" s="38"/>
      <c r="BL12" s="38"/>
      <c r="BM12" s="38"/>
      <c r="BN12" s="38"/>
      <c r="BO12" s="38"/>
      <c r="BP12" s="38"/>
      <c r="BQ12" s="38"/>
      <c r="BR12" s="38"/>
      <c r="BS12" s="38"/>
      <c r="BT12" s="38"/>
      <c r="BU12" s="38"/>
      <c r="BV12" s="38"/>
      <c r="BW12" s="39"/>
      <c r="CD12" s="76" t="s">
        <v>500</v>
      </c>
      <c r="CE12" s="76" t="s">
        <v>498</v>
      </c>
      <c r="CF12" s="76" t="s">
        <v>499</v>
      </c>
      <c r="CG12" s="31"/>
      <c r="CH12" s="31"/>
      <c r="CI12" s="31"/>
      <c r="CJ12" s="31"/>
      <c r="CK12" s="31"/>
      <c r="CL12" s="31"/>
      <c r="CM12" s="31"/>
      <c r="CN12" s="31"/>
      <c r="CO12" s="31"/>
      <c r="CP12" s="31"/>
      <c r="CQ12" s="31"/>
      <c r="CR12" s="31"/>
      <c r="CS12" s="31"/>
      <c r="CT12" s="31"/>
      <c r="CU12" s="31"/>
      <c r="CV12" s="49"/>
    </row>
    <row r="13" spans="61:121" ht="16.8" x14ac:dyDescent="0.35">
      <c r="BI13" s="48"/>
      <c r="BJ13" s="31"/>
      <c r="BK13" s="31"/>
      <c r="BL13" s="31"/>
      <c r="BM13" s="31"/>
      <c r="BN13" s="31"/>
      <c r="BO13" s="31"/>
      <c r="BP13" s="31"/>
      <c r="BQ13" s="31"/>
      <c r="BR13" s="31"/>
      <c r="BS13" s="31"/>
      <c r="BT13" s="31"/>
      <c r="BU13" s="31"/>
      <c r="BV13" s="31"/>
      <c r="BW13" s="31"/>
      <c r="BX13" s="31"/>
      <c r="BY13" s="31"/>
      <c r="BZ13" s="31"/>
      <c r="CA13" s="31"/>
      <c r="CB13" s="31"/>
      <c r="CC13" s="31"/>
      <c r="CD13" s="31"/>
      <c r="CE13" s="31"/>
      <c r="CF13" s="31"/>
      <c r="CG13" s="31"/>
      <c r="CH13" s="31"/>
      <c r="CI13" s="31"/>
      <c r="CJ13" s="31"/>
      <c r="CK13" s="31"/>
      <c r="CL13" s="31"/>
      <c r="CM13" s="31"/>
      <c r="CN13" s="31"/>
      <c r="CO13" s="31"/>
      <c r="CP13" s="31"/>
      <c r="CQ13" s="31"/>
      <c r="CR13" s="31"/>
      <c r="CS13" s="31"/>
      <c r="CT13" s="31"/>
      <c r="CU13" s="31"/>
      <c r="CV13" s="49"/>
    </row>
    <row r="14" spans="61:121" ht="16.8" x14ac:dyDescent="0.35">
      <c r="BI14" s="48"/>
      <c r="BJ14" s="31"/>
      <c r="BK14" s="31"/>
      <c r="BL14" s="31"/>
      <c r="BM14" s="31"/>
      <c r="BN14" s="31"/>
      <c r="BO14" s="31"/>
      <c r="BP14" s="31"/>
      <c r="BQ14" s="31"/>
      <c r="BR14" s="31"/>
      <c r="BS14" s="31"/>
      <c r="BT14" s="31"/>
      <c r="BU14" s="31"/>
      <c r="BV14" s="31"/>
      <c r="BW14" s="31"/>
      <c r="BX14" s="31"/>
      <c r="BY14" s="31"/>
      <c r="BZ14" s="31"/>
      <c r="CA14" s="31"/>
      <c r="CB14" s="31"/>
      <c r="CC14" s="31"/>
      <c r="CD14" s="31"/>
      <c r="CE14" s="31"/>
      <c r="CF14" s="31"/>
      <c r="CG14" s="31"/>
      <c r="CH14" s="31"/>
      <c r="CI14" s="31"/>
      <c r="CJ14" s="31"/>
      <c r="CK14" s="31"/>
      <c r="CL14" s="31"/>
      <c r="CM14" s="31"/>
      <c r="CN14" s="31"/>
      <c r="CO14" s="31"/>
      <c r="CP14" s="31"/>
      <c r="CQ14" s="31"/>
      <c r="CR14" s="31"/>
      <c r="CS14" s="31"/>
      <c r="CT14" s="31"/>
      <c r="CU14" s="31"/>
      <c r="CV14" s="49"/>
    </row>
    <row r="15" spans="61:121" s="41" customFormat="1" x14ac:dyDescent="0.45">
      <c r="BI15" s="70" t="s">
        <v>347</v>
      </c>
      <c r="BJ15" s="71"/>
      <c r="BK15" s="71"/>
      <c r="BL15" s="71"/>
      <c r="BM15" s="71"/>
      <c r="BN15" s="71"/>
      <c r="BO15" s="71"/>
      <c r="BP15" s="71"/>
      <c r="BQ15" s="71"/>
      <c r="BR15" s="71"/>
      <c r="BS15" s="71"/>
      <c r="BT15" s="71"/>
      <c r="BU15" s="71"/>
      <c r="BV15" s="71"/>
      <c r="BW15" s="71"/>
      <c r="BX15" s="71"/>
      <c r="BY15" s="71"/>
      <c r="BZ15" s="71"/>
      <c r="CA15" s="71"/>
      <c r="CB15" s="71"/>
      <c r="CC15" s="71"/>
      <c r="CD15" s="71"/>
      <c r="CE15" s="71"/>
      <c r="CF15" s="71"/>
      <c r="CG15" s="71"/>
      <c r="CH15" s="71"/>
      <c r="CI15" s="71"/>
      <c r="CJ15" s="71"/>
      <c r="CK15" s="71"/>
      <c r="CL15" s="71"/>
      <c r="CM15" s="71"/>
      <c r="CN15" s="71"/>
      <c r="CO15" s="71"/>
      <c r="CP15" s="71"/>
      <c r="CQ15" s="71"/>
      <c r="CR15" s="71"/>
      <c r="CS15" s="71"/>
      <c r="CT15" s="71"/>
      <c r="CU15" s="71"/>
      <c r="CV15" s="72"/>
      <c r="CW15" s="89"/>
      <c r="CX15" s="89"/>
      <c r="CY15" s="89"/>
      <c r="CZ15" s="89"/>
      <c r="DA15" s="89"/>
      <c r="DB15" s="89"/>
      <c r="DC15" s="89"/>
      <c r="DD15" s="89"/>
      <c r="DE15" s="89"/>
      <c r="DF15" s="89"/>
      <c r="DG15" s="89"/>
      <c r="DH15" s="89"/>
      <c r="DI15" s="89"/>
      <c r="DJ15" s="89"/>
      <c r="DK15" s="89"/>
      <c r="DL15" s="89"/>
      <c r="DM15" s="89"/>
      <c r="DN15" s="89"/>
      <c r="DO15" s="89"/>
      <c r="DP15" s="89"/>
      <c r="DQ15" s="89"/>
    </row>
    <row r="16" spans="61:121" s="41" customFormat="1" ht="16.8" x14ac:dyDescent="0.35">
      <c r="BI16" s="73" t="s">
        <v>349</v>
      </c>
      <c r="BJ16" s="74"/>
      <c r="BK16" s="74"/>
      <c r="BL16" s="74"/>
      <c r="BM16" s="74"/>
      <c r="BN16" s="74"/>
      <c r="BO16" s="74"/>
      <c r="BP16" s="74"/>
      <c r="BQ16" s="74"/>
      <c r="BR16" s="74"/>
      <c r="BS16" s="74"/>
      <c r="BT16" s="74"/>
      <c r="BU16" s="74"/>
      <c r="BV16" s="74"/>
      <c r="BW16" s="74"/>
      <c r="BX16" s="74"/>
      <c r="BY16" s="74"/>
      <c r="BZ16" s="74"/>
      <c r="CA16" s="74"/>
      <c r="CB16" s="74"/>
      <c r="CC16" s="74"/>
      <c r="CD16" s="74" t="s">
        <v>350</v>
      </c>
      <c r="CE16" s="74" t="s">
        <v>351</v>
      </c>
      <c r="CF16" s="74" t="s">
        <v>352</v>
      </c>
      <c r="CG16" s="74" t="s">
        <v>353</v>
      </c>
      <c r="CH16" s="74"/>
      <c r="CI16" s="74"/>
      <c r="CJ16" s="74"/>
      <c r="CK16" s="74"/>
      <c r="CL16" s="74"/>
      <c r="CM16" s="74"/>
      <c r="CN16" s="74"/>
      <c r="CO16" s="74"/>
      <c r="CP16" s="74" t="s">
        <v>354</v>
      </c>
      <c r="CQ16" s="74"/>
      <c r="CR16" s="74" t="s">
        <v>355</v>
      </c>
      <c r="CS16" s="74" t="s">
        <v>355</v>
      </c>
      <c r="CT16" s="74" t="s">
        <v>356</v>
      </c>
      <c r="CU16" s="74"/>
      <c r="CV16" s="75"/>
      <c r="CW16" s="89"/>
      <c r="CX16" s="89"/>
      <c r="CY16" s="89"/>
      <c r="CZ16" s="89"/>
      <c r="DA16" s="89"/>
      <c r="DB16" s="89"/>
      <c r="DC16" s="89"/>
      <c r="DD16" s="89"/>
      <c r="DE16" s="89"/>
      <c r="DF16" s="89"/>
      <c r="DG16" s="89"/>
      <c r="DH16" s="89"/>
      <c r="DI16" s="89"/>
      <c r="DJ16" s="89"/>
      <c r="DK16" s="89"/>
      <c r="DL16" s="89"/>
      <c r="DM16" s="89"/>
      <c r="DN16" s="89"/>
      <c r="DO16" s="89"/>
      <c r="DP16" s="89"/>
      <c r="DQ16" s="89"/>
    </row>
    <row r="17" spans="1:100" ht="16.8" x14ac:dyDescent="0.35">
      <c r="A17" s="119"/>
      <c r="B17" s="12">
        <f>IFERROR(VLOOKUP((LEFT(L17,4)),BASE!$E$12:$F$23,1,0),IFERROR(VLOOKUP((LEFT(L17,3)),BASE!$E$12:$F$23,1,0),IFERROR(VLOOKUP((LEFT(L17,2)),BASE!$E$12:$F$23,1,0),IFERROR(VLOOKUP((LEFT(L17,1)),BASE!$E$12:$F$23,1,0),100))))</f>
        <v>100</v>
      </c>
      <c r="C17" s="12">
        <f>IFERROR(VLOOKUP((LEFT(M17,4)),BASE!$E$12:$F$23,1,0),IFERROR(VLOOKUP((LEFT(M17,3)),BASE!$E$12:$F$23,1,0),IFERROR(VLOOKUP((LEFT(M17,2)),BASE!$E$12:$F$23,1,0),IFERROR(VLOOKUP((LEFT(M17,1)),BASE!$E$12:$F$23,1,0),100))))</f>
        <v>100</v>
      </c>
      <c r="D17" s="12">
        <f>IFERROR(VLOOKUP((LEFT(N17,4)),BASE!$E$12:$F$23,1,0),IFERROR(VLOOKUP((LEFT(N17,3)),BASE!$E$12:$F$23,1,0),IFERROR(VLOOKUP((LEFT(N17,2)),BASE!$E$12:$F$23,1,0),IFERROR(VLOOKUP((LEFT(N17,1)),BASE!$E$12:$F$23,1,0),100))))</f>
        <v>100</v>
      </c>
      <c r="E17" s="12">
        <f>IFERROR(VLOOKUP((LEFT(O17,4)),BASE!$E$12:$F$23,1,0),IFERROR(VLOOKUP((LEFT(O17,3)),BASE!$E$12:$F$23,1,0),IFERROR(VLOOKUP((LEFT(O17,2)),BASE!$E$12:$F$23,1,0),IFERROR(VLOOKUP((LEFT(O17,1)),BASE!$E$12:$F$23,1,0),100))))</f>
        <v>100</v>
      </c>
      <c r="F17" s="12">
        <f>IFERROR(VLOOKUP((LEFT(P17,4)),BASE!$E$12:$F$23,1,0),IFERROR(VLOOKUP((LEFT(P17,3)),BASE!$E$12:$F$23,1,0),IFERROR(VLOOKUP((LEFT(P17,2)),BASE!$E$12:$F$23,1,0),IFERROR(VLOOKUP((LEFT(P17,1)),BASE!$E$12:$F$23,1,0),100))))</f>
        <v>100</v>
      </c>
      <c r="G17" s="12">
        <f>IFERROR(VLOOKUP((LEFT(Q17,4)),BASE!$E$12:$F$23,1,0),IFERROR(VLOOKUP((LEFT(Q17,3)),BASE!$E$12:$F$23,1,0),IFERROR(VLOOKUP((LEFT(Q17,2)),BASE!$E$12:$F$23,1,0),IFERROR(VLOOKUP((LEFT(Q17,1)),BASE!$E$12:$F$23,1,0),100))))</f>
        <v>100</v>
      </c>
      <c r="H17" s="12">
        <f>IFERROR(VLOOKUP((LEFT(R17,4)),BASE!$E$12:$F$23,1,0),IFERROR(VLOOKUP((LEFT(R17,3)),BASE!$E$12:$F$23,1,0),IFERROR(VLOOKUP((LEFT(R17,2)),BASE!$E$12:$F$23,1,0),IFERROR(VLOOKUP((LEFT(R17,1)),BASE!$E$12:$F$23,1,0),100))))</f>
        <v>100</v>
      </c>
      <c r="I17" s="12" t="str">
        <f>IFERROR(VLOOKUP((LEFT(S17,4)),BASE!$E$12:$F$23,1,0),IFERROR(VLOOKUP((LEFT(S17,3)),BASE!$E$12:$F$23,1,0),IFERROR(VLOOKUP((LEFT(S17,2)),BASE!$E$12:$F$23,1,0),IFERROR(VLOOKUP((LEFT(S17,1)),BASE!$E$12:$F$23,1,0),100))))</f>
        <v>ko</v>
      </c>
      <c r="J17" s="12" t="str">
        <f>IFERROR(VLOOKUP((LEFT(T17,4)),BASE!$E$12:$F$24,1,0),IFERROR(VLOOKUP((LEFT(T17,3)),BASE!$E$12:$F$24,1,0),IFERROR(VLOOKUP((LEFT(T17,2)),BASE!$E$12:$F$24,1,0),IFERROR(VLOOKUP((LEFT(T17,1)),BASE!$E$12:$F$24,1,0),100))))</f>
        <v>n</v>
      </c>
      <c r="K17" s="12" t="str">
        <f>IFERROR(VLOOKUP((LEFT(U17,4)),BASE!$E$12:$F$23,1,0),IFERROR(VLOOKUP((LEFT(U17,3)),BASE!$E$12:$F$23,1,0),IFERROR(VLOOKUP((LEFT(U17,2)),BASE!$E$12:$F$23,1,0),IFERROR(VLOOKUP((LEFT(U17,1)),BASE!$E$12:$F$23,1,0),100))))</f>
        <v>n</v>
      </c>
      <c r="L17" s="14" t="str">
        <f t="shared" ref="L17:T26" si="0">MID(M17,LEN(C17)+1,(LEN(M17)))</f>
        <v/>
      </c>
      <c r="M17" s="14" t="str">
        <f t="shared" si="0"/>
        <v/>
      </c>
      <c r="N17" s="14" t="str">
        <f t="shared" si="0"/>
        <v/>
      </c>
      <c r="O17" s="14" t="str">
        <f t="shared" si="0"/>
        <v/>
      </c>
      <c r="P17" s="14" t="str">
        <f t="shared" si="0"/>
        <v/>
      </c>
      <c r="Q17" s="14" t="str">
        <f t="shared" si="0"/>
        <v/>
      </c>
      <c r="R17" s="14" t="str">
        <f t="shared" si="0"/>
        <v/>
      </c>
      <c r="S17" s="14" t="str">
        <f t="shared" si="0"/>
        <v>ko</v>
      </c>
      <c r="T17" s="14" t="str">
        <f t="shared" si="0"/>
        <v>nko</v>
      </c>
      <c r="U17" s="14" t="str">
        <f t="shared" ref="U17:U26" si="1">AO17&amp;AN17&amp;AM17&amp;AL17&amp;AK17&amp;AJ17&amp;AI17&amp;AH17&amp;AG17&amp;AF17</f>
        <v>nnko</v>
      </c>
      <c r="V17" s="13">
        <f>IFERROR(VLOOKUP(LEFT(AZ17,2),BASE!$C$96:$E$342,3,0),IFERROR(VLOOKUP(LEFT(AZ17,1),BASE!$C$96:$E$342,3,0),100))</f>
        <v>100</v>
      </c>
      <c r="W17" s="13">
        <f>IFERROR(VLOOKUP(LEFT(BA17,2),BASE!$C$96:$E$342,3,0),IFERROR(VLOOKUP(LEFT(BA17,1),BASE!$C$96:$E$342,3,0),100))</f>
        <v>100</v>
      </c>
      <c r="X17" s="13">
        <f>IFERROR(VLOOKUP(LEFT(BB17,2),BASE!$C$96:$E$342,3,0),IFERROR(VLOOKUP(LEFT(BB17,1),BASE!$C$96:$E$342,3,0),100))</f>
        <v>100</v>
      </c>
      <c r="Y17" s="13">
        <f>IFERROR(VLOOKUP(LEFT(BC17,2),BASE!$C$96:$E$342,3,0),IFERROR(VLOOKUP(LEFT(BC17,1),BASE!$C$96:$E$342,3,0),100))</f>
        <v>100</v>
      </c>
      <c r="Z17" s="13">
        <f>IFERROR(VLOOKUP(LEFT(BD17,2),BASE!$C$96:$E$342,3,0),IFERROR(VLOOKUP(LEFT(BD17,1),BASE!$C$96:$E$342,3,0),100))</f>
        <v>100</v>
      </c>
      <c r="AA17" s="13">
        <f>IFERROR(VLOOKUP(LEFT(BE17,2),BASE!$C$96:$E$342,3,0),IFERROR(VLOOKUP(LEFT(BE17,1),BASE!$C$96:$E$342,3,0),100))</f>
        <v>100</v>
      </c>
      <c r="AB17" s="13">
        <f>IFERROR(VLOOKUP(LEFT(BF17,2),BASE!$C$96:$E$342,3,0),IFERROR(VLOOKUP(LEFT(BF17,1),BASE!$C$96:$E$342,3,0),100))</f>
        <v>2</v>
      </c>
      <c r="AC17" s="13">
        <f>IFERROR(VLOOKUP(LEFT(BG17,2),BASE!$C$96:$E$342,3,0),IFERROR(VLOOKUP(LEFT(BG17,1),BASE!$C$96:$E$342,3,0),100))</f>
        <v>1</v>
      </c>
      <c r="AD17" s="13">
        <f>IFERROR(VLOOKUP(LEFT(BH17,2),BASE!$C$96:$E$342,3,0),IFERROR(VLOOKUP(LEFT(BH17,1),BASE!$C$96:$E$342,3,0),100))</f>
        <v>2</v>
      </c>
      <c r="AE17" s="13">
        <f>IFERROR(VLOOKUP(LEFT(BI17,2),BASE!$C$96:$E$342,3,0),IFERROR(VLOOKUP(LEFT(BI17,1),BASE!$C$96:$E$342,3,0),100))</f>
        <v>2</v>
      </c>
      <c r="AF17" s="187" t="str">
        <f>IF(AND(BS17=BR17,AG17="o"),"A", (IFERROR(VLOOKUP(LEFT(AZ17,2),BASE!$C$346:$D$592,2,0),IFERROR(VLOOKUP(LEFT(AZ17,1),BASE!$C$346:$D$5922,2,0),AZ17))))</f>
        <v/>
      </c>
      <c r="AG17" s="187" t="str">
        <f>IF(AND(BR17=BQ17,AH17="o"),"A", (IFERROR(VLOOKUP(LEFT(BA17,2),BASE!$C$346:$D$592,2,0),IFERROR(VLOOKUP(LEFT(BA17,1),BASE!$C$346:$D$592,2,0),BA17))))</f>
        <v/>
      </c>
      <c r="AH17" s="187" t="str">
        <f>IF(AND(BQ17=BP17,AI17="o"),"A", (IFERROR(VLOOKUP(LEFT(BB17,2),BASE!$C$346:$D$592,2,0),IFERROR(VLOOKUP(LEFT(BB17,1),BASE!$C$346:$D$592,2,0),BB17))))</f>
        <v/>
      </c>
      <c r="AI17" s="187" t="str">
        <f>IF(AND(BP17=BO17,AJ17="o"),"A", (IFERROR(VLOOKUP(LEFT(BC17,2),BASE!$C$346:$D$592,2,0),IFERROR(VLOOKUP(LEFT(BC17,1),BASE!$C$346:$D$592,2,0),BC17))))</f>
        <v/>
      </c>
      <c r="AJ17" s="187" t="str">
        <f>IF(AND(BO17=BN17,AK17="o"),"A", (IFERROR(VLOOKUP(LEFT(BD17,2),BASE!$C$346:$D$592,2,0),IFERROR(VLOOKUP(LEFT(BD17,1),BASE!$C$346:$D$592,2,0),BD17))))</f>
        <v/>
      </c>
      <c r="AK17" s="187" t="str">
        <f>IF(AND(BN17=BM17,AL17="o"),"A", (IFERROR(VLOOKUP(LEFT(BE17,2),BASE!$C$346:$D$592,2,0),IFERROR(VLOOKUP(LEFT(BE17,1),BASE!$C$346:$D$592,2,0),BE17))))</f>
        <v/>
      </c>
      <c r="AL17" s="187" t="str">
        <f>IF(AND(BM17=BL17,AM17="o"),"A", (IFERROR(VLOOKUP(LEFT(BF17,2),BASE!$C$346:$D$592,2,0),IFERROR(VLOOKUP(LEFT(BF17,1),BASE!$C$346:$D$592,2,0),BF17))))</f>
        <v>o</v>
      </c>
      <c r="AM17" s="187" t="str">
        <f>IF(AND(BL17=BK17,AN17="o"),"A",(IFERROR(VLOOKUP(LEFT(BG17,2),BASE!$C$346:$D$592,2,0),IFERROR(VLOOKUP(LEFT(BG17,1),BASE!$C$346:$D$592,2,0),BG17))))</f>
        <v>k</v>
      </c>
      <c r="AN17" s="187" t="str">
        <f>(IFERROR(VLOOKUP(LEFT(BH17,2),BASE!$C$346:$D$592,2,0),IFERROR(VLOOKUP(LEFT(BH17,1),BASE!$C$346:$D$592,2,0),BH17)))</f>
        <v>n</v>
      </c>
      <c r="AO17" s="187" t="str">
        <f>(IFERROR(VLOOKUP(LEFT(BI17,2),BASE!$C$96:$D$342,2,0),IFERROR(VLOOKUP(LEFT(BI17,1),BASE!$C$96:$D$342,2,0),BI17)))</f>
        <v>n</v>
      </c>
      <c r="AP17" s="5">
        <f t="shared" ref="AP17:AX26" si="2">AQ17</f>
        <v>7</v>
      </c>
      <c r="AQ17" s="5">
        <f t="shared" si="2"/>
        <v>7</v>
      </c>
      <c r="AR17" s="5">
        <f t="shared" si="2"/>
        <v>7</v>
      </c>
      <c r="AS17" s="5">
        <f t="shared" si="2"/>
        <v>7</v>
      </c>
      <c r="AT17" s="5">
        <f t="shared" si="2"/>
        <v>7</v>
      </c>
      <c r="AU17" s="5">
        <f t="shared" si="2"/>
        <v>7</v>
      </c>
      <c r="AV17" s="5">
        <f t="shared" si="2"/>
        <v>7</v>
      </c>
      <c r="AW17" s="5">
        <f t="shared" si="2"/>
        <v>7</v>
      </c>
      <c r="AX17" s="5">
        <f t="shared" si="2"/>
        <v>7</v>
      </c>
      <c r="AY17" s="5">
        <f t="shared" ref="AY17:AY26" si="3">LEN(BI17)</f>
        <v>7</v>
      </c>
      <c r="AZ17" s="12" t="str">
        <f t="shared" ref="AZ17:BH26" si="4">MID(BA17,W17+1,AQ17)</f>
        <v/>
      </c>
      <c r="BA17" s="12" t="str">
        <f t="shared" si="4"/>
        <v/>
      </c>
      <c r="BB17" s="12" t="str">
        <f t="shared" si="4"/>
        <v/>
      </c>
      <c r="BC17" s="12" t="str">
        <f t="shared" si="4"/>
        <v/>
      </c>
      <c r="BD17" s="12" t="str">
        <f t="shared" si="4"/>
        <v/>
      </c>
      <c r="BE17" s="12" t="str">
        <f t="shared" si="4"/>
        <v/>
      </c>
      <c r="BF17" s="12" t="str">
        <f t="shared" si="4"/>
        <v>ம்</v>
      </c>
      <c r="BG17" s="12" t="str">
        <f t="shared" si="4"/>
        <v>எம்</v>
      </c>
      <c r="BH17" s="43" t="str">
        <f t="shared" si="4"/>
        <v>ரேஎம்</v>
      </c>
      <c r="BI17" s="57" t="str">
        <f>CD6</f>
        <v>யாரேஎம்</v>
      </c>
      <c r="BJ17" s="58" t="str">
        <f>IFERROR(VLOOKUP(LEFT(BI17,2),BASE!$C$96:$F$342,1,0),IFERROR(VLOOKUP(LEFT(BI17,1),BASE!$C$96:$F$342,1,0),BI17))</f>
        <v>யா</v>
      </c>
      <c r="BK17" s="58" t="str">
        <f>IFERROR(VLOOKUP(LEFT(BH17,2),BASE!$C$96:$D$342,1,0),IFERROR(VLOOKUP(LEFT(BH17,1),BASE!$C$96:$D$342,1,0),BH17))</f>
        <v>ரே</v>
      </c>
      <c r="BL17" s="58" t="str">
        <f>IFERROR(VLOOKUP(LEFT(BG17,2),BASE!$C$96:$D$342,1,0),IFERROR(VLOOKUP(LEFT(BG17,1),BASE!$C$96:$D$342,1,0),BG17))</f>
        <v>எ</v>
      </c>
      <c r="BM17" s="58" t="str">
        <f>IFERROR(VLOOKUP(LEFT(BF17,2),BASE!$C$96:$D$342,1,0),IFERROR(VLOOKUP(LEFT(BF17,1),BASE!$C$96:$D$342,1,0),BF17))</f>
        <v>ம்</v>
      </c>
      <c r="BN17" s="58" t="str">
        <f>IFERROR(VLOOKUP(LEFT(BE17,2),BASE!$C$96:$D$342,1,0),IFERROR(VLOOKUP(LEFT(BE17,1),BASE!$C$96:$D$342,1,0),BE17))</f>
        <v/>
      </c>
      <c r="BO17" s="58" t="str">
        <f>IFERROR(VLOOKUP(LEFT(BD17,2),BASE!$C$96:$D$342,1,0),IFERROR(VLOOKUP(LEFT(BD17,1),BASE!$C$96:$D$342,1,0),BD17))</f>
        <v/>
      </c>
      <c r="BP17" s="58" t="str">
        <f>IFERROR(VLOOKUP(LEFT(BC17,2),BASE!$C$96:$D$342,1,0),IFERROR(VLOOKUP(LEFT(BC17,1),BASE!$C$96:$D$342,1,0),BC17))</f>
        <v/>
      </c>
      <c r="BQ17" s="58" t="str">
        <f>IFERROR(VLOOKUP(LEFT(BB17,2),BASE!$C$96:$D$342,1,0),IFERROR(VLOOKUP(LEFT(BB17,1),BASE!$C$96:$D$342,1,0),BB17))</f>
        <v/>
      </c>
      <c r="BR17" s="58" t="str">
        <f>IFERROR(VLOOKUP(LEFT(BA17,2),BASE!$C$96:$D$342,1,0),IFERROR(VLOOKUP(LEFT(BA17,1),BASE!$C$96:$D$342,1,0),BA17))</f>
        <v/>
      </c>
      <c r="BS17" s="58" t="str">
        <f>IFERROR(VLOOKUP(LEFT(AZ17,2),BASE!$C$96:$D$342,1,0),IFERROR(VLOOKUP(LEFT(AZ17,1),BASE!$C$96:$D$342,1,0),AZ17))</f>
        <v/>
      </c>
      <c r="BT17" s="186" t="str">
        <f>(IFERROR(VLOOKUP(LEFT(BI17,2),BASE!$C$96:$F$342,4,0),IFERROR(VLOOKUP(LEFT(BI17,1),BASE!$C$96:$F$342,4,0),BI17)))</f>
        <v>நெ</v>
      </c>
      <c r="BU17" s="186" t="str">
        <f>(IFERROR(VLOOKUP(LEFT(BH17,2),BASE!$C$346:$F$592,4,0),IFERROR(VLOOKUP(LEFT(BH17,1),BASE!$C$346:$F$592,4,0),BH17)))</f>
        <v>நெ</v>
      </c>
      <c r="BV17" s="186" t="str">
        <f>(IFERROR(VLOOKUP(LEFT(BG17,2),BASE!$C$346:$F$592,4,0),IFERROR(VLOOKUP(LEFT(BG17,1),BASE!$C$346:$F$592,4,0),BG17)))</f>
        <v>கு</v>
      </c>
      <c r="BW17" s="186" t="str">
        <f>(IFERROR(VLOOKUP(LEFT(BF17,2),BASE!$C$346:$F$592,4,0),IFERROR(VLOOKUP(LEFT(BF17,1),BASE!$C$346:$F$592,4,0),BF17)))</f>
        <v>ஒ</v>
      </c>
      <c r="BX17" s="186" t="str">
        <f>(IFERROR(VLOOKUP(LEFT(BE17,2),BASE!$C$346:$F$592,4,0),IFERROR(VLOOKUP(LEFT(BE17,1),BASE!$C$346:$F$592,4,0),BE17)))</f>
        <v/>
      </c>
      <c r="BY17" s="186" t="str">
        <f>(IFERROR(VLOOKUP(LEFT(BD17,2),BASE!$C$346:$F$592,4,0),IFERROR(VLOOKUP(LEFT(BD17,1),BASE!$C$346:$F$592,4,0),BD17)))</f>
        <v/>
      </c>
      <c r="BZ17" s="186" t="str">
        <f>(IFERROR(VLOOKUP(LEFT(BC17,2),BASE!$C$346:$F$592,4,0),IFERROR(VLOOKUP(LEFT(BC17,1),BASE!$C$346:$F$592,4,0),BC17)))</f>
        <v/>
      </c>
      <c r="CA17" s="186" t="str">
        <f>(IFERROR(VLOOKUP(LEFT(BB17,2),BASE!$C$346:$F$592,4,0),IFERROR(VLOOKUP(LEFT(BB17,1),BASE!$C$346:$F$592,4,0),BB17)))</f>
        <v/>
      </c>
      <c r="CB17" s="186" t="str">
        <f>(IFERROR(VLOOKUP(LEFT(BA17,2),BASE!$C$346:$F$592,4,0),IFERROR(VLOOKUP(LEFT(BA17,1),BASE!$C$346:$F$592,4,0),BA17)))</f>
        <v/>
      </c>
      <c r="CC17" s="186" t="str">
        <f>(IFERROR(VLOOKUP(LEFT(AZ17,2),BASE!$C$346:$F$592,4,0),IFERROR(VLOOKUP(LEFT(AZ17,1),BASE!$C$346:$F$592,4,0),AZ17)))</f>
        <v/>
      </c>
      <c r="CD17" s="58" t="str">
        <f t="shared" ref="CD17:CD26" si="5">BT17&amp;BU17&amp;BV17&amp;BW17&amp;BX17&amp;BY17&amp;BZ17&amp;CA17&amp;CB17&amp;CC17</f>
        <v>நெநெகுஒ</v>
      </c>
      <c r="CE17" s="58" t="str">
        <f>IFERROR(VLOOKUP((LEFT(U17,4)),BASE!$E$12:$F$23,2,0),IFERROR(VLOOKUP((LEFT(U17,3)),BASE!$E$12:$F$23,2,0),IFERROR(VLOOKUP((LEFT(U17,2)),BASE!$E$12:$F$23,2,0),IFERROR(VLOOKUP((LEFT(U17,1)),BASE!$E$12:$F$23,2,0),U17))))</f>
        <v>நேர்</v>
      </c>
      <c r="CF17" s="58" t="str">
        <f>IFERROR(VLOOKUP((LEFT(T17,4)),BASE!$E$12:$F$24,2,0),IFERROR(VLOOKUP((LEFT(T17,3)),BASE!$E$12:$F$24,2,0),IFERROR(VLOOKUP((LEFT(T17,2)),BASE!$E$12:$F$24,2,0),IFERROR(VLOOKUP((LEFT(T17,1)),BASE!$E$12:$F$24,2,0),T17))))</f>
        <v>நேர்</v>
      </c>
      <c r="CG17" s="58" t="str">
        <f>IFERROR(VLOOKUP((LEFT(S17,4)),BASE!$E$12:$F$23,2,0),IFERROR(VLOOKUP((LEFT(S17,3)),BASE!$E$12:$F$23,2,0),IFERROR(VLOOKUP((LEFT(S17,2)),BASE!$E$12:$F$23,2,0),IFERROR(VLOOKUP((LEFT(S17,1)),BASE!$E$12:$F$23,2,0),S17))))</f>
        <v>நேர்</v>
      </c>
      <c r="CH17" s="58" t="str">
        <f>IFERROR(VLOOKUP((LEFT(R17,4)),BASE!$E$12:$F$23,2,0),IFERROR(VLOOKUP((LEFT(R17,3)),BASE!$E$12:$F$23,2,0),IFERROR(VLOOKUP((LEFT(R17,2)),BASE!$E$12:$F$23,2,0),IFERROR(VLOOKUP((LEFT(R17,1)),BASE!$E$12:$F$23,2,0),R17))))</f>
        <v/>
      </c>
      <c r="CI17" s="58" t="str">
        <f>IFERROR(VLOOKUP((LEFT(Q17,4)),BASE!$E$12:$F$23,2,0),IFERROR(VLOOKUP((LEFT(Q17,3)),BASE!$E$12:$F$23,2,0),IFERROR(VLOOKUP((LEFT(Q17,2)),BASE!$E$12:$F$23,2,0),IFERROR(VLOOKUP((LEFT(Q17,1)),BASE!$E$12:$F$23,2,0),Q17))))</f>
        <v/>
      </c>
      <c r="CJ17" s="58" t="str">
        <f>IFERROR(VLOOKUP((LEFT(P17,4)),BASE!$E$12:$F$23,2,0),IFERROR(VLOOKUP((LEFT(P17,3)),BASE!$E$12:$F$23,2,0),IFERROR(VLOOKUP((LEFT(P17,2)),BASE!$E$12:$F$23,2,0),IFERROR(VLOOKUP((LEFT(P17,1)),BASE!$E$12:$F$23,2,0),P17))))</f>
        <v/>
      </c>
      <c r="CK17" s="58" t="str">
        <f>IFERROR(VLOOKUP((LEFT(O17,4)),BASE!$E$12:$F$23,2,0),IFERROR(VLOOKUP((LEFT(O17,3)),BASE!$E$12:$F$23,2,0),IFERROR(VLOOKUP((LEFT(O17,2)),BASE!$E$12:$F$23,2,0),IFERROR(VLOOKUP((LEFT(O17,1)),BASE!$E$12:$F$23,2,0),O17))))</f>
        <v/>
      </c>
      <c r="CL17" s="58" t="str">
        <f>IFERROR(VLOOKUP((LEFT(N17,4)),BASE!$E$12:$F$23,2,0),IFERROR(VLOOKUP((LEFT(N17,3)),BASE!$E$12:$F$23,2,0),IFERROR(VLOOKUP((LEFT(N17,2)),BASE!$E$12:$F$23,2,0),IFERROR(VLOOKUP((LEFT(N17,1)),BASE!$E$12:$F$23,2,0),N17))))</f>
        <v/>
      </c>
      <c r="CM17" s="58" t="str">
        <f>IFERROR(VLOOKUP((LEFT(M17,4)),BASE!$E$12:$F$23,2,0),IFERROR(VLOOKUP((LEFT(M17,3)),BASE!$E$12:$F$23,2,0),IFERROR(VLOOKUP((LEFT(M17,2)),BASE!$E$12:$F$23,2,0),IFERROR(VLOOKUP((LEFT(M17,1)),BASE!$E$12:$F$23,2,0),M17))))</f>
        <v/>
      </c>
      <c r="CN17" s="58" t="str">
        <f>IFERROR(VLOOKUP((LEFT(L17,4)),BASE!$E$12:$F$23,2,0),IFERROR(VLOOKUP((LEFT(L17,3)),BASE!$E$12:$F$23,2,0),IFERROR(VLOOKUP((LEFT(L17,2)),BASE!$E$12:$F$23,2,0),IFERROR(VLOOKUP((LEFT(L17,1)),BASE!$E$12:$F$23,2,0),L17))))</f>
        <v/>
      </c>
      <c r="CO17" s="58" t="str">
        <f t="shared" ref="CO17:CO26" si="6">CE17&amp;CF17&amp;CG17&amp;CH17</f>
        <v>நேர்நேர்நேர்</v>
      </c>
      <c r="CP17" s="58" t="str">
        <f>VLOOKUP(CO17,BASE!$E$25:$F$79,2,0)</f>
        <v>தேமாங்காய்</v>
      </c>
      <c r="CQ17" s="58" t="str">
        <f>VLOOKUP(CO17,BASE!$E$25:$G$79,3,0)&amp;CE18</f>
        <v>காய்நேர்</v>
      </c>
      <c r="CR17" s="58" t="str">
        <f>VLOOKUP(CQ17,BASE!$E$86:$G$93,2,0)</f>
        <v>காய் முன் நேர்</v>
      </c>
      <c r="CS17" s="58" t="str">
        <f>VLOOKUP(CQ17,BASE!$E$86:$G$93,3,0)</f>
        <v>வெண்சீர் வெண்டளை</v>
      </c>
      <c r="CT17" s="58" t="str">
        <f t="shared" ref="CT17:CT26" si="7">IF((OR(CH17="நிரை",CH17="நேர்")),"மூவசைக்கு மிகக்கூடாது","மூவசைக்கு மிகவில்லை")</f>
        <v>மூவசைக்கு மிகவில்லை</v>
      </c>
      <c r="CU17" s="58" t="str">
        <f t="shared" ref="CU17:CU26" si="8">IF((OR(CS17="இயற்சீர் வெண்டளை",CS17="வெண்சீர் வெண்டளை")),"சரி","தளை தட்டுகிறது")</f>
        <v>சரி</v>
      </c>
      <c r="CV17" s="193"/>
    </row>
    <row r="18" spans="1:100" ht="19.5" customHeight="1" x14ac:dyDescent="0.35">
      <c r="A18" s="119"/>
      <c r="B18" s="12">
        <f>IFERROR(VLOOKUP((LEFT(L18,4)),BASE!$E$12:$F$23,1,0),IFERROR(VLOOKUP((LEFT(L18,3)),BASE!$E$12:$F$23,1,0),IFERROR(VLOOKUP((LEFT(L18,2)),BASE!$E$12:$F$23,1,0),IFERROR(VLOOKUP((LEFT(L18,1)),BASE!$E$12:$F$23,1,0),100))))</f>
        <v>100</v>
      </c>
      <c r="C18" s="12">
        <f>IFERROR(VLOOKUP((LEFT(M18,4)),BASE!$E$12:$F$23,1,0),IFERROR(VLOOKUP((LEFT(M18,3)),BASE!$E$12:$F$23,1,0),IFERROR(VLOOKUP((LEFT(M18,2)),BASE!$E$12:$F$23,1,0),IFERROR(VLOOKUP((LEFT(M18,1)),BASE!$E$12:$F$23,1,0),100))))</f>
        <v>100</v>
      </c>
      <c r="D18" s="12">
        <f>IFERROR(VLOOKUP((LEFT(N18,4)),BASE!$E$12:$F$23,1,0),IFERROR(VLOOKUP((LEFT(N18,3)),BASE!$E$12:$F$23,1,0),IFERROR(VLOOKUP((LEFT(N18,2)),BASE!$E$12:$F$23,1,0),IFERROR(VLOOKUP((LEFT(N18,1)),BASE!$E$12:$F$23,1,0),100))))</f>
        <v>100</v>
      </c>
      <c r="E18" s="12">
        <f>IFERROR(VLOOKUP((LEFT(O18,4)),BASE!$E$12:$F$23,1,0),IFERROR(VLOOKUP((LEFT(O18,3)),BASE!$E$12:$F$23,1,0),IFERROR(VLOOKUP((LEFT(O18,2)),BASE!$E$12:$F$23,1,0),IFERROR(VLOOKUP((LEFT(O18,1)),BASE!$E$12:$F$23,1,0),100))))</f>
        <v>100</v>
      </c>
      <c r="F18" s="12">
        <f>IFERROR(VLOOKUP((LEFT(P18,4)),BASE!$E$12:$F$23,1,0),IFERROR(VLOOKUP((LEFT(P18,3)),BASE!$E$12:$F$23,1,0),IFERROR(VLOOKUP((LEFT(P18,2)),BASE!$E$12:$F$23,1,0),IFERROR(VLOOKUP((LEFT(P18,1)),BASE!$E$12:$F$23,1,0),100))))</f>
        <v>100</v>
      </c>
      <c r="G18" s="12">
        <f>IFERROR(VLOOKUP((LEFT(Q18,4)),BASE!$E$12:$F$23,1,0),IFERROR(VLOOKUP((LEFT(Q18,3)),BASE!$E$12:$F$23,1,0),IFERROR(VLOOKUP((LEFT(Q18,2)),BASE!$E$12:$F$23,1,0),IFERROR(VLOOKUP((LEFT(Q18,1)),BASE!$E$12:$F$23,1,0),100))))</f>
        <v>100</v>
      </c>
      <c r="H18" s="12">
        <f>IFERROR(VLOOKUP((LEFT(R18,4)),BASE!$E$12:$F$23,1,0),IFERROR(VLOOKUP((LEFT(R18,3)),BASE!$E$12:$F$23,1,0),IFERROR(VLOOKUP((LEFT(R18,2)),BASE!$E$12:$F$23,1,0),IFERROR(VLOOKUP((LEFT(R18,1)),BASE!$E$12:$F$23,1,0),100))))</f>
        <v>100</v>
      </c>
      <c r="I18" s="12">
        <f>IFERROR(VLOOKUP((LEFT(S18,4)),BASE!$E$12:$F$23,1,0),IFERROR(VLOOKUP((LEFT(S18,3)),BASE!$E$12:$F$23,1,0),IFERROR(VLOOKUP((LEFT(S18,2)),BASE!$E$12:$F$23,1,0),IFERROR(VLOOKUP((LEFT(S18,1)),BASE!$E$12:$F$23,1,0),100))))</f>
        <v>100</v>
      </c>
      <c r="J18" s="12" t="str">
        <f>IFERROR(VLOOKUP((LEFT(T18,4)),BASE!$E$12:$F$24,1,0),IFERROR(VLOOKUP((LEFT(T18,3)),BASE!$E$12:$F$24,1,0),IFERROR(VLOOKUP((LEFT(T18,2)),BASE!$E$12:$F$24,1,0),IFERROR(VLOOKUP((LEFT(T18,1)),BASE!$E$12:$F$24,1,0),100))))</f>
        <v>k</v>
      </c>
      <c r="K18" s="12" t="str">
        <f>IFERROR(VLOOKUP((LEFT(U18,4)),BASE!$E$12:$F$23,1,0),IFERROR(VLOOKUP((LEFT(U18,3)),BASE!$E$12:$F$23,1,0),IFERROR(VLOOKUP((LEFT(U18,2)),BASE!$E$12:$F$23,1,0),IFERROR(VLOOKUP((LEFT(U18,1)),BASE!$E$12:$F$23,1,0),100))))</f>
        <v>n</v>
      </c>
      <c r="L18" s="14" t="str">
        <f t="shared" si="0"/>
        <v/>
      </c>
      <c r="M18" s="14" t="str">
        <f t="shared" si="0"/>
        <v/>
      </c>
      <c r="N18" s="14" t="str">
        <f t="shared" si="0"/>
        <v/>
      </c>
      <c r="O18" s="14" t="str">
        <f t="shared" si="0"/>
        <v/>
      </c>
      <c r="P18" s="14" t="str">
        <f t="shared" si="0"/>
        <v/>
      </c>
      <c r="Q18" s="14" t="str">
        <f t="shared" si="0"/>
        <v/>
      </c>
      <c r="R18" s="14" t="str">
        <f t="shared" si="0"/>
        <v/>
      </c>
      <c r="S18" s="14" t="str">
        <f t="shared" si="0"/>
        <v/>
      </c>
      <c r="T18" s="14" t="str">
        <f t="shared" si="0"/>
        <v>k</v>
      </c>
      <c r="U18" s="14" t="str">
        <f t="shared" si="1"/>
        <v>nk</v>
      </c>
      <c r="V18" s="13">
        <f>IFERROR(VLOOKUP(LEFT(AZ18,2),BASE!$C$96:$E$342,3,0),IFERROR(VLOOKUP(LEFT(AZ18,1),BASE!$C$96:$E$342,3,0),100))</f>
        <v>100</v>
      </c>
      <c r="W18" s="13">
        <f>IFERROR(VLOOKUP(LEFT(BA18,2),BASE!$C$96:$E$342,3,0),IFERROR(VLOOKUP(LEFT(BA18,1),BASE!$C$96:$E$342,3,0),100))</f>
        <v>100</v>
      </c>
      <c r="X18" s="13">
        <f>IFERROR(VLOOKUP(LEFT(BB18,2),BASE!$C$96:$E$342,3,0),IFERROR(VLOOKUP(LEFT(BB18,1),BASE!$C$96:$E$342,3,0),100))</f>
        <v>100</v>
      </c>
      <c r="Y18" s="13">
        <f>IFERROR(VLOOKUP(LEFT(BC18,2),BASE!$C$96:$E$342,3,0),IFERROR(VLOOKUP(LEFT(BC18,1),BASE!$C$96:$E$342,3,0),100))</f>
        <v>100</v>
      </c>
      <c r="Z18" s="13">
        <f>IFERROR(VLOOKUP(LEFT(BD18,2),BASE!$C$96:$E$342,3,0),IFERROR(VLOOKUP(LEFT(BD18,1),BASE!$C$96:$E$342,3,0),100))</f>
        <v>100</v>
      </c>
      <c r="AA18" s="13">
        <f>IFERROR(VLOOKUP(LEFT(BE18,2),BASE!$C$96:$E$342,3,0),IFERROR(VLOOKUP(LEFT(BE18,1),BASE!$C$96:$E$342,3,0),100))</f>
        <v>100</v>
      </c>
      <c r="AB18" s="13">
        <f>IFERROR(VLOOKUP(LEFT(BF18,2),BASE!$C$96:$E$342,3,0),IFERROR(VLOOKUP(LEFT(BF18,1),BASE!$C$96:$E$342,3,0),100))</f>
        <v>100</v>
      </c>
      <c r="AC18" s="13">
        <f>IFERROR(VLOOKUP(LEFT(BG18,2),BASE!$C$96:$E$342,3,0),IFERROR(VLOOKUP(LEFT(BG18,1),BASE!$C$96:$E$342,3,0),100))</f>
        <v>100</v>
      </c>
      <c r="AD18" s="13">
        <f>IFERROR(VLOOKUP(LEFT(BH18,2),BASE!$C$96:$E$342,3,0),IFERROR(VLOOKUP(LEFT(BH18,1),BASE!$C$96:$E$342,3,0),100))</f>
        <v>1</v>
      </c>
      <c r="AE18" s="13">
        <f>IFERROR(VLOOKUP(LEFT(BI18,2),BASE!$C$96:$E$342,3,0),IFERROR(VLOOKUP(LEFT(BI18,1),BASE!$C$96:$E$342,3,0),100))</f>
        <v>2</v>
      </c>
      <c r="AF18" s="187" t="str">
        <f>IF(AND(BS18=BR18,AG18="o"),"A", (IFERROR(VLOOKUP(LEFT(AZ18,2),BASE!$C$346:$D$592,2,0),IFERROR(VLOOKUP(LEFT(AZ18,1),BASE!$C$346:$D$5922,2,0),AZ18))))</f>
        <v/>
      </c>
      <c r="AG18" s="187" t="str">
        <f>IF(AND(BR18=BQ18,AH18="o"),"A", (IFERROR(VLOOKUP(LEFT(BA18,2),BASE!$C$346:$D$592,2,0),IFERROR(VLOOKUP(LEFT(BA18,1),BASE!$C$346:$D$592,2,0),BA18))))</f>
        <v/>
      </c>
      <c r="AH18" s="187" t="str">
        <f>IF(AND(BQ18=BP18,AI18="o"),"A", (IFERROR(VLOOKUP(LEFT(BB18,2),BASE!$C$346:$D$592,2,0),IFERROR(VLOOKUP(LEFT(BB18,1),BASE!$C$346:$D$592,2,0),BB18))))</f>
        <v/>
      </c>
      <c r="AI18" s="187" t="str">
        <f>IF(AND(BP18=BO18,AJ18="o"),"A", (IFERROR(VLOOKUP(LEFT(BC18,2),BASE!$C$346:$D$592,2,0),IFERROR(VLOOKUP(LEFT(BC18,1),BASE!$C$346:$D$592,2,0),BC18))))</f>
        <v/>
      </c>
      <c r="AJ18" s="187" t="str">
        <f>IF(AND(BO18=BN18,AK18="o"),"A", (IFERROR(VLOOKUP(LEFT(BD18,2),BASE!$C$346:$D$592,2,0),IFERROR(VLOOKUP(LEFT(BD18,1),BASE!$C$346:$D$592,2,0),BD18))))</f>
        <v/>
      </c>
      <c r="AK18" s="187" t="str">
        <f>IF(AND(BN18=BM18,AL18="o"),"A", (IFERROR(VLOOKUP(LEFT(BE18,2),BASE!$C$346:$D$592,2,0),IFERROR(VLOOKUP(LEFT(BE18,1),BASE!$C$346:$D$592,2,0),BE18))))</f>
        <v/>
      </c>
      <c r="AL18" s="187" t="str">
        <f>IF(AND(BM18=BL18,AM18="o"),"A", (IFERROR(VLOOKUP(LEFT(BF18,2),BASE!$C$346:$D$592,2,0),IFERROR(VLOOKUP(LEFT(BF18,1),BASE!$C$346:$D$592,2,0),BF18))))</f>
        <v/>
      </c>
      <c r="AM18" s="187" t="str">
        <f>IF(AND(BL18=BK18,AN18="o"),"A",(IFERROR(VLOOKUP(LEFT(BG18,2),BASE!$C$346:$D$592,2,0),IFERROR(VLOOKUP(LEFT(BG18,1),BASE!$C$346:$D$592,2,0),BG18))))</f>
        <v/>
      </c>
      <c r="AN18" s="187" t="str">
        <f>(IFERROR(VLOOKUP(LEFT(BH18,2),BASE!$C$346:$D$592,2,0),IFERROR(VLOOKUP(LEFT(BH18,1),BASE!$C$346:$D$592,2,0),BH18)))</f>
        <v>k</v>
      </c>
      <c r="AO18" s="187" t="str">
        <f>(IFERROR(VLOOKUP(LEFT(BI18,2),BASE!$C$96:$D$342,2,0),IFERROR(VLOOKUP(LEFT(BI18,1),BASE!$C$96:$D$342,2,0),BI18)))</f>
        <v>n</v>
      </c>
      <c r="AP18" s="5">
        <f t="shared" si="2"/>
        <v>3</v>
      </c>
      <c r="AQ18" s="5">
        <f t="shared" si="2"/>
        <v>3</v>
      </c>
      <c r="AR18" s="5">
        <f t="shared" si="2"/>
        <v>3</v>
      </c>
      <c r="AS18" s="5">
        <f t="shared" si="2"/>
        <v>3</v>
      </c>
      <c r="AT18" s="5">
        <f t="shared" si="2"/>
        <v>3</v>
      </c>
      <c r="AU18" s="5">
        <f t="shared" si="2"/>
        <v>3</v>
      </c>
      <c r="AV18" s="5">
        <f t="shared" si="2"/>
        <v>3</v>
      </c>
      <c r="AW18" s="5">
        <f t="shared" si="2"/>
        <v>3</v>
      </c>
      <c r="AX18" s="5">
        <f t="shared" si="2"/>
        <v>3</v>
      </c>
      <c r="AY18" s="5">
        <f t="shared" si="3"/>
        <v>3</v>
      </c>
      <c r="AZ18" s="12" t="str">
        <f t="shared" si="4"/>
        <v/>
      </c>
      <c r="BA18" s="12" t="str">
        <f t="shared" si="4"/>
        <v/>
      </c>
      <c r="BB18" s="12" t="str">
        <f t="shared" si="4"/>
        <v/>
      </c>
      <c r="BC18" s="12" t="str">
        <f t="shared" si="4"/>
        <v/>
      </c>
      <c r="BD18" s="12" t="str">
        <f t="shared" si="4"/>
        <v/>
      </c>
      <c r="BE18" s="12" t="str">
        <f t="shared" si="4"/>
        <v/>
      </c>
      <c r="BF18" s="12" t="str">
        <f t="shared" si="4"/>
        <v/>
      </c>
      <c r="BG18" s="12" t="str">
        <f t="shared" si="4"/>
        <v/>
      </c>
      <c r="BH18" s="43" t="str">
        <f t="shared" si="4"/>
        <v>ல</v>
      </c>
      <c r="BI18" s="57" t="str">
        <f>CE6</f>
        <v>போல</v>
      </c>
      <c r="BJ18" s="58" t="str">
        <f>IFERROR(VLOOKUP(LEFT(BI18,2),BASE!$C$96:$F$342,1,0),IFERROR(VLOOKUP(LEFT(BI18,1),BASE!$C$96:$F$342,1,0),BI18))</f>
        <v>போ</v>
      </c>
      <c r="BK18" s="58" t="str">
        <f>IFERROR(VLOOKUP(LEFT(BH18,2),BASE!$C$96:$D$342,1,0),IFERROR(VLOOKUP(LEFT(BH18,1),BASE!$C$96:$D$342,1,0),BH18))</f>
        <v>ல</v>
      </c>
      <c r="BL18" s="58" t="str">
        <f>IFERROR(VLOOKUP(LEFT(BG18,2),BASE!$C$96:$D$342,1,0),IFERROR(VLOOKUP(LEFT(BG18,1),BASE!$C$96:$D$342,1,0),BG18))</f>
        <v/>
      </c>
      <c r="BM18" s="58" t="str">
        <f>IFERROR(VLOOKUP(LEFT(BF18,2),BASE!$C$96:$D$342,1,0),IFERROR(VLOOKUP(LEFT(BF18,1),BASE!$C$96:$D$342,1,0),BF18))</f>
        <v/>
      </c>
      <c r="BN18" s="58" t="str">
        <f>IFERROR(VLOOKUP(LEFT(BE18,2),BASE!$C$96:$D$342,1,0),IFERROR(VLOOKUP(LEFT(BE18,1),BASE!$C$96:$D$342,1,0),BE18))</f>
        <v/>
      </c>
      <c r="BO18" s="58" t="str">
        <f>IFERROR(VLOOKUP(LEFT(BD18,2),BASE!$C$96:$D$342,1,0),IFERROR(VLOOKUP(LEFT(BD18,1),BASE!$C$96:$D$342,1,0),BD18))</f>
        <v/>
      </c>
      <c r="BP18" s="58" t="str">
        <f>IFERROR(VLOOKUP(LEFT(BC18,2),BASE!$C$96:$D$342,1,0),IFERROR(VLOOKUP(LEFT(BC18,1),BASE!$C$96:$D$342,1,0),BC18))</f>
        <v/>
      </c>
      <c r="BQ18" s="58" t="str">
        <f>IFERROR(VLOOKUP(LEFT(BB18,2),BASE!$C$96:$D$342,1,0),IFERROR(VLOOKUP(LEFT(BB18,1),BASE!$C$96:$D$342,1,0),BB18))</f>
        <v/>
      </c>
      <c r="BR18" s="58" t="str">
        <f>IFERROR(VLOOKUP(LEFT(BA18,2),BASE!$C$96:$D$342,1,0),IFERROR(VLOOKUP(LEFT(BA18,1),BASE!$C$96:$D$342,1,0),BA18))</f>
        <v/>
      </c>
      <c r="BS18" s="58" t="str">
        <f>IFERROR(VLOOKUP(LEFT(AZ18,2),BASE!$C$96:$D$342,1,0),IFERROR(VLOOKUP(LEFT(AZ18,1),BASE!$C$96:$D$342,1,0),AZ18))</f>
        <v/>
      </c>
      <c r="BT18" s="186" t="str">
        <f>(IFERROR(VLOOKUP(LEFT(BI18,2),BASE!$C$96:$F$342,4,0),IFERROR(VLOOKUP(LEFT(BI18,1),BASE!$C$96:$F$342,4,0),BI18)))</f>
        <v>நெ</v>
      </c>
      <c r="BU18" s="186" t="str">
        <f>(IFERROR(VLOOKUP(LEFT(BH18,2),BASE!$C$346:$F$592,4,0),IFERROR(VLOOKUP(LEFT(BH18,1),BASE!$C$346:$F$592,4,0),BH18)))</f>
        <v>கு</v>
      </c>
      <c r="BV18" s="186" t="str">
        <f>(IFERROR(VLOOKUP(LEFT(BG18,2),BASE!$C$346:$F$592,4,0),IFERROR(VLOOKUP(LEFT(BG18,1),BASE!$C$346:$F$592,4,0),BG18)))</f>
        <v/>
      </c>
      <c r="BW18" s="186" t="str">
        <f>(IFERROR(VLOOKUP(LEFT(BF18,2),BASE!$C$346:$F$592,4,0),IFERROR(VLOOKUP(LEFT(BF18,1),BASE!$C$346:$F$592,4,0),BF18)))</f>
        <v/>
      </c>
      <c r="BX18" s="186" t="str">
        <f>(IFERROR(VLOOKUP(LEFT(BE18,2),BASE!$C$346:$F$592,4,0),IFERROR(VLOOKUP(LEFT(BE18,1),BASE!$C$346:$F$592,4,0),BE18)))</f>
        <v/>
      </c>
      <c r="BY18" s="186" t="str">
        <f>(IFERROR(VLOOKUP(LEFT(BD18,2),BASE!$C$346:$F$592,4,0),IFERROR(VLOOKUP(LEFT(BD18,1),BASE!$C$346:$F$592,4,0),BD18)))</f>
        <v/>
      </c>
      <c r="BZ18" s="186" t="str">
        <f>(IFERROR(VLOOKUP(LEFT(BC18,2),BASE!$C$346:$F$592,4,0),IFERROR(VLOOKUP(LEFT(BC18,1),BASE!$C$346:$F$592,4,0),BC18)))</f>
        <v/>
      </c>
      <c r="CA18" s="186" t="str">
        <f>(IFERROR(VLOOKUP(LEFT(BB18,2),BASE!$C$346:$F$592,4,0),IFERROR(VLOOKUP(LEFT(BB18,1),BASE!$C$346:$F$592,4,0),BB18)))</f>
        <v/>
      </c>
      <c r="CB18" s="186" t="str">
        <f>(IFERROR(VLOOKUP(LEFT(BA18,2),BASE!$C$346:$F$592,4,0),IFERROR(VLOOKUP(LEFT(BA18,1),BASE!$C$346:$F$592,4,0),BA18)))</f>
        <v/>
      </c>
      <c r="CC18" s="186" t="str">
        <f>(IFERROR(VLOOKUP(LEFT(AZ18,2),BASE!$C$346:$F$592,4,0),IFERROR(VLOOKUP(LEFT(AZ18,1),BASE!$C$346:$F$592,4,0),AZ18)))</f>
        <v/>
      </c>
      <c r="CD18" s="58" t="str">
        <f t="shared" si="5"/>
        <v>நெகு</v>
      </c>
      <c r="CE18" s="58" t="str">
        <f>IFERROR(VLOOKUP((LEFT(U18,4)),BASE!$E$12:$F$23,2,0),IFERROR(VLOOKUP((LEFT(U18,3)),BASE!$E$12:$F$23,2,0),IFERROR(VLOOKUP((LEFT(U18,2)),BASE!$E$12:$F$23,2,0),IFERROR(VLOOKUP((LEFT(U18,1)),BASE!$E$12:$F$23,2,0),U18))))</f>
        <v>நேர்</v>
      </c>
      <c r="CF18" s="58" t="str">
        <f>IFERROR(VLOOKUP((LEFT(T18,4)),BASE!$E$12:$F$24,2,0),IFERROR(VLOOKUP((LEFT(T18,3)),BASE!$E$12:$F$24,2,0),IFERROR(VLOOKUP((LEFT(T18,2)),BASE!$E$12:$F$24,2,0),IFERROR(VLOOKUP((LEFT(T18,1)),BASE!$E$12:$F$24,2,0),T18))))</f>
        <v>நேர்</v>
      </c>
      <c r="CG18" s="58" t="str">
        <f>IFERROR(VLOOKUP((LEFT(S18,4)),BASE!$E$12:$F$23,2,0),IFERROR(VLOOKUP((LEFT(S18,3)),BASE!$E$12:$F$23,2,0),IFERROR(VLOOKUP((LEFT(S18,2)),BASE!$E$12:$F$23,2,0),IFERROR(VLOOKUP((LEFT(S18,1)),BASE!$E$12:$F$23,2,0),S18))))</f>
        <v/>
      </c>
      <c r="CH18" s="58" t="str">
        <f>IFERROR(VLOOKUP((LEFT(R18,4)),BASE!$E$12:$F$23,2,0),IFERROR(VLOOKUP((LEFT(R18,3)),BASE!$E$12:$F$23,2,0),IFERROR(VLOOKUP((LEFT(R18,2)),BASE!$E$12:$F$23,2,0),IFERROR(VLOOKUP((LEFT(R18,1)),BASE!$E$12:$F$23,2,0),R18))))</f>
        <v/>
      </c>
      <c r="CI18" s="58" t="str">
        <f>IFERROR(VLOOKUP((LEFT(Q18,4)),BASE!$E$12:$F$23,2,0),IFERROR(VLOOKUP((LEFT(Q18,3)),BASE!$E$12:$F$23,2,0),IFERROR(VLOOKUP((LEFT(Q18,2)),BASE!$E$12:$F$23,2,0),IFERROR(VLOOKUP((LEFT(Q18,1)),BASE!$E$12:$F$23,2,0),Q18))))</f>
        <v/>
      </c>
      <c r="CJ18" s="58" t="str">
        <f>IFERROR(VLOOKUP((LEFT(P18,4)),BASE!$E$12:$F$23,2,0),IFERROR(VLOOKUP((LEFT(P18,3)),BASE!$E$12:$F$23,2,0),IFERROR(VLOOKUP((LEFT(P18,2)),BASE!$E$12:$F$23,2,0),IFERROR(VLOOKUP((LEFT(P18,1)),BASE!$E$12:$F$23,2,0),P18))))</f>
        <v/>
      </c>
      <c r="CK18" s="58" t="str">
        <f>IFERROR(VLOOKUP((LEFT(O18,4)),BASE!$E$12:$F$23,2,0),IFERROR(VLOOKUP((LEFT(O18,3)),BASE!$E$12:$F$23,2,0),IFERROR(VLOOKUP((LEFT(O18,2)),BASE!$E$12:$F$23,2,0),IFERROR(VLOOKUP((LEFT(O18,1)),BASE!$E$12:$F$23,2,0),O18))))</f>
        <v/>
      </c>
      <c r="CL18" s="58" t="str">
        <f>IFERROR(VLOOKUP((LEFT(N18,4)),BASE!$E$12:$F$23,2,0),IFERROR(VLOOKUP((LEFT(N18,3)),BASE!$E$12:$F$23,2,0),IFERROR(VLOOKUP((LEFT(N18,2)),BASE!$E$12:$F$23,2,0),IFERROR(VLOOKUP((LEFT(N18,1)),BASE!$E$12:$F$23,2,0),N18))))</f>
        <v/>
      </c>
      <c r="CM18" s="58" t="str">
        <f>IFERROR(VLOOKUP((LEFT(M18,4)),BASE!$E$12:$F$23,2,0),IFERROR(VLOOKUP((LEFT(M18,3)),BASE!$E$12:$F$23,2,0),IFERROR(VLOOKUP((LEFT(M18,2)),BASE!$E$12:$F$23,2,0),IFERROR(VLOOKUP((LEFT(M18,1)),BASE!$E$12:$F$23,2,0),M18))))</f>
        <v/>
      </c>
      <c r="CN18" s="58" t="str">
        <f>IFERROR(VLOOKUP((LEFT(L18,4)),BASE!$E$12:$F$23,2,0),IFERROR(VLOOKUP((LEFT(L18,3)),BASE!$E$12:$F$23,2,0),IFERROR(VLOOKUP((LEFT(L18,2)),BASE!$E$12:$F$23,2,0),IFERROR(VLOOKUP((LEFT(L18,1)),BASE!$E$12:$F$23,2,0),L18))))</f>
        <v/>
      </c>
      <c r="CO18" s="58" t="str">
        <f t="shared" si="6"/>
        <v>நேர்நேர்</v>
      </c>
      <c r="CP18" s="58" t="str">
        <f>VLOOKUP(CO18,BASE!$E$25:$F$79,2,0)</f>
        <v>தேமா</v>
      </c>
      <c r="CQ18" s="58" t="str">
        <f>VLOOKUP(CO18,BASE!$E$25:$G$79,3,0)&amp;CE19</f>
        <v>மாநிரை</v>
      </c>
      <c r="CR18" s="58" t="str">
        <f>VLOOKUP(CQ18,BASE!$E$86:$G$93,2,0)</f>
        <v>மாமுன் நிரை</v>
      </c>
      <c r="CS18" s="58" t="str">
        <f>VLOOKUP(CQ18,BASE!$E$86:$G$93,3,0)</f>
        <v>இயற்சீர் வெண்டளை</v>
      </c>
      <c r="CT18" s="58" t="str">
        <f t="shared" si="7"/>
        <v>மூவசைக்கு மிகவில்லை</v>
      </c>
      <c r="CU18" s="58" t="str">
        <f t="shared" si="8"/>
        <v>சரி</v>
      </c>
      <c r="CV18" s="193"/>
    </row>
    <row r="19" spans="1:100" ht="19.5" customHeight="1" x14ac:dyDescent="0.35">
      <c r="A19" s="119"/>
      <c r="B19" s="12">
        <f>IFERROR(VLOOKUP((LEFT(L19,4)),BASE!$E$12:$F$23,1,0),IFERROR(VLOOKUP((LEFT(L19,3)),BASE!$E$12:$F$23,1,0),IFERROR(VLOOKUP((LEFT(L19,2)),BASE!$E$12:$F$23,1,0),IFERROR(VLOOKUP((LEFT(L19,1)),BASE!$E$12:$F$23,1,0),100))))</f>
        <v>100</v>
      </c>
      <c r="C19" s="12">
        <f>IFERROR(VLOOKUP((LEFT(M19,4)),BASE!$E$12:$F$23,1,0),IFERROR(VLOOKUP((LEFT(M19,3)),BASE!$E$12:$F$23,1,0),IFERROR(VLOOKUP((LEFT(M19,2)),BASE!$E$12:$F$23,1,0),IFERROR(VLOOKUP((LEFT(M19,1)),BASE!$E$12:$F$23,1,0),100))))</f>
        <v>100</v>
      </c>
      <c r="D19" s="12">
        <f>IFERROR(VLOOKUP((LEFT(N19,4)),BASE!$E$12:$F$23,1,0),IFERROR(VLOOKUP((LEFT(N19,3)),BASE!$E$12:$F$23,1,0),IFERROR(VLOOKUP((LEFT(N19,2)),BASE!$E$12:$F$23,1,0),IFERROR(VLOOKUP((LEFT(N19,1)),BASE!$E$12:$F$23,1,0),100))))</f>
        <v>100</v>
      </c>
      <c r="E19" s="12">
        <f>IFERROR(VLOOKUP((LEFT(O19,4)),BASE!$E$12:$F$23,1,0),IFERROR(VLOOKUP((LEFT(O19,3)),BASE!$E$12:$F$23,1,0),IFERROR(VLOOKUP((LEFT(O19,2)),BASE!$E$12:$F$23,1,0),IFERROR(VLOOKUP((LEFT(O19,1)),BASE!$E$12:$F$23,1,0),100))))</f>
        <v>100</v>
      </c>
      <c r="F19" s="12">
        <f>IFERROR(VLOOKUP((LEFT(P19,4)),BASE!$E$12:$F$23,1,0),IFERROR(VLOOKUP((LEFT(P19,3)),BASE!$E$12:$F$23,1,0),IFERROR(VLOOKUP((LEFT(P19,2)),BASE!$E$12:$F$23,1,0),IFERROR(VLOOKUP((LEFT(P19,1)),BASE!$E$12:$F$23,1,0),100))))</f>
        <v>100</v>
      </c>
      <c r="G19" s="12">
        <f>IFERROR(VLOOKUP((LEFT(Q19,4)),BASE!$E$12:$F$23,1,0),IFERROR(VLOOKUP((LEFT(Q19,3)),BASE!$E$12:$F$23,1,0),IFERROR(VLOOKUP((LEFT(Q19,2)),BASE!$E$12:$F$23,1,0),IFERROR(VLOOKUP((LEFT(Q19,1)),BASE!$E$12:$F$23,1,0),100))))</f>
        <v>100</v>
      </c>
      <c r="H19" s="12">
        <f>IFERROR(VLOOKUP((LEFT(R19,4)),BASE!$E$12:$F$23,1,0),IFERROR(VLOOKUP((LEFT(R19,3)),BASE!$E$12:$F$23,1,0),IFERROR(VLOOKUP((LEFT(R19,2)),BASE!$E$12:$F$23,1,0),IFERROR(VLOOKUP((LEFT(R19,1)),BASE!$E$12:$F$23,1,0),100))))</f>
        <v>100</v>
      </c>
      <c r="I19" s="12" t="str">
        <f>IFERROR(VLOOKUP((LEFT(S19,4)),BASE!$E$12:$F$23,1,0),IFERROR(VLOOKUP((LEFT(S19,3)),BASE!$E$12:$F$23,1,0),IFERROR(VLOOKUP((LEFT(S19,2)),BASE!$E$12:$F$23,1,0),IFERROR(VLOOKUP((LEFT(S19,1)),BASE!$E$12:$F$23,1,0),100))))</f>
        <v>no</v>
      </c>
      <c r="J19" s="12" t="str">
        <f>IFERROR(VLOOKUP((LEFT(T19,4)),BASE!$E$12:$F$24,1,0),IFERROR(VLOOKUP((LEFT(T19,3)),BASE!$E$12:$F$24,1,0),IFERROR(VLOOKUP((LEFT(T19,2)),BASE!$E$12:$F$24,1,0),IFERROR(VLOOKUP((LEFT(T19,1)),BASE!$E$12:$F$24,1,0),100))))</f>
        <v>kk</v>
      </c>
      <c r="K19" s="12" t="str">
        <f>IFERROR(VLOOKUP((LEFT(U19,4)),BASE!$E$12:$F$23,1,0),IFERROR(VLOOKUP((LEFT(U19,3)),BASE!$E$12:$F$23,1,0),IFERROR(VLOOKUP((LEFT(U19,2)),BASE!$E$12:$F$23,1,0),IFERROR(VLOOKUP((LEFT(U19,1)),BASE!$E$12:$F$23,1,0),100))))</f>
        <v>kk</v>
      </c>
      <c r="L19" s="14" t="str">
        <f t="shared" si="0"/>
        <v/>
      </c>
      <c r="M19" s="14" t="str">
        <f t="shared" si="0"/>
        <v/>
      </c>
      <c r="N19" s="14" t="str">
        <f t="shared" si="0"/>
        <v/>
      </c>
      <c r="O19" s="14" t="str">
        <f t="shared" si="0"/>
        <v/>
      </c>
      <c r="P19" s="14" t="str">
        <f t="shared" si="0"/>
        <v/>
      </c>
      <c r="Q19" s="14" t="str">
        <f t="shared" si="0"/>
        <v/>
      </c>
      <c r="R19" s="14" t="str">
        <f t="shared" si="0"/>
        <v/>
      </c>
      <c r="S19" s="14" t="str">
        <f t="shared" si="0"/>
        <v>no</v>
      </c>
      <c r="T19" s="14" t="str">
        <f t="shared" si="0"/>
        <v>kkno</v>
      </c>
      <c r="U19" s="14" t="str">
        <f t="shared" si="1"/>
        <v>kkkkno</v>
      </c>
      <c r="V19" s="13">
        <f>IFERROR(VLOOKUP(LEFT(AZ19,2),BASE!$C$96:$E$342,3,0),IFERROR(VLOOKUP(LEFT(AZ19,1),BASE!$C$96:$E$342,3,0),100))</f>
        <v>100</v>
      </c>
      <c r="W19" s="13">
        <f>IFERROR(VLOOKUP(LEFT(BA19,2),BASE!$C$96:$E$342,3,0),IFERROR(VLOOKUP(LEFT(BA19,1),BASE!$C$96:$E$342,3,0),100))</f>
        <v>100</v>
      </c>
      <c r="X19" s="13">
        <f>IFERROR(VLOOKUP(LEFT(BB19,2),BASE!$C$96:$E$342,3,0),IFERROR(VLOOKUP(LEFT(BB19,1),BASE!$C$96:$E$342,3,0),100))</f>
        <v>100</v>
      </c>
      <c r="Y19" s="13">
        <f>IFERROR(VLOOKUP(LEFT(BC19,2),BASE!$C$96:$E$342,3,0),IFERROR(VLOOKUP(LEFT(BC19,1),BASE!$C$96:$E$342,3,0),100))</f>
        <v>100</v>
      </c>
      <c r="Z19" s="13">
        <f>IFERROR(VLOOKUP(LEFT(BD19,2),BASE!$C$96:$E$342,3,0),IFERROR(VLOOKUP(LEFT(BD19,1),BASE!$C$96:$E$342,3,0),100))</f>
        <v>2</v>
      </c>
      <c r="AA19" s="13">
        <f>IFERROR(VLOOKUP(LEFT(BE19,2),BASE!$C$96:$E$342,3,0),IFERROR(VLOOKUP(LEFT(BE19,1),BASE!$C$96:$E$342,3,0),100))</f>
        <v>2</v>
      </c>
      <c r="AB19" s="13">
        <f>IFERROR(VLOOKUP(LEFT(BF19,2),BASE!$C$96:$E$342,3,0),IFERROR(VLOOKUP(LEFT(BF19,1),BASE!$C$96:$E$342,3,0),100))</f>
        <v>2</v>
      </c>
      <c r="AC19" s="13">
        <f>IFERROR(VLOOKUP(LEFT(BG19,2),BASE!$C$96:$E$342,3,0),IFERROR(VLOOKUP(LEFT(BG19,1),BASE!$C$96:$E$342,3,0),100))</f>
        <v>2</v>
      </c>
      <c r="AD19" s="13">
        <f>IFERROR(VLOOKUP(LEFT(BH19,2),BASE!$C$96:$E$342,3,0),IFERROR(VLOOKUP(LEFT(BH19,1),BASE!$C$96:$E$342,3,0),100))</f>
        <v>2</v>
      </c>
      <c r="AE19" s="13">
        <f>IFERROR(VLOOKUP(LEFT(BI19,2),BASE!$C$96:$E$342,3,0),IFERROR(VLOOKUP(LEFT(BI19,1),BASE!$C$96:$E$342,3,0),100))</f>
        <v>1</v>
      </c>
      <c r="AF19" s="187" t="str">
        <f>IF(AND(BS19=BR19,AG19="o"),"A", (IFERROR(VLOOKUP(LEFT(AZ19,2),BASE!$C$346:$D$592,2,0),IFERROR(VLOOKUP(LEFT(AZ19,1),BASE!$C$346:$D$5922,2,0),AZ19))))</f>
        <v/>
      </c>
      <c r="AG19" s="187" t="str">
        <f>IF(AND(BR19=BQ19,AH19="o"),"A", (IFERROR(VLOOKUP(LEFT(BA19,2),BASE!$C$346:$D$592,2,0),IFERROR(VLOOKUP(LEFT(BA19,1),BASE!$C$346:$D$592,2,0),BA19))))</f>
        <v/>
      </c>
      <c r="AH19" s="187" t="str">
        <f>IF(AND(BQ19=BP19,AI19="o"),"A", (IFERROR(VLOOKUP(LEFT(BB19,2),BASE!$C$346:$D$592,2,0),IFERROR(VLOOKUP(LEFT(BB19,1),BASE!$C$346:$D$592,2,0),BB19))))</f>
        <v/>
      </c>
      <c r="AI19" s="187" t="str">
        <f>IF(AND(BP19=BO19,AJ19="o"),"A", (IFERROR(VLOOKUP(LEFT(BC19,2),BASE!$C$346:$D$592,2,0),IFERROR(VLOOKUP(LEFT(BC19,1),BASE!$C$346:$D$592,2,0),BC19))))</f>
        <v/>
      </c>
      <c r="AJ19" s="187" t="str">
        <f>IF(AND(BO19=BN19,AK19="o"),"A", (IFERROR(VLOOKUP(LEFT(BD19,2),BASE!$C$346:$D$592,2,0),IFERROR(VLOOKUP(LEFT(BD19,1),BASE!$C$346:$D$592,2,0),BD19))))</f>
        <v>o</v>
      </c>
      <c r="AK19" s="187" t="str">
        <f>IF(AND(BN19=BM19,AL19="o"),"A", (IFERROR(VLOOKUP(LEFT(BE19,2),BASE!$C$346:$D$592,2,0),IFERROR(VLOOKUP(LEFT(BE19,1),BASE!$C$346:$D$592,2,0),BE19))))</f>
        <v>n</v>
      </c>
      <c r="AL19" s="187" t="str">
        <f>IF(AND(BM19=BL19,AM19="o"),"A", (IFERROR(VLOOKUP(LEFT(BF19,2),BASE!$C$346:$D$592,2,0),IFERROR(VLOOKUP(LEFT(BF19,1),BASE!$C$346:$D$592,2,0),BF19))))</f>
        <v>k</v>
      </c>
      <c r="AM19" s="187" t="str">
        <f>IF(AND(BL19=BK19,AN19="o"),"A",(IFERROR(VLOOKUP(LEFT(BG19,2),BASE!$C$346:$D$592,2,0),IFERROR(VLOOKUP(LEFT(BG19,1),BASE!$C$346:$D$592,2,0),BG19))))</f>
        <v>k</v>
      </c>
      <c r="AN19" s="187" t="str">
        <f>(IFERROR(VLOOKUP(LEFT(BH19,2),BASE!$C$346:$D$592,2,0),IFERROR(VLOOKUP(LEFT(BH19,1),BASE!$C$346:$D$592,2,0),BH19)))</f>
        <v>k</v>
      </c>
      <c r="AO19" s="187" t="str">
        <f>(IFERROR(VLOOKUP(LEFT(BI19,2),BASE!$C$96:$D$342,2,0),IFERROR(VLOOKUP(LEFT(BI19,1),BASE!$C$96:$D$342,2,0),BI19)))</f>
        <v>k</v>
      </c>
      <c r="AP19" s="5">
        <f t="shared" si="2"/>
        <v>11</v>
      </c>
      <c r="AQ19" s="5">
        <f t="shared" si="2"/>
        <v>11</v>
      </c>
      <c r="AR19" s="5">
        <f t="shared" si="2"/>
        <v>11</v>
      </c>
      <c r="AS19" s="5">
        <f t="shared" si="2"/>
        <v>11</v>
      </c>
      <c r="AT19" s="5">
        <f t="shared" si="2"/>
        <v>11</v>
      </c>
      <c r="AU19" s="5">
        <f t="shared" si="2"/>
        <v>11</v>
      </c>
      <c r="AV19" s="5">
        <f t="shared" si="2"/>
        <v>11</v>
      </c>
      <c r="AW19" s="5">
        <f t="shared" si="2"/>
        <v>11</v>
      </c>
      <c r="AX19" s="5">
        <f t="shared" si="2"/>
        <v>11</v>
      </c>
      <c r="AY19" s="5">
        <f t="shared" si="3"/>
        <v>11</v>
      </c>
      <c r="AZ19" s="12" t="str">
        <f t="shared" si="4"/>
        <v/>
      </c>
      <c r="BA19" s="12" t="str">
        <f t="shared" si="4"/>
        <v/>
      </c>
      <c r="BB19" s="12" t="str">
        <f t="shared" si="4"/>
        <v/>
      </c>
      <c r="BC19" s="12" t="str">
        <f t="shared" si="4"/>
        <v/>
      </c>
      <c r="BD19" s="12" t="str">
        <f t="shared" si="4"/>
        <v>ர்</v>
      </c>
      <c r="BE19" s="12" t="str">
        <f t="shared" si="4"/>
        <v>யார்</v>
      </c>
      <c r="BF19" s="12" t="str">
        <f t="shared" si="4"/>
        <v>டையார்</v>
      </c>
      <c r="BG19" s="12" t="str">
        <f t="shared" si="4"/>
        <v>ளுடையார்</v>
      </c>
      <c r="BH19" s="43" t="str">
        <f t="shared" si="4"/>
        <v>ருளுடையார்</v>
      </c>
      <c r="BI19" s="57" t="str">
        <f>CF6</f>
        <v>அருளுடையார்</v>
      </c>
      <c r="BJ19" s="58" t="str">
        <f>IFERROR(VLOOKUP(LEFT(BI19,2),BASE!$C$96:$F$342,1,0),IFERROR(VLOOKUP(LEFT(BI19,1),BASE!$C$96:$F$342,1,0),BI19))</f>
        <v>அ</v>
      </c>
      <c r="BK19" s="58" t="str">
        <f>IFERROR(VLOOKUP(LEFT(BH19,2),BASE!$C$96:$D$342,1,0),IFERROR(VLOOKUP(LEFT(BH19,1),BASE!$C$96:$D$342,1,0),BH19))</f>
        <v>ரு</v>
      </c>
      <c r="BL19" s="58" t="str">
        <f>IFERROR(VLOOKUP(LEFT(BG19,2),BASE!$C$96:$D$342,1,0),IFERROR(VLOOKUP(LEFT(BG19,1),BASE!$C$96:$D$342,1,0),BG19))</f>
        <v>ளு</v>
      </c>
      <c r="BM19" s="58" t="str">
        <f>IFERROR(VLOOKUP(LEFT(BF19,2),BASE!$C$96:$D$342,1,0),IFERROR(VLOOKUP(LEFT(BF19,1),BASE!$C$96:$D$342,1,0),BF19))</f>
        <v>டை</v>
      </c>
      <c r="BN19" s="58" t="str">
        <f>IFERROR(VLOOKUP(LEFT(BE19,2),BASE!$C$96:$D$342,1,0),IFERROR(VLOOKUP(LEFT(BE19,1),BASE!$C$96:$D$342,1,0),BE19))</f>
        <v>யா</v>
      </c>
      <c r="BO19" s="58" t="str">
        <f>IFERROR(VLOOKUP(LEFT(BD19,2),BASE!$C$96:$D$342,1,0),IFERROR(VLOOKUP(LEFT(BD19,1),BASE!$C$96:$D$342,1,0),BD19))</f>
        <v>ர்</v>
      </c>
      <c r="BP19" s="58" t="str">
        <f>IFERROR(VLOOKUP(LEFT(BC19,2),BASE!$C$96:$D$342,1,0),IFERROR(VLOOKUP(LEFT(BC19,1),BASE!$C$96:$D$342,1,0),BC19))</f>
        <v/>
      </c>
      <c r="BQ19" s="58" t="str">
        <f>IFERROR(VLOOKUP(LEFT(BB19,2),BASE!$C$96:$D$342,1,0),IFERROR(VLOOKUP(LEFT(BB19,1),BASE!$C$96:$D$342,1,0),BB19))</f>
        <v/>
      </c>
      <c r="BR19" s="58" t="str">
        <f>IFERROR(VLOOKUP(LEFT(BA19,2),BASE!$C$96:$D$342,1,0),IFERROR(VLOOKUP(LEFT(BA19,1),BASE!$C$96:$D$342,1,0),BA19))</f>
        <v/>
      </c>
      <c r="BS19" s="58" t="str">
        <f>IFERROR(VLOOKUP(LEFT(AZ19,2),BASE!$C$96:$D$342,1,0),IFERROR(VLOOKUP(LEFT(AZ19,1),BASE!$C$96:$D$342,1,0),AZ19))</f>
        <v/>
      </c>
      <c r="BT19" s="186" t="str">
        <f>(IFERROR(VLOOKUP(LEFT(BI19,2),BASE!$C$96:$F$342,4,0),IFERROR(VLOOKUP(LEFT(BI19,1),BASE!$C$96:$F$342,4,0),BI19)))</f>
        <v>கு</v>
      </c>
      <c r="BU19" s="186" t="str">
        <f>(IFERROR(VLOOKUP(LEFT(BH19,2),BASE!$C$346:$F$592,4,0),IFERROR(VLOOKUP(LEFT(BH19,1),BASE!$C$346:$F$592,4,0),BH19)))</f>
        <v>கு</v>
      </c>
      <c r="BV19" s="186" t="str">
        <f>(IFERROR(VLOOKUP(LEFT(BG19,2),BASE!$C$346:$F$592,4,0),IFERROR(VLOOKUP(LEFT(BG19,1),BASE!$C$346:$F$592,4,0),BG19)))</f>
        <v>கு</v>
      </c>
      <c r="BW19" s="186" t="str">
        <f>(IFERROR(VLOOKUP(LEFT(BF19,2),BASE!$C$346:$F$592,4,0),IFERROR(VLOOKUP(LEFT(BF19,1),BASE!$C$346:$F$592,4,0),BF19)))</f>
        <v>கு</v>
      </c>
      <c r="BX19" s="186" t="str">
        <f>(IFERROR(VLOOKUP(LEFT(BE19,2),BASE!$C$346:$F$592,4,0),IFERROR(VLOOKUP(LEFT(BE19,1),BASE!$C$346:$F$592,4,0),BE19)))</f>
        <v>நெ</v>
      </c>
      <c r="BY19" s="186" t="str">
        <f>(IFERROR(VLOOKUP(LEFT(BD19,2),BASE!$C$346:$F$592,4,0),IFERROR(VLOOKUP(LEFT(BD19,1),BASE!$C$346:$F$592,4,0),BD19)))</f>
        <v>ஒ</v>
      </c>
      <c r="BZ19" s="186" t="str">
        <f>(IFERROR(VLOOKUP(LEFT(BC19,2),BASE!$C$346:$F$592,4,0),IFERROR(VLOOKUP(LEFT(BC19,1),BASE!$C$346:$F$592,4,0),BC19)))</f>
        <v/>
      </c>
      <c r="CA19" s="186" t="str">
        <f>(IFERROR(VLOOKUP(LEFT(BB19,2),BASE!$C$346:$F$592,4,0),IFERROR(VLOOKUP(LEFT(BB19,1),BASE!$C$346:$F$592,4,0),BB19)))</f>
        <v/>
      </c>
      <c r="CB19" s="186" t="str">
        <f>(IFERROR(VLOOKUP(LEFT(BA19,2),BASE!$C$346:$F$592,4,0),IFERROR(VLOOKUP(LEFT(BA19,1),BASE!$C$346:$F$592,4,0),BA19)))</f>
        <v/>
      </c>
      <c r="CC19" s="186" t="str">
        <f>(IFERROR(VLOOKUP(LEFT(AZ19,2),BASE!$C$346:$F$592,4,0),IFERROR(VLOOKUP(LEFT(AZ19,1),BASE!$C$346:$F$592,4,0),AZ19)))</f>
        <v/>
      </c>
      <c r="CD19" s="58" t="str">
        <f t="shared" si="5"/>
        <v>குகுகுகுநெஒ</v>
      </c>
      <c r="CE19" s="58" t="str">
        <f>IFERROR(VLOOKUP((LEFT(U19,4)),BASE!$E$12:$F$23,2,0),IFERROR(VLOOKUP((LEFT(U19,3)),BASE!$E$12:$F$23,2,0),IFERROR(VLOOKUP((LEFT(U19,2)),BASE!$E$12:$F$23,2,0),IFERROR(VLOOKUP((LEFT(U19,1)),BASE!$E$12:$F$23,2,0),U19))))</f>
        <v>நிரை</v>
      </c>
      <c r="CF19" s="58" t="str">
        <f>IFERROR(VLOOKUP((LEFT(T19,4)),BASE!$E$12:$F$24,2,0),IFERROR(VLOOKUP((LEFT(T19,3)),BASE!$E$12:$F$24,2,0),IFERROR(VLOOKUP((LEFT(T19,2)),BASE!$E$12:$F$24,2,0),IFERROR(VLOOKUP((LEFT(T19,1)),BASE!$E$12:$F$24,2,0),T19))))</f>
        <v>நிரை</v>
      </c>
      <c r="CG19" s="58" t="str">
        <f>IFERROR(VLOOKUP((LEFT(S19,4)),BASE!$E$12:$F$23,2,0),IFERROR(VLOOKUP((LEFT(S19,3)),BASE!$E$12:$F$23,2,0),IFERROR(VLOOKUP((LEFT(S19,2)),BASE!$E$12:$F$23,2,0),IFERROR(VLOOKUP((LEFT(S19,1)),BASE!$E$12:$F$23,2,0),S19))))</f>
        <v>நேர்</v>
      </c>
      <c r="CH19" s="58" t="str">
        <f>IFERROR(VLOOKUP((LEFT(R19,4)),BASE!$E$12:$F$23,2,0),IFERROR(VLOOKUP((LEFT(R19,3)),BASE!$E$12:$F$23,2,0),IFERROR(VLOOKUP((LEFT(R19,2)),BASE!$E$12:$F$23,2,0),IFERROR(VLOOKUP((LEFT(R19,1)),BASE!$E$12:$F$23,2,0),R19))))</f>
        <v/>
      </c>
      <c r="CI19" s="58" t="str">
        <f>IFERROR(VLOOKUP((LEFT(Q19,4)),BASE!$E$12:$F$23,2,0),IFERROR(VLOOKUP((LEFT(Q19,3)),BASE!$E$12:$F$23,2,0),IFERROR(VLOOKUP((LEFT(Q19,2)),BASE!$E$12:$F$23,2,0),IFERROR(VLOOKUP((LEFT(Q19,1)),BASE!$E$12:$F$23,2,0),Q19))))</f>
        <v/>
      </c>
      <c r="CJ19" s="58" t="str">
        <f>IFERROR(VLOOKUP((LEFT(P19,4)),BASE!$E$12:$F$23,2,0),IFERROR(VLOOKUP((LEFT(P19,3)),BASE!$E$12:$F$23,2,0),IFERROR(VLOOKUP((LEFT(P19,2)),BASE!$E$12:$F$23,2,0),IFERROR(VLOOKUP((LEFT(P19,1)),BASE!$E$12:$F$23,2,0),P19))))</f>
        <v/>
      </c>
      <c r="CK19" s="58" t="str">
        <f>IFERROR(VLOOKUP((LEFT(O19,4)),BASE!$E$12:$F$23,2,0),IFERROR(VLOOKUP((LEFT(O19,3)),BASE!$E$12:$F$23,2,0),IFERROR(VLOOKUP((LEFT(O19,2)),BASE!$E$12:$F$23,2,0),IFERROR(VLOOKUP((LEFT(O19,1)),BASE!$E$12:$F$23,2,0),O19))))</f>
        <v/>
      </c>
      <c r="CL19" s="58" t="str">
        <f>IFERROR(VLOOKUP((LEFT(N19,4)),BASE!$E$12:$F$23,2,0),IFERROR(VLOOKUP((LEFT(N19,3)),BASE!$E$12:$F$23,2,0),IFERROR(VLOOKUP((LEFT(N19,2)),BASE!$E$12:$F$23,2,0),IFERROR(VLOOKUP((LEFT(N19,1)),BASE!$E$12:$F$23,2,0),N19))))</f>
        <v/>
      </c>
      <c r="CM19" s="58" t="str">
        <f>IFERROR(VLOOKUP((LEFT(M19,4)),BASE!$E$12:$F$23,2,0),IFERROR(VLOOKUP((LEFT(M19,3)),BASE!$E$12:$F$23,2,0),IFERROR(VLOOKUP((LEFT(M19,2)),BASE!$E$12:$F$23,2,0),IFERROR(VLOOKUP((LEFT(M19,1)),BASE!$E$12:$F$23,2,0),M19))))</f>
        <v/>
      </c>
      <c r="CN19" s="58" t="str">
        <f>IFERROR(VLOOKUP((LEFT(L19,4)),BASE!$E$12:$F$23,2,0),IFERROR(VLOOKUP((LEFT(L19,3)),BASE!$E$12:$F$23,2,0),IFERROR(VLOOKUP((LEFT(L19,2)),BASE!$E$12:$F$23,2,0),IFERROR(VLOOKUP((LEFT(L19,1)),BASE!$E$12:$F$23,2,0),L19))))</f>
        <v/>
      </c>
      <c r="CO19" s="58" t="str">
        <f t="shared" si="6"/>
        <v>நிரைநிரைநேர்</v>
      </c>
      <c r="CP19" s="58" t="str">
        <f>VLOOKUP(CO19,BASE!$E$25:$F$79,2,0)</f>
        <v>கருவிளங்காய்</v>
      </c>
      <c r="CQ19" s="58" t="str">
        <f>VLOOKUP(CO19,BASE!$E$25:$G$79,3,0)&amp;CE20</f>
        <v>காய்நேர்</v>
      </c>
      <c r="CR19" s="58" t="str">
        <f>VLOOKUP(CQ19,BASE!$E$86:$G$93,2,0)</f>
        <v>காய் முன் நேர்</v>
      </c>
      <c r="CS19" s="58" t="str">
        <f>VLOOKUP(CQ19,BASE!$E$86:$G$93,3,0)</f>
        <v>வெண்சீர் வெண்டளை</v>
      </c>
      <c r="CT19" s="58" t="str">
        <f t="shared" si="7"/>
        <v>மூவசைக்கு மிகவில்லை</v>
      </c>
      <c r="CU19" s="58" t="str">
        <f t="shared" si="8"/>
        <v>சரி</v>
      </c>
      <c r="CV19" s="193"/>
    </row>
    <row r="20" spans="1:100" ht="19.5" customHeight="1" x14ac:dyDescent="0.35">
      <c r="A20" s="119"/>
      <c r="B20" s="12">
        <f>IFERROR(VLOOKUP((LEFT(L20,4)),BASE!$E$12:$F$23,1,0),IFERROR(VLOOKUP((LEFT(L20,3)),BASE!$E$12:$F$23,1,0),IFERROR(VLOOKUP((LEFT(L20,2)),BASE!$E$12:$F$23,1,0),IFERROR(VLOOKUP((LEFT(L20,1)),BASE!$E$12:$F$23,1,0),100))))</f>
        <v>100</v>
      </c>
      <c r="C20" s="12">
        <f>IFERROR(VLOOKUP((LEFT(M20,4)),BASE!$E$12:$F$23,1,0),IFERROR(VLOOKUP((LEFT(M20,3)),BASE!$E$12:$F$23,1,0),IFERROR(VLOOKUP((LEFT(M20,2)),BASE!$E$12:$F$23,1,0),IFERROR(VLOOKUP((LEFT(M20,1)),BASE!$E$12:$F$23,1,0),100))))</f>
        <v>100</v>
      </c>
      <c r="D20" s="12">
        <f>IFERROR(VLOOKUP((LEFT(N20,4)),BASE!$E$12:$F$23,1,0),IFERROR(VLOOKUP((LEFT(N20,3)),BASE!$E$12:$F$23,1,0),IFERROR(VLOOKUP((LEFT(N20,2)),BASE!$E$12:$F$23,1,0),IFERROR(VLOOKUP((LEFT(N20,1)),BASE!$E$12:$F$23,1,0),100))))</f>
        <v>100</v>
      </c>
      <c r="E20" s="12">
        <f>IFERROR(VLOOKUP((LEFT(O20,4)),BASE!$E$12:$F$23,1,0),IFERROR(VLOOKUP((LEFT(O20,3)),BASE!$E$12:$F$23,1,0),IFERROR(VLOOKUP((LEFT(O20,2)),BASE!$E$12:$F$23,1,0),IFERROR(VLOOKUP((LEFT(O20,1)),BASE!$E$12:$F$23,1,0),100))))</f>
        <v>100</v>
      </c>
      <c r="F20" s="12">
        <f>IFERROR(VLOOKUP((LEFT(P20,4)),BASE!$E$12:$F$23,1,0),IFERROR(VLOOKUP((LEFT(P20,3)),BASE!$E$12:$F$23,1,0),IFERROR(VLOOKUP((LEFT(P20,2)),BASE!$E$12:$F$23,1,0),IFERROR(VLOOKUP((LEFT(P20,1)),BASE!$E$12:$F$23,1,0),100))))</f>
        <v>100</v>
      </c>
      <c r="G20" s="12">
        <f>IFERROR(VLOOKUP((LEFT(Q20,4)),BASE!$E$12:$F$23,1,0),IFERROR(VLOOKUP((LEFT(Q20,3)),BASE!$E$12:$F$23,1,0),IFERROR(VLOOKUP((LEFT(Q20,2)),BASE!$E$12:$F$23,1,0),IFERROR(VLOOKUP((LEFT(Q20,1)),BASE!$E$12:$F$23,1,0),100))))</f>
        <v>100</v>
      </c>
      <c r="H20" s="12">
        <f>IFERROR(VLOOKUP((LEFT(R20,4)),BASE!$E$12:$F$23,1,0),IFERROR(VLOOKUP((LEFT(R20,3)),BASE!$E$12:$F$23,1,0),IFERROR(VLOOKUP((LEFT(R20,2)),BASE!$E$12:$F$23,1,0),IFERROR(VLOOKUP((LEFT(R20,1)),BASE!$E$12:$F$23,1,0),100))))</f>
        <v>100</v>
      </c>
      <c r="I20" s="12" t="str">
        <f>IFERROR(VLOOKUP((LEFT(S20,4)),BASE!$E$12:$F$23,1,0),IFERROR(VLOOKUP((LEFT(S20,3)),BASE!$E$12:$F$23,1,0),IFERROR(VLOOKUP((LEFT(S20,2)),BASE!$E$12:$F$23,1,0),IFERROR(VLOOKUP((LEFT(S20,1)),BASE!$E$12:$F$23,1,0),100))))</f>
        <v>ko</v>
      </c>
      <c r="J20" s="12" t="str">
        <f>IFERROR(VLOOKUP((LEFT(T20,4)),BASE!$E$12:$F$24,1,0),IFERROR(VLOOKUP((LEFT(T20,3)),BASE!$E$12:$F$24,1,0),IFERROR(VLOOKUP((LEFT(T20,2)),BASE!$E$12:$F$24,1,0),IFERROR(VLOOKUP((LEFT(T20,1)),BASE!$E$12:$F$24,1,0),100))))</f>
        <v>kk</v>
      </c>
      <c r="K20" s="12" t="str">
        <f>IFERROR(VLOOKUP((LEFT(U20,4)),BASE!$E$12:$F$23,1,0),IFERROR(VLOOKUP((LEFT(U20,3)),BASE!$E$12:$F$23,1,0),IFERROR(VLOOKUP((LEFT(U20,2)),BASE!$E$12:$F$23,1,0),IFERROR(VLOOKUP((LEFT(U20,1)),BASE!$E$12:$F$23,1,0),100))))</f>
        <v>ko</v>
      </c>
      <c r="L20" s="14" t="str">
        <f t="shared" si="0"/>
        <v/>
      </c>
      <c r="M20" s="14" t="str">
        <f t="shared" si="0"/>
        <v/>
      </c>
      <c r="N20" s="14" t="str">
        <f t="shared" si="0"/>
        <v/>
      </c>
      <c r="O20" s="14" t="str">
        <f t="shared" si="0"/>
        <v/>
      </c>
      <c r="P20" s="14" t="str">
        <f t="shared" si="0"/>
        <v/>
      </c>
      <c r="Q20" s="14" t="str">
        <f t="shared" si="0"/>
        <v/>
      </c>
      <c r="R20" s="14" t="str">
        <f t="shared" si="0"/>
        <v/>
      </c>
      <c r="S20" s="14" t="str">
        <f t="shared" si="0"/>
        <v>ko</v>
      </c>
      <c r="T20" s="14" t="str">
        <f t="shared" si="0"/>
        <v>kkko</v>
      </c>
      <c r="U20" s="14" t="str">
        <f t="shared" si="1"/>
        <v>kokkko</v>
      </c>
      <c r="V20" s="13">
        <f>IFERROR(VLOOKUP(LEFT(AZ20,2),BASE!$C$96:$E$342,3,0),IFERROR(VLOOKUP(LEFT(AZ20,1),BASE!$C$96:$E$342,3,0),100))</f>
        <v>100</v>
      </c>
      <c r="W20" s="13">
        <f>IFERROR(VLOOKUP(LEFT(BA20,2),BASE!$C$96:$E$342,3,0),IFERROR(VLOOKUP(LEFT(BA20,1),BASE!$C$96:$E$342,3,0),100))</f>
        <v>100</v>
      </c>
      <c r="X20" s="13">
        <f>IFERROR(VLOOKUP(LEFT(BB20,2),BASE!$C$96:$E$342,3,0),IFERROR(VLOOKUP(LEFT(BB20,1),BASE!$C$96:$E$342,3,0),100))</f>
        <v>100</v>
      </c>
      <c r="Y20" s="13">
        <f>IFERROR(VLOOKUP(LEFT(BC20,2),BASE!$C$96:$E$342,3,0),IFERROR(VLOOKUP(LEFT(BC20,1),BASE!$C$96:$E$342,3,0),100))</f>
        <v>100</v>
      </c>
      <c r="Z20" s="13">
        <f>IFERROR(VLOOKUP(LEFT(BD20,2),BASE!$C$96:$E$342,3,0),IFERROR(VLOOKUP(LEFT(BD20,1),BASE!$C$96:$E$342,3,0),100))</f>
        <v>2</v>
      </c>
      <c r="AA20" s="13">
        <f>IFERROR(VLOOKUP(LEFT(BE20,2),BASE!$C$96:$E$342,3,0),IFERROR(VLOOKUP(LEFT(BE20,1),BASE!$C$96:$E$342,3,0),100))</f>
        <v>1</v>
      </c>
      <c r="AB20" s="13">
        <f>IFERROR(VLOOKUP(LEFT(BF20,2),BASE!$C$96:$E$342,3,0),IFERROR(VLOOKUP(LEFT(BF20,1),BASE!$C$96:$E$342,3,0),100))</f>
        <v>1</v>
      </c>
      <c r="AC20" s="13">
        <f>IFERROR(VLOOKUP(LEFT(BG20,2),BASE!$C$96:$E$342,3,0),IFERROR(VLOOKUP(LEFT(BG20,1),BASE!$C$96:$E$342,3,0),100))</f>
        <v>1</v>
      </c>
      <c r="AD20" s="13">
        <f>IFERROR(VLOOKUP(LEFT(BH20,2),BASE!$C$96:$E$342,3,0),IFERROR(VLOOKUP(LEFT(BH20,1),BASE!$C$96:$E$342,3,0),100))</f>
        <v>2</v>
      </c>
      <c r="AE20" s="13">
        <f>IFERROR(VLOOKUP(LEFT(BI20,2),BASE!$C$96:$E$342,3,0),IFERROR(VLOOKUP(LEFT(BI20,1),BASE!$C$96:$E$342,3,0),100))</f>
        <v>1</v>
      </c>
      <c r="AF20" s="187" t="str">
        <f>IF(AND(BS20=BR20,AG20="o"),"A", (IFERROR(VLOOKUP(LEFT(AZ20,2),BASE!$C$346:$D$592,2,0),IFERROR(VLOOKUP(LEFT(AZ20,1),BASE!$C$346:$D$5922,2,0),AZ20))))</f>
        <v/>
      </c>
      <c r="AG20" s="187" t="str">
        <f>IF(AND(BR20=BQ20,AH20="o"),"A", (IFERROR(VLOOKUP(LEFT(BA20,2),BASE!$C$346:$D$592,2,0),IFERROR(VLOOKUP(LEFT(BA20,1),BASE!$C$346:$D$592,2,0),BA20))))</f>
        <v/>
      </c>
      <c r="AH20" s="187" t="str">
        <f>IF(AND(BQ20=BP20,AI20="o"),"A", (IFERROR(VLOOKUP(LEFT(BB20,2),BASE!$C$346:$D$592,2,0),IFERROR(VLOOKUP(LEFT(BB20,1),BASE!$C$346:$D$592,2,0),BB20))))</f>
        <v/>
      </c>
      <c r="AI20" s="187" t="str">
        <f>IF(AND(BP20=BO20,AJ20="o"),"A", (IFERROR(VLOOKUP(LEFT(BC20,2),BASE!$C$346:$D$592,2,0),IFERROR(VLOOKUP(LEFT(BC20,1),BASE!$C$346:$D$592,2,0),BC20))))</f>
        <v/>
      </c>
      <c r="AJ20" s="187" t="str">
        <f>IF(AND(BO20=BN20,AK20="o"),"A", (IFERROR(VLOOKUP(LEFT(BD20,2),BASE!$C$346:$D$592,2,0),IFERROR(VLOOKUP(LEFT(BD20,1),BASE!$C$346:$D$592,2,0),BD20))))</f>
        <v>o</v>
      </c>
      <c r="AK20" s="187" t="str">
        <f>IF(AND(BN20=BM20,AL20="o"),"A", (IFERROR(VLOOKUP(LEFT(BE20,2),BASE!$C$346:$D$592,2,0),IFERROR(VLOOKUP(LEFT(BE20,1),BASE!$C$346:$D$592,2,0),BE20))))</f>
        <v>k</v>
      </c>
      <c r="AL20" s="187" t="str">
        <f>IF(AND(BM20=BL20,AM20="o"),"A", (IFERROR(VLOOKUP(LEFT(BF20,2),BASE!$C$346:$D$592,2,0),IFERROR(VLOOKUP(LEFT(BF20,1),BASE!$C$346:$D$592,2,0),BF20))))</f>
        <v>k</v>
      </c>
      <c r="AM20" s="187" t="str">
        <f>IF(AND(BL20=BK20,AN20="o"),"A",(IFERROR(VLOOKUP(LEFT(BG20,2),BASE!$C$346:$D$592,2,0),IFERROR(VLOOKUP(LEFT(BG20,1),BASE!$C$346:$D$592,2,0),BG20))))</f>
        <v>k</v>
      </c>
      <c r="AN20" s="187" t="str">
        <f>(IFERROR(VLOOKUP(LEFT(BH20,2),BASE!$C$346:$D$592,2,0),IFERROR(VLOOKUP(LEFT(BH20,1),BASE!$C$346:$D$592,2,0),BH20)))</f>
        <v>o</v>
      </c>
      <c r="AO20" s="187" t="str">
        <f>(IFERROR(VLOOKUP(LEFT(BI20,2),BASE!$C$96:$D$342,2,0),IFERROR(VLOOKUP(LEFT(BI20,1),BASE!$C$96:$D$342,2,0),BI20)))</f>
        <v>k</v>
      </c>
      <c r="AP20" s="5">
        <f t="shared" si="2"/>
        <v>8</v>
      </c>
      <c r="AQ20" s="5">
        <f t="shared" si="2"/>
        <v>8</v>
      </c>
      <c r="AR20" s="5">
        <f t="shared" si="2"/>
        <v>8</v>
      </c>
      <c r="AS20" s="5">
        <f t="shared" si="2"/>
        <v>8</v>
      </c>
      <c r="AT20" s="5">
        <f t="shared" si="2"/>
        <v>8</v>
      </c>
      <c r="AU20" s="5">
        <f t="shared" si="2"/>
        <v>8</v>
      </c>
      <c r="AV20" s="5">
        <f t="shared" si="2"/>
        <v>8</v>
      </c>
      <c r="AW20" s="5">
        <f t="shared" si="2"/>
        <v>8</v>
      </c>
      <c r="AX20" s="5">
        <f t="shared" si="2"/>
        <v>8</v>
      </c>
      <c r="AY20" s="5">
        <f t="shared" si="3"/>
        <v>8</v>
      </c>
      <c r="AZ20" s="12" t="str">
        <f t="shared" si="4"/>
        <v/>
      </c>
      <c r="BA20" s="12" t="str">
        <f t="shared" si="4"/>
        <v/>
      </c>
      <c r="BB20" s="12" t="str">
        <f t="shared" si="4"/>
        <v/>
      </c>
      <c r="BC20" s="12" t="str">
        <f t="shared" si="4"/>
        <v/>
      </c>
      <c r="BD20" s="12" t="str">
        <f t="shared" si="4"/>
        <v>த்</v>
      </c>
      <c r="BE20" s="12" t="str">
        <f t="shared" si="4"/>
        <v>லத்</v>
      </c>
      <c r="BF20" s="12" t="str">
        <f t="shared" si="4"/>
        <v>மலத்</v>
      </c>
      <c r="BG20" s="12" t="str">
        <f t="shared" si="4"/>
        <v>கமலத்</v>
      </c>
      <c r="BH20" s="43" t="str">
        <f t="shared" si="4"/>
        <v>ன்கமலத்</v>
      </c>
      <c r="BI20" s="57" t="str">
        <f>CG6</f>
        <v>இன்கமலத்</v>
      </c>
      <c r="BJ20" s="58" t="str">
        <f>IFERROR(VLOOKUP(LEFT(BI20,2),BASE!$C$96:$F$342,1,0),IFERROR(VLOOKUP(LEFT(BI20,1),BASE!$C$96:$F$342,1,0),BI20))</f>
        <v>இ</v>
      </c>
      <c r="BK20" s="58" t="str">
        <f>IFERROR(VLOOKUP(LEFT(BH20,2),BASE!$C$96:$D$342,1,0),IFERROR(VLOOKUP(LEFT(BH20,1),BASE!$C$96:$D$342,1,0),BH20))</f>
        <v>ன்</v>
      </c>
      <c r="BL20" s="58" t="str">
        <f>IFERROR(VLOOKUP(LEFT(BG20,2),BASE!$C$96:$D$342,1,0),IFERROR(VLOOKUP(LEFT(BG20,1),BASE!$C$96:$D$342,1,0),BG20))</f>
        <v>க</v>
      </c>
      <c r="BM20" s="58" t="str">
        <f>IFERROR(VLOOKUP(LEFT(BF20,2),BASE!$C$96:$D$342,1,0),IFERROR(VLOOKUP(LEFT(BF20,1),BASE!$C$96:$D$342,1,0),BF20))</f>
        <v>ம</v>
      </c>
      <c r="BN20" s="58" t="str">
        <f>IFERROR(VLOOKUP(LEFT(BE20,2),BASE!$C$96:$D$342,1,0),IFERROR(VLOOKUP(LEFT(BE20,1),BASE!$C$96:$D$342,1,0),BE20))</f>
        <v>ல</v>
      </c>
      <c r="BO20" s="58" t="str">
        <f>IFERROR(VLOOKUP(LEFT(BD20,2),BASE!$C$96:$D$342,1,0),IFERROR(VLOOKUP(LEFT(BD20,1),BASE!$C$96:$D$342,1,0),BD20))</f>
        <v>த்</v>
      </c>
      <c r="BP20" s="58" t="str">
        <f>IFERROR(VLOOKUP(LEFT(BC20,2),BASE!$C$96:$D$342,1,0),IFERROR(VLOOKUP(LEFT(BC20,1),BASE!$C$96:$D$342,1,0),BC20))</f>
        <v/>
      </c>
      <c r="BQ20" s="58" t="str">
        <f>IFERROR(VLOOKUP(LEFT(BB20,2),BASE!$C$96:$D$342,1,0),IFERROR(VLOOKUP(LEFT(BB20,1),BASE!$C$96:$D$342,1,0),BB20))</f>
        <v/>
      </c>
      <c r="BR20" s="58" t="str">
        <f>IFERROR(VLOOKUP(LEFT(BA20,2),BASE!$C$96:$D$342,1,0),IFERROR(VLOOKUP(LEFT(BA20,1),BASE!$C$96:$D$342,1,0),BA20))</f>
        <v/>
      </c>
      <c r="BS20" s="58" t="str">
        <f>IFERROR(VLOOKUP(LEFT(AZ20,2),BASE!$C$96:$D$342,1,0),IFERROR(VLOOKUP(LEFT(AZ20,1),BASE!$C$96:$D$342,1,0),AZ20))</f>
        <v/>
      </c>
      <c r="BT20" s="186" t="str">
        <f>(IFERROR(VLOOKUP(LEFT(BI20,2),BASE!$C$96:$F$342,4,0),IFERROR(VLOOKUP(LEFT(BI20,1),BASE!$C$96:$F$342,4,0),BI20)))</f>
        <v>கு</v>
      </c>
      <c r="BU20" s="186" t="str">
        <f>(IFERROR(VLOOKUP(LEFT(BH20,2),BASE!$C$346:$F$592,4,0),IFERROR(VLOOKUP(LEFT(BH20,1),BASE!$C$346:$F$592,4,0),BH20)))</f>
        <v>ஒ</v>
      </c>
      <c r="BV20" s="186" t="str">
        <f>(IFERROR(VLOOKUP(LEFT(BG20,2),BASE!$C$346:$F$592,4,0),IFERROR(VLOOKUP(LEFT(BG20,1),BASE!$C$346:$F$592,4,0),BG20)))</f>
        <v>கு</v>
      </c>
      <c r="BW20" s="186" t="str">
        <f>(IFERROR(VLOOKUP(LEFT(BF20,2),BASE!$C$346:$F$592,4,0),IFERROR(VLOOKUP(LEFT(BF20,1),BASE!$C$346:$F$592,4,0),BF20)))</f>
        <v>கு</v>
      </c>
      <c r="BX20" s="186" t="str">
        <f>(IFERROR(VLOOKUP(LEFT(BE20,2),BASE!$C$346:$F$592,4,0),IFERROR(VLOOKUP(LEFT(BE20,1),BASE!$C$346:$F$592,4,0),BE20)))</f>
        <v>கு</v>
      </c>
      <c r="BY20" s="186" t="str">
        <f>(IFERROR(VLOOKUP(LEFT(BD20,2),BASE!$C$346:$F$592,4,0),IFERROR(VLOOKUP(LEFT(BD20,1),BASE!$C$346:$F$592,4,0),BD20)))</f>
        <v>ஒ</v>
      </c>
      <c r="BZ20" s="186" t="str">
        <f>(IFERROR(VLOOKUP(LEFT(BC20,2),BASE!$C$346:$F$592,4,0),IFERROR(VLOOKUP(LEFT(BC20,1),BASE!$C$346:$F$592,4,0),BC20)))</f>
        <v/>
      </c>
      <c r="CA20" s="186" t="str">
        <f>(IFERROR(VLOOKUP(LEFT(BB20,2),BASE!$C$346:$F$592,4,0),IFERROR(VLOOKUP(LEFT(BB20,1),BASE!$C$346:$F$592,4,0),BB20)))</f>
        <v/>
      </c>
      <c r="CB20" s="186" t="str">
        <f>(IFERROR(VLOOKUP(LEFT(BA20,2),BASE!$C$346:$F$592,4,0),IFERROR(VLOOKUP(LEFT(BA20,1),BASE!$C$346:$F$592,4,0),BA20)))</f>
        <v/>
      </c>
      <c r="CC20" s="186" t="str">
        <f>(IFERROR(VLOOKUP(LEFT(AZ20,2),BASE!$C$346:$F$592,4,0),IFERROR(VLOOKUP(LEFT(AZ20,1),BASE!$C$346:$F$592,4,0),AZ20)))</f>
        <v/>
      </c>
      <c r="CD20" s="58" t="str">
        <f t="shared" si="5"/>
        <v>குஒகுகுகுஒ</v>
      </c>
      <c r="CE20" s="58" t="str">
        <f>IFERROR(VLOOKUP((LEFT(U20,4)),BASE!$E$12:$F$23,2,0),IFERROR(VLOOKUP((LEFT(U20,3)),BASE!$E$12:$F$23,2,0),IFERROR(VLOOKUP((LEFT(U20,2)),BASE!$E$12:$F$23,2,0),IFERROR(VLOOKUP((LEFT(U20,1)),BASE!$E$12:$F$23,2,0),U20))))</f>
        <v>நேர்</v>
      </c>
      <c r="CF20" s="58" t="str">
        <f>IFERROR(VLOOKUP((LEFT(T20,4)),BASE!$E$12:$F$24,2,0),IFERROR(VLOOKUP((LEFT(T20,3)),BASE!$E$12:$F$24,2,0),IFERROR(VLOOKUP((LEFT(T20,2)),BASE!$E$12:$F$24,2,0),IFERROR(VLOOKUP((LEFT(T20,1)),BASE!$E$12:$F$24,2,0),T20))))</f>
        <v>நிரை</v>
      </c>
      <c r="CG20" s="58" t="str">
        <f>IFERROR(VLOOKUP((LEFT(S20,4)),BASE!$E$12:$F$23,2,0),IFERROR(VLOOKUP((LEFT(S20,3)),BASE!$E$12:$F$23,2,0),IFERROR(VLOOKUP((LEFT(S20,2)),BASE!$E$12:$F$23,2,0),IFERROR(VLOOKUP((LEFT(S20,1)),BASE!$E$12:$F$23,2,0),S20))))</f>
        <v>நேர்</v>
      </c>
      <c r="CH20" s="58" t="str">
        <f>IFERROR(VLOOKUP((LEFT(R20,4)),BASE!$E$12:$F$23,2,0),IFERROR(VLOOKUP((LEFT(R20,3)),BASE!$E$12:$F$23,2,0),IFERROR(VLOOKUP((LEFT(R20,2)),BASE!$E$12:$F$23,2,0),IFERROR(VLOOKUP((LEFT(R20,1)),BASE!$E$12:$F$23,2,0),R20))))</f>
        <v/>
      </c>
      <c r="CI20" s="58" t="str">
        <f>IFERROR(VLOOKUP((LEFT(Q20,4)),BASE!$E$12:$F$23,2,0),IFERROR(VLOOKUP((LEFT(Q20,3)),BASE!$E$12:$F$23,2,0),IFERROR(VLOOKUP((LEFT(Q20,2)),BASE!$E$12:$F$23,2,0),IFERROR(VLOOKUP((LEFT(Q20,1)),BASE!$E$12:$F$23,2,0),Q20))))</f>
        <v/>
      </c>
      <c r="CJ20" s="58" t="str">
        <f>IFERROR(VLOOKUP((LEFT(P20,4)),BASE!$E$12:$F$23,2,0),IFERROR(VLOOKUP((LEFT(P20,3)),BASE!$E$12:$F$23,2,0),IFERROR(VLOOKUP((LEFT(P20,2)),BASE!$E$12:$F$23,2,0),IFERROR(VLOOKUP((LEFT(P20,1)),BASE!$E$12:$F$23,2,0),P20))))</f>
        <v/>
      </c>
      <c r="CK20" s="58" t="str">
        <f>IFERROR(VLOOKUP((LEFT(O20,4)),BASE!$E$12:$F$23,2,0),IFERROR(VLOOKUP((LEFT(O20,3)),BASE!$E$12:$F$23,2,0),IFERROR(VLOOKUP((LEFT(O20,2)),BASE!$E$12:$F$23,2,0),IFERROR(VLOOKUP((LEFT(O20,1)),BASE!$E$12:$F$23,2,0),O20))))</f>
        <v/>
      </c>
      <c r="CL20" s="58" t="str">
        <f>IFERROR(VLOOKUP((LEFT(N20,4)),BASE!$E$12:$F$23,2,0),IFERROR(VLOOKUP((LEFT(N20,3)),BASE!$E$12:$F$23,2,0),IFERROR(VLOOKUP((LEFT(N20,2)),BASE!$E$12:$F$23,2,0),IFERROR(VLOOKUP((LEFT(N20,1)),BASE!$E$12:$F$23,2,0),N20))))</f>
        <v/>
      </c>
      <c r="CM20" s="58" t="str">
        <f>IFERROR(VLOOKUP((LEFT(M20,4)),BASE!$E$12:$F$23,2,0),IFERROR(VLOOKUP((LEFT(M20,3)),BASE!$E$12:$F$23,2,0),IFERROR(VLOOKUP((LEFT(M20,2)),BASE!$E$12:$F$23,2,0),IFERROR(VLOOKUP((LEFT(M20,1)),BASE!$E$12:$F$23,2,0),M20))))</f>
        <v/>
      </c>
      <c r="CN20" s="58" t="str">
        <f>IFERROR(VLOOKUP((LEFT(L20,4)),BASE!$E$12:$F$23,2,0),IFERROR(VLOOKUP((LEFT(L20,3)),BASE!$E$12:$F$23,2,0),IFERROR(VLOOKUP((LEFT(L20,2)),BASE!$E$12:$F$23,2,0),IFERROR(VLOOKUP((LEFT(L20,1)),BASE!$E$12:$F$23,2,0),L20))))</f>
        <v/>
      </c>
      <c r="CO20" s="58" t="str">
        <f t="shared" si="6"/>
        <v>நேர்நிரைநேர்</v>
      </c>
      <c r="CP20" s="58" t="str">
        <f>VLOOKUP(CO20,BASE!$E$25:$F$79,2,0)</f>
        <v>கூவிளங்காய்</v>
      </c>
      <c r="CQ20" s="58" t="str">
        <f>VLOOKUP(CO20,BASE!$E$25:$G$79,3,0)&amp;CE21</f>
        <v>காய்நேர்</v>
      </c>
      <c r="CR20" s="58" t="str">
        <f>VLOOKUP(CQ20,BASE!$E$86:$G$93,2,0)</f>
        <v>காய் முன் நேர்</v>
      </c>
      <c r="CS20" s="58" t="str">
        <f>VLOOKUP(CQ20,BASE!$E$86:$G$93,3,0)</f>
        <v>வெண்சீர் வெண்டளை</v>
      </c>
      <c r="CT20" s="58" t="str">
        <f t="shared" si="7"/>
        <v>மூவசைக்கு மிகவில்லை</v>
      </c>
      <c r="CU20" s="58" t="str">
        <f t="shared" si="8"/>
        <v>சரி</v>
      </c>
      <c r="CV20" s="193"/>
    </row>
    <row r="21" spans="1:100" ht="19.5" customHeight="1" x14ac:dyDescent="0.35">
      <c r="A21" s="119"/>
      <c r="B21" s="12">
        <f>IFERROR(VLOOKUP((LEFT(L21,4)),BASE!$E$12:$F$23,1,0),IFERROR(VLOOKUP((LEFT(L21,3)),BASE!$E$12:$F$23,1,0),IFERROR(VLOOKUP((LEFT(L21,2)),BASE!$E$12:$F$23,1,0),IFERROR(VLOOKUP((LEFT(L21,1)),BASE!$E$12:$F$23,1,0),100))))</f>
        <v>100</v>
      </c>
      <c r="C21" s="12">
        <f>IFERROR(VLOOKUP((LEFT(M21,4)),BASE!$E$12:$F$23,1,0),IFERROR(VLOOKUP((LEFT(M21,3)),BASE!$E$12:$F$23,1,0),IFERROR(VLOOKUP((LEFT(M21,2)),BASE!$E$12:$F$23,1,0),IFERROR(VLOOKUP((LEFT(M21,1)),BASE!$E$12:$F$23,1,0),100))))</f>
        <v>100</v>
      </c>
      <c r="D21" s="12">
        <f>IFERROR(VLOOKUP((LEFT(N21,4)),BASE!$E$12:$F$23,1,0),IFERROR(VLOOKUP((LEFT(N21,3)),BASE!$E$12:$F$23,1,0),IFERROR(VLOOKUP((LEFT(N21,2)),BASE!$E$12:$F$23,1,0),IFERROR(VLOOKUP((LEFT(N21,1)),BASE!$E$12:$F$23,1,0),100))))</f>
        <v>100</v>
      </c>
      <c r="E21" s="12">
        <f>IFERROR(VLOOKUP((LEFT(O21,4)),BASE!$E$12:$F$23,1,0),IFERROR(VLOOKUP((LEFT(O21,3)),BASE!$E$12:$F$23,1,0),IFERROR(VLOOKUP((LEFT(O21,2)),BASE!$E$12:$F$23,1,0),IFERROR(VLOOKUP((LEFT(O21,1)),BASE!$E$12:$F$23,1,0),100))))</f>
        <v>100</v>
      </c>
      <c r="F21" s="12">
        <f>IFERROR(VLOOKUP((LEFT(P21,4)),BASE!$E$12:$F$23,1,0),IFERROR(VLOOKUP((LEFT(P21,3)),BASE!$E$12:$F$23,1,0),IFERROR(VLOOKUP((LEFT(P21,2)),BASE!$E$12:$F$23,1,0),IFERROR(VLOOKUP((LEFT(P21,1)),BASE!$E$12:$F$23,1,0),100))))</f>
        <v>100</v>
      </c>
      <c r="G21" s="12">
        <f>IFERROR(VLOOKUP((LEFT(Q21,4)),BASE!$E$12:$F$23,1,0),IFERROR(VLOOKUP((LEFT(Q21,3)),BASE!$E$12:$F$23,1,0),IFERROR(VLOOKUP((LEFT(Q21,2)),BASE!$E$12:$F$23,1,0),IFERROR(VLOOKUP((LEFT(Q21,1)),BASE!$E$12:$F$23,1,0),100))))</f>
        <v>100</v>
      </c>
      <c r="H21" s="12">
        <f>IFERROR(VLOOKUP((LEFT(R21,4)),BASE!$E$12:$F$23,1,0),IFERROR(VLOOKUP((LEFT(R21,3)),BASE!$E$12:$F$23,1,0),IFERROR(VLOOKUP((LEFT(R21,2)),BASE!$E$12:$F$23,1,0),IFERROR(VLOOKUP((LEFT(R21,1)),BASE!$E$12:$F$23,1,0),100))))</f>
        <v>100</v>
      </c>
      <c r="I21" s="12" t="str">
        <f>IFERROR(VLOOKUP((LEFT(S21,4)),BASE!$E$12:$F$23,1,0),IFERROR(VLOOKUP((LEFT(S21,3)),BASE!$E$12:$F$23,1,0),IFERROR(VLOOKUP((LEFT(S21,2)),BASE!$E$12:$F$23,1,0),IFERROR(VLOOKUP((LEFT(S21,1)),BASE!$E$12:$F$23,1,0),100))))</f>
        <v>koo</v>
      </c>
      <c r="J21" s="12" t="str">
        <f>IFERROR(VLOOKUP((LEFT(T21,4)),BASE!$E$12:$F$24,1,0),IFERROR(VLOOKUP((LEFT(T21,3)),BASE!$E$12:$F$24,1,0),IFERROR(VLOOKUP((LEFT(T21,2)),BASE!$E$12:$F$24,1,0),IFERROR(VLOOKUP((LEFT(T21,1)),BASE!$E$12:$F$24,1,0),100))))</f>
        <v>n</v>
      </c>
      <c r="K21" s="12" t="str">
        <f>IFERROR(VLOOKUP((LEFT(U21,4)),BASE!$E$12:$F$23,1,0),IFERROR(VLOOKUP((LEFT(U21,3)),BASE!$E$12:$F$23,1,0),IFERROR(VLOOKUP((LEFT(U21,2)),BASE!$E$12:$F$23,1,0),IFERROR(VLOOKUP((LEFT(U21,1)),BASE!$E$12:$F$23,1,0),100))))</f>
        <v>n</v>
      </c>
      <c r="L21" s="14" t="str">
        <f t="shared" si="0"/>
        <v/>
      </c>
      <c r="M21" s="14" t="str">
        <f t="shared" si="0"/>
        <v/>
      </c>
      <c r="N21" s="14" t="str">
        <f t="shared" si="0"/>
        <v/>
      </c>
      <c r="O21" s="14" t="str">
        <f t="shared" si="0"/>
        <v/>
      </c>
      <c r="P21" s="14" t="str">
        <f t="shared" si="0"/>
        <v/>
      </c>
      <c r="Q21" s="14" t="str">
        <f t="shared" si="0"/>
        <v/>
      </c>
      <c r="R21" s="14" t="str">
        <f t="shared" si="0"/>
        <v/>
      </c>
      <c r="S21" s="14" t="str">
        <f t="shared" si="0"/>
        <v>koo</v>
      </c>
      <c r="T21" s="14" t="str">
        <f t="shared" si="0"/>
        <v>nkoo</v>
      </c>
      <c r="U21" s="14" t="str">
        <f t="shared" si="1"/>
        <v>nnkoo</v>
      </c>
      <c r="V21" s="13">
        <f>IFERROR(VLOOKUP(LEFT(AZ21,2),BASE!$C$96:$E$342,3,0),IFERROR(VLOOKUP(LEFT(AZ21,1),BASE!$C$96:$E$342,3,0),100))</f>
        <v>100</v>
      </c>
      <c r="W21" s="13">
        <f>IFERROR(VLOOKUP(LEFT(BA21,2),BASE!$C$96:$E$342,3,0),IFERROR(VLOOKUP(LEFT(BA21,1),BASE!$C$96:$E$342,3,0),100))</f>
        <v>100</v>
      </c>
      <c r="X21" s="13">
        <f>IFERROR(VLOOKUP(LEFT(BB21,2),BASE!$C$96:$E$342,3,0),IFERROR(VLOOKUP(LEFT(BB21,1),BASE!$C$96:$E$342,3,0),100))</f>
        <v>100</v>
      </c>
      <c r="Y21" s="13">
        <f>IFERROR(VLOOKUP(LEFT(BC21,2),BASE!$C$96:$E$342,3,0),IFERROR(VLOOKUP(LEFT(BC21,1),BASE!$C$96:$E$342,3,0),100))</f>
        <v>100</v>
      </c>
      <c r="Z21" s="13">
        <f>IFERROR(VLOOKUP(LEFT(BD21,2),BASE!$C$96:$E$342,3,0),IFERROR(VLOOKUP(LEFT(BD21,1),BASE!$C$96:$E$342,3,0),100))</f>
        <v>100</v>
      </c>
      <c r="AA21" s="13">
        <f>IFERROR(VLOOKUP(LEFT(BE21,2),BASE!$C$96:$E$342,3,0),IFERROR(VLOOKUP(LEFT(BE21,1),BASE!$C$96:$E$342,3,0),100))</f>
        <v>2</v>
      </c>
      <c r="AB21" s="13">
        <f>IFERROR(VLOOKUP(LEFT(BF21,2),BASE!$C$96:$E$342,3,0),IFERROR(VLOOKUP(LEFT(BF21,1),BASE!$C$96:$E$342,3,0),100))</f>
        <v>2</v>
      </c>
      <c r="AC21" s="13">
        <f>IFERROR(VLOOKUP(LEFT(BG21,2),BASE!$C$96:$E$342,3,0),IFERROR(VLOOKUP(LEFT(BG21,1),BASE!$C$96:$E$342,3,0),100))</f>
        <v>2</v>
      </c>
      <c r="AD21" s="13">
        <f>IFERROR(VLOOKUP(LEFT(BH21,2),BASE!$C$96:$E$342,3,0),IFERROR(VLOOKUP(LEFT(BH21,1),BASE!$C$96:$E$342,3,0),100))</f>
        <v>2</v>
      </c>
      <c r="AE21" s="13">
        <f>IFERROR(VLOOKUP(LEFT(BI21,2),BASE!$C$96:$E$342,3,0),IFERROR(VLOOKUP(LEFT(BI21,1),BASE!$C$96:$E$342,3,0),100))</f>
        <v>2</v>
      </c>
      <c r="AF21" s="187" t="str">
        <f>IF(AND(BS21=BR21,AG21="o"),"A", (IFERROR(VLOOKUP(LEFT(AZ21,2),BASE!$C$346:$D$592,2,0),IFERROR(VLOOKUP(LEFT(AZ21,1),BASE!$C$346:$D$5922,2,0),AZ21))))</f>
        <v/>
      </c>
      <c r="AG21" s="187" t="str">
        <f>IF(AND(BR21=BQ21,AH21="o"),"A", (IFERROR(VLOOKUP(LEFT(BA21,2),BASE!$C$346:$D$592,2,0),IFERROR(VLOOKUP(LEFT(BA21,1),BASE!$C$346:$D$592,2,0),BA21))))</f>
        <v/>
      </c>
      <c r="AH21" s="187" t="str">
        <f>IF(AND(BQ21=BP21,AI21="o"),"A", (IFERROR(VLOOKUP(LEFT(BB21,2),BASE!$C$346:$D$592,2,0),IFERROR(VLOOKUP(LEFT(BB21,1),BASE!$C$346:$D$592,2,0),BB21))))</f>
        <v/>
      </c>
      <c r="AI21" s="187" t="str">
        <f>IF(AND(BP21=BO21,AJ21="o"),"A", (IFERROR(VLOOKUP(LEFT(BC21,2),BASE!$C$346:$D$592,2,0),IFERROR(VLOOKUP(LEFT(BC21,1),BASE!$C$346:$D$592,2,0),BC21))))</f>
        <v/>
      </c>
      <c r="AJ21" s="187" t="str">
        <f>IF(AND(BO21=BN21,AK21="o"),"A", (IFERROR(VLOOKUP(LEFT(BD21,2),BASE!$C$346:$D$592,2,0),IFERROR(VLOOKUP(LEFT(BD21,1),BASE!$C$346:$D$592,2,0),BD21))))</f>
        <v/>
      </c>
      <c r="AK21" s="187" t="str">
        <f>IF(AND(BN21=BM21,AL21="o"),"A", (IFERROR(VLOOKUP(LEFT(BE21,2),BASE!$C$346:$D$592,2,0),IFERROR(VLOOKUP(LEFT(BE21,1),BASE!$C$346:$D$592,2,0),BE21))))</f>
        <v>o</v>
      </c>
      <c r="AL21" s="187" t="str">
        <f>IF(AND(BM21=BL21,AM21="o"),"A", (IFERROR(VLOOKUP(LEFT(BF21,2),BASE!$C$346:$D$592,2,0),IFERROR(VLOOKUP(LEFT(BF21,1),BASE!$C$346:$D$592,2,0),BF21))))</f>
        <v>o</v>
      </c>
      <c r="AM21" s="187" t="str">
        <f>IF(AND(BL21=BK21,AN21="o"),"A",(IFERROR(VLOOKUP(LEFT(BG21,2),BASE!$C$346:$D$592,2,0),IFERROR(VLOOKUP(LEFT(BG21,1),BASE!$C$346:$D$592,2,0),BG21))))</f>
        <v>k</v>
      </c>
      <c r="AN21" s="187" t="str">
        <f>(IFERROR(VLOOKUP(LEFT(BH21,2),BASE!$C$346:$D$592,2,0),IFERROR(VLOOKUP(LEFT(BH21,1),BASE!$C$346:$D$592,2,0),BH21)))</f>
        <v>n</v>
      </c>
      <c r="AO21" s="187" t="str">
        <f>(IFERROR(VLOOKUP(LEFT(BI21,2),BASE!$C$96:$D$342,2,0),IFERROR(VLOOKUP(LEFT(BI21,1),BASE!$C$96:$D$342,2,0),BI21)))</f>
        <v>n</v>
      </c>
      <c r="AP21" s="5">
        <f t="shared" si="2"/>
        <v>10</v>
      </c>
      <c r="AQ21" s="5">
        <f t="shared" si="2"/>
        <v>10</v>
      </c>
      <c r="AR21" s="5">
        <f t="shared" si="2"/>
        <v>10</v>
      </c>
      <c r="AS21" s="5">
        <f t="shared" si="2"/>
        <v>10</v>
      </c>
      <c r="AT21" s="5">
        <f t="shared" si="2"/>
        <v>10</v>
      </c>
      <c r="AU21" s="5">
        <f t="shared" si="2"/>
        <v>10</v>
      </c>
      <c r="AV21" s="5">
        <f t="shared" si="2"/>
        <v>10</v>
      </c>
      <c r="AW21" s="5">
        <f t="shared" si="2"/>
        <v>10</v>
      </c>
      <c r="AX21" s="5">
        <f t="shared" si="2"/>
        <v>10</v>
      </c>
      <c r="AY21" s="5">
        <f t="shared" si="3"/>
        <v>10</v>
      </c>
      <c r="AZ21" s="12" t="str">
        <f t="shared" si="4"/>
        <v/>
      </c>
      <c r="BA21" s="12" t="str">
        <f t="shared" si="4"/>
        <v/>
      </c>
      <c r="BB21" s="12" t="str">
        <f t="shared" si="4"/>
        <v/>
      </c>
      <c r="BC21" s="12" t="str">
        <f t="shared" si="4"/>
        <v/>
      </c>
      <c r="BD21" s="12" t="str">
        <f t="shared" si="4"/>
        <v/>
      </c>
      <c r="BE21" s="12" t="str">
        <f t="shared" si="4"/>
        <v>ஞ்</v>
      </c>
      <c r="BF21" s="12" t="str">
        <f t="shared" si="4"/>
        <v>ன்ஞ்</v>
      </c>
      <c r="BG21" s="12" t="str">
        <f t="shared" si="4"/>
        <v>யுன்ஞ்</v>
      </c>
      <c r="BH21" s="43" t="str">
        <f t="shared" si="4"/>
        <v>ரேயுன்ஞ்</v>
      </c>
      <c r="BI21" s="57" t="str">
        <f>CD8</f>
        <v>தாரேயுன்ஞ்</v>
      </c>
      <c r="BJ21" s="58" t="str">
        <f>IFERROR(VLOOKUP(LEFT(BI21,2),BASE!$C$96:$F$342,1,0),IFERROR(VLOOKUP(LEFT(BI21,1),BASE!$C$96:$F$342,1,0),BI21))</f>
        <v>தா</v>
      </c>
      <c r="BK21" s="58" t="str">
        <f>IFERROR(VLOOKUP(LEFT(BH21,2),BASE!$C$96:$D$342,1,0),IFERROR(VLOOKUP(LEFT(BH21,1),BASE!$C$96:$D$342,1,0),BH21))</f>
        <v>ரே</v>
      </c>
      <c r="BL21" s="58" t="str">
        <f>IFERROR(VLOOKUP(LEFT(BG21,2),BASE!$C$96:$D$342,1,0),IFERROR(VLOOKUP(LEFT(BG21,1),BASE!$C$96:$D$342,1,0),BG21))</f>
        <v>யு</v>
      </c>
      <c r="BM21" s="58" t="str">
        <f>IFERROR(VLOOKUP(LEFT(BF21,2),BASE!$C$96:$D$342,1,0),IFERROR(VLOOKUP(LEFT(BF21,1),BASE!$C$96:$D$342,1,0),BF21))</f>
        <v>ன்</v>
      </c>
      <c r="BN21" s="58" t="str">
        <f>IFERROR(VLOOKUP(LEFT(BE21,2),BASE!$C$96:$D$342,1,0),IFERROR(VLOOKUP(LEFT(BE21,1),BASE!$C$96:$D$342,1,0),BE21))</f>
        <v>ஞ்</v>
      </c>
      <c r="BO21" s="58" t="str">
        <f>IFERROR(VLOOKUP(LEFT(BD21,2),BASE!$C$96:$D$342,1,0),IFERROR(VLOOKUP(LEFT(BD21,1),BASE!$C$96:$D$342,1,0),BD21))</f>
        <v/>
      </c>
      <c r="BP21" s="58" t="str">
        <f>IFERROR(VLOOKUP(LEFT(BC21,2),BASE!$C$96:$D$342,1,0),IFERROR(VLOOKUP(LEFT(BC21,1),BASE!$C$96:$D$342,1,0),BC21))</f>
        <v/>
      </c>
      <c r="BQ21" s="58" t="str">
        <f>IFERROR(VLOOKUP(LEFT(BB21,2),BASE!$C$96:$D$342,1,0),IFERROR(VLOOKUP(LEFT(BB21,1),BASE!$C$96:$D$342,1,0),BB21))</f>
        <v/>
      </c>
      <c r="BR21" s="58" t="str">
        <f>IFERROR(VLOOKUP(LEFT(BA21,2),BASE!$C$96:$D$342,1,0),IFERROR(VLOOKUP(LEFT(BA21,1),BASE!$C$96:$D$342,1,0),BA21))</f>
        <v/>
      </c>
      <c r="BS21" s="58" t="str">
        <f>IFERROR(VLOOKUP(LEFT(AZ21,2),BASE!$C$96:$D$342,1,0),IFERROR(VLOOKUP(LEFT(AZ21,1),BASE!$C$96:$D$342,1,0),AZ21))</f>
        <v/>
      </c>
      <c r="BT21" s="186" t="str">
        <f>(IFERROR(VLOOKUP(LEFT(BI21,2),BASE!$C$96:$F$342,4,0),IFERROR(VLOOKUP(LEFT(BI21,1),BASE!$C$96:$F$342,4,0),BI21)))</f>
        <v>நெ</v>
      </c>
      <c r="BU21" s="186" t="str">
        <f>(IFERROR(VLOOKUP(LEFT(BH21,2),BASE!$C$346:$F$592,4,0),IFERROR(VLOOKUP(LEFT(BH21,1),BASE!$C$346:$F$592,4,0),BH21)))</f>
        <v>நெ</v>
      </c>
      <c r="BV21" s="186" t="str">
        <f>(IFERROR(VLOOKUP(LEFT(BG21,2),BASE!$C$346:$F$592,4,0),IFERROR(VLOOKUP(LEFT(BG21,1),BASE!$C$346:$F$592,4,0),BG21)))</f>
        <v>கு</v>
      </c>
      <c r="BW21" s="186" t="str">
        <f>(IFERROR(VLOOKUP(LEFT(BF21,2),BASE!$C$346:$F$592,4,0),IFERROR(VLOOKUP(LEFT(BF21,1),BASE!$C$346:$F$592,4,0),BF21)))</f>
        <v>ஒ</v>
      </c>
      <c r="BX21" s="186" t="str">
        <f>(IFERROR(VLOOKUP(LEFT(BE21,2),BASE!$C$346:$F$592,4,0),IFERROR(VLOOKUP(LEFT(BE21,1),BASE!$C$346:$F$592,4,0),BE21)))</f>
        <v>ஒ</v>
      </c>
      <c r="BY21" s="186" t="str">
        <f>(IFERROR(VLOOKUP(LEFT(BD21,2),BASE!$C$346:$F$592,4,0),IFERROR(VLOOKUP(LEFT(BD21,1),BASE!$C$346:$F$592,4,0),BD21)))</f>
        <v/>
      </c>
      <c r="BZ21" s="186" t="str">
        <f>(IFERROR(VLOOKUP(LEFT(BC21,2),BASE!$C$346:$F$592,4,0),IFERROR(VLOOKUP(LEFT(BC21,1),BASE!$C$346:$F$592,4,0),BC21)))</f>
        <v/>
      </c>
      <c r="CA21" s="186" t="str">
        <f>(IFERROR(VLOOKUP(LEFT(BB21,2),BASE!$C$346:$F$592,4,0),IFERROR(VLOOKUP(LEFT(BB21,1),BASE!$C$346:$F$592,4,0),BB21)))</f>
        <v/>
      </c>
      <c r="CB21" s="186" t="str">
        <f>(IFERROR(VLOOKUP(LEFT(BA21,2),BASE!$C$346:$F$592,4,0),IFERROR(VLOOKUP(LEFT(BA21,1),BASE!$C$346:$F$592,4,0),BA21)))</f>
        <v/>
      </c>
      <c r="CC21" s="186" t="str">
        <f>(IFERROR(VLOOKUP(LEFT(AZ21,2),BASE!$C$346:$F$592,4,0),IFERROR(VLOOKUP(LEFT(AZ21,1),BASE!$C$346:$F$592,4,0),AZ21)))</f>
        <v/>
      </c>
      <c r="CD21" s="58" t="str">
        <f t="shared" si="5"/>
        <v>நெநெகுஒஒ</v>
      </c>
      <c r="CE21" s="58" t="str">
        <f>IFERROR(VLOOKUP((LEFT(U21,4)),BASE!$E$12:$F$23,2,0),IFERROR(VLOOKUP((LEFT(U21,3)),BASE!$E$12:$F$23,2,0),IFERROR(VLOOKUP((LEFT(U21,2)),BASE!$E$12:$F$23,2,0),IFERROR(VLOOKUP((LEFT(U21,1)),BASE!$E$12:$F$23,2,0),U21))))</f>
        <v>நேர்</v>
      </c>
      <c r="CF21" s="58" t="str">
        <f>IFERROR(VLOOKUP((LEFT(T21,4)),BASE!$E$12:$F$24,2,0),IFERROR(VLOOKUP((LEFT(T21,3)),BASE!$E$12:$F$24,2,0),IFERROR(VLOOKUP((LEFT(T21,2)),BASE!$E$12:$F$24,2,0),IFERROR(VLOOKUP((LEFT(T21,1)),BASE!$E$12:$F$24,2,0),T21))))</f>
        <v>நேர்</v>
      </c>
      <c r="CG21" s="58" t="str">
        <f>IFERROR(VLOOKUP((LEFT(S21,4)),BASE!$E$12:$F$23,2,0),IFERROR(VLOOKUP((LEFT(S21,3)),BASE!$E$12:$F$23,2,0),IFERROR(VLOOKUP((LEFT(S21,2)),BASE!$E$12:$F$23,2,0),IFERROR(VLOOKUP((LEFT(S21,1)),BASE!$E$12:$F$23,2,0),S21))))</f>
        <v>நேர்</v>
      </c>
      <c r="CH21" s="58" t="str">
        <f>IFERROR(VLOOKUP((LEFT(R21,4)),BASE!$E$12:$F$23,2,0),IFERROR(VLOOKUP((LEFT(R21,3)),BASE!$E$12:$F$23,2,0),IFERROR(VLOOKUP((LEFT(R21,2)),BASE!$E$12:$F$23,2,0),IFERROR(VLOOKUP((LEFT(R21,1)),BASE!$E$12:$F$23,2,0),R21))))</f>
        <v/>
      </c>
      <c r="CI21" s="58" t="str">
        <f>IFERROR(VLOOKUP((LEFT(Q21,4)),BASE!$E$12:$F$23,2,0),IFERROR(VLOOKUP((LEFT(Q21,3)),BASE!$E$12:$F$23,2,0),IFERROR(VLOOKUP((LEFT(Q21,2)),BASE!$E$12:$F$23,2,0),IFERROR(VLOOKUP((LEFT(Q21,1)),BASE!$E$12:$F$23,2,0),Q21))))</f>
        <v/>
      </c>
      <c r="CJ21" s="58" t="str">
        <f>IFERROR(VLOOKUP((LEFT(P21,4)),BASE!$E$12:$F$23,2,0),IFERROR(VLOOKUP((LEFT(P21,3)),BASE!$E$12:$F$23,2,0),IFERROR(VLOOKUP((LEFT(P21,2)),BASE!$E$12:$F$23,2,0),IFERROR(VLOOKUP((LEFT(P21,1)),BASE!$E$12:$F$23,2,0),P21))))</f>
        <v/>
      </c>
      <c r="CK21" s="58" t="str">
        <f>IFERROR(VLOOKUP((LEFT(O21,4)),BASE!$E$12:$F$23,2,0),IFERROR(VLOOKUP((LEFT(O21,3)),BASE!$E$12:$F$23,2,0),IFERROR(VLOOKUP((LEFT(O21,2)),BASE!$E$12:$F$23,2,0),IFERROR(VLOOKUP((LEFT(O21,1)),BASE!$E$12:$F$23,2,0),O21))))</f>
        <v/>
      </c>
      <c r="CL21" s="58" t="str">
        <f>IFERROR(VLOOKUP((LEFT(N21,4)),BASE!$E$12:$F$23,2,0),IFERROR(VLOOKUP((LEFT(N21,3)),BASE!$E$12:$F$23,2,0),IFERROR(VLOOKUP((LEFT(N21,2)),BASE!$E$12:$F$23,2,0),IFERROR(VLOOKUP((LEFT(N21,1)),BASE!$E$12:$F$23,2,0),N21))))</f>
        <v/>
      </c>
      <c r="CM21" s="58" t="str">
        <f>IFERROR(VLOOKUP((LEFT(M21,4)),BASE!$E$12:$F$23,2,0),IFERROR(VLOOKUP((LEFT(M21,3)),BASE!$E$12:$F$23,2,0),IFERROR(VLOOKUP((LEFT(M21,2)),BASE!$E$12:$F$23,2,0),IFERROR(VLOOKUP((LEFT(M21,1)),BASE!$E$12:$F$23,2,0),M21))))</f>
        <v/>
      </c>
      <c r="CN21" s="58" t="str">
        <f>IFERROR(VLOOKUP((LEFT(L21,4)),BASE!$E$12:$F$23,2,0),IFERROR(VLOOKUP((LEFT(L21,3)),BASE!$E$12:$F$23,2,0),IFERROR(VLOOKUP((LEFT(L21,2)),BASE!$E$12:$F$23,2,0),IFERROR(VLOOKUP((LEFT(L21,1)),BASE!$E$12:$F$23,2,0),L21))))</f>
        <v/>
      </c>
      <c r="CO21" s="58" t="str">
        <f t="shared" si="6"/>
        <v>நேர்நேர்நேர்</v>
      </c>
      <c r="CP21" s="58" t="str">
        <f>VLOOKUP(CO21,BASE!$E$25:$F$79,2,0)</f>
        <v>தேமாங்காய்</v>
      </c>
      <c r="CQ21" s="58" t="str">
        <f>VLOOKUP(CO21,BASE!$E$25:$G$79,3,0)&amp;CE22</f>
        <v>காய்நேர்</v>
      </c>
      <c r="CR21" s="58" t="str">
        <f>VLOOKUP(CQ21,BASE!$E$86:$G$93,2,0)</f>
        <v>காய் முன் நேர்</v>
      </c>
      <c r="CS21" s="58" t="str">
        <f>VLOOKUP(CQ21,BASE!$E$86:$G$93,3,0)</f>
        <v>வெண்சீர் வெண்டளை</v>
      </c>
      <c r="CT21" s="58" t="str">
        <f t="shared" si="7"/>
        <v>மூவசைக்கு மிகவில்லை</v>
      </c>
      <c r="CU21" s="58" t="str">
        <f t="shared" si="8"/>
        <v>சரி</v>
      </c>
      <c r="CV21" s="193"/>
    </row>
    <row r="22" spans="1:100" ht="19.5" customHeight="1" x14ac:dyDescent="0.35">
      <c r="A22" s="119"/>
      <c r="B22" s="12">
        <f>IFERROR(VLOOKUP((LEFT(L22,4)),BASE!$E$12:$F$23,1,0),IFERROR(VLOOKUP((LEFT(L22,3)),BASE!$E$12:$F$23,1,0),IFERROR(VLOOKUP((LEFT(L22,2)),BASE!$E$12:$F$23,1,0),IFERROR(VLOOKUP((LEFT(L22,1)),BASE!$E$12:$F$23,1,0),100))))</f>
        <v>100</v>
      </c>
      <c r="C22" s="12">
        <f>IFERROR(VLOOKUP((LEFT(M22,4)),BASE!$E$12:$F$23,1,0),IFERROR(VLOOKUP((LEFT(M22,3)),BASE!$E$12:$F$23,1,0),IFERROR(VLOOKUP((LEFT(M22,2)),BASE!$E$12:$F$23,1,0),IFERROR(VLOOKUP((LEFT(M22,1)),BASE!$E$12:$F$23,1,0),100))))</f>
        <v>100</v>
      </c>
      <c r="D22" s="12">
        <f>IFERROR(VLOOKUP((LEFT(N22,4)),BASE!$E$12:$F$23,1,0),IFERROR(VLOOKUP((LEFT(N22,3)),BASE!$E$12:$F$23,1,0),IFERROR(VLOOKUP((LEFT(N22,2)),BASE!$E$12:$F$23,1,0),IFERROR(VLOOKUP((LEFT(N22,1)),BASE!$E$12:$F$23,1,0),100))))</f>
        <v>100</v>
      </c>
      <c r="E22" s="12">
        <f>IFERROR(VLOOKUP((LEFT(O22,4)),BASE!$E$12:$F$23,1,0),IFERROR(VLOOKUP((LEFT(O22,3)),BASE!$E$12:$F$23,1,0),IFERROR(VLOOKUP((LEFT(O22,2)),BASE!$E$12:$F$23,1,0),IFERROR(VLOOKUP((LEFT(O22,1)),BASE!$E$12:$F$23,1,0),100))))</f>
        <v>100</v>
      </c>
      <c r="F22" s="12">
        <f>IFERROR(VLOOKUP((LEFT(P22,4)),BASE!$E$12:$F$23,1,0),IFERROR(VLOOKUP((LEFT(P22,3)),BASE!$E$12:$F$23,1,0),IFERROR(VLOOKUP((LEFT(P22,2)),BASE!$E$12:$F$23,1,0),IFERROR(VLOOKUP((LEFT(P22,1)),BASE!$E$12:$F$23,1,0),100))))</f>
        <v>100</v>
      </c>
      <c r="G22" s="12">
        <f>IFERROR(VLOOKUP((LEFT(Q22,4)),BASE!$E$12:$F$23,1,0),IFERROR(VLOOKUP((LEFT(Q22,3)),BASE!$E$12:$F$23,1,0),IFERROR(VLOOKUP((LEFT(Q22,2)),BASE!$E$12:$F$23,1,0),IFERROR(VLOOKUP((LEFT(Q22,1)),BASE!$E$12:$F$23,1,0),100))))</f>
        <v>100</v>
      </c>
      <c r="H22" s="12">
        <f>IFERROR(VLOOKUP((LEFT(R22,4)),BASE!$E$12:$F$23,1,0),IFERROR(VLOOKUP((LEFT(R22,3)),BASE!$E$12:$F$23,1,0),IFERROR(VLOOKUP((LEFT(R22,2)),BASE!$E$12:$F$23,1,0),IFERROR(VLOOKUP((LEFT(R22,1)),BASE!$E$12:$F$23,1,0),100))))</f>
        <v>100</v>
      </c>
      <c r="I22" s="12">
        <f>IFERROR(VLOOKUP((LEFT(S22,4)),BASE!$E$12:$F$23,1,0),IFERROR(VLOOKUP((LEFT(S22,3)),BASE!$E$12:$F$23,1,0),IFERROR(VLOOKUP((LEFT(S22,2)),BASE!$E$12:$F$23,1,0),IFERROR(VLOOKUP((LEFT(S22,1)),BASE!$E$12:$F$23,1,0),100))))</f>
        <v>100</v>
      </c>
      <c r="J22" s="12" t="str">
        <f>IFERROR(VLOOKUP((LEFT(T22,4)),BASE!$E$12:$F$24,1,0),IFERROR(VLOOKUP((LEFT(T22,3)),BASE!$E$12:$F$24,1,0),IFERROR(VLOOKUP((LEFT(T22,2)),BASE!$E$12:$F$24,1,0),IFERROR(VLOOKUP((LEFT(T22,1)),BASE!$E$12:$F$24,1,0),100))))</f>
        <v>ko</v>
      </c>
      <c r="K22" s="12" t="str">
        <f>IFERROR(VLOOKUP((LEFT(U22,4)),BASE!$E$12:$F$23,1,0),IFERROR(VLOOKUP((LEFT(U22,3)),BASE!$E$12:$F$23,1,0),IFERROR(VLOOKUP((LEFT(U22,2)),BASE!$E$12:$F$23,1,0),IFERROR(VLOOKUP((LEFT(U22,1)),BASE!$E$12:$F$23,1,0),100))))</f>
        <v>ko</v>
      </c>
      <c r="L22" s="14" t="str">
        <f t="shared" si="0"/>
        <v/>
      </c>
      <c r="M22" s="14" t="str">
        <f t="shared" si="0"/>
        <v/>
      </c>
      <c r="N22" s="14" t="str">
        <f t="shared" si="0"/>
        <v/>
      </c>
      <c r="O22" s="14" t="str">
        <f t="shared" si="0"/>
        <v/>
      </c>
      <c r="P22" s="14" t="str">
        <f t="shared" si="0"/>
        <v/>
      </c>
      <c r="Q22" s="14" t="str">
        <f t="shared" si="0"/>
        <v/>
      </c>
      <c r="R22" s="14" t="str">
        <f t="shared" si="0"/>
        <v/>
      </c>
      <c r="S22" s="14" t="str">
        <f t="shared" si="0"/>
        <v/>
      </c>
      <c r="T22" s="14" t="str">
        <f t="shared" si="0"/>
        <v>ko</v>
      </c>
      <c r="U22" s="14" t="str">
        <f t="shared" si="1"/>
        <v>koko</v>
      </c>
      <c r="V22" s="13">
        <f>IFERROR(VLOOKUP(LEFT(AZ22,2),BASE!$C$96:$E$342,3,0),IFERROR(VLOOKUP(LEFT(AZ22,1),BASE!$C$96:$E$342,3,0),100))</f>
        <v>100</v>
      </c>
      <c r="W22" s="13">
        <f>IFERROR(VLOOKUP(LEFT(BA22,2),BASE!$C$96:$E$342,3,0),IFERROR(VLOOKUP(LEFT(BA22,1),BASE!$C$96:$E$342,3,0),100))</f>
        <v>100</v>
      </c>
      <c r="X22" s="13">
        <f>IFERROR(VLOOKUP(LEFT(BB22,2),BASE!$C$96:$E$342,3,0),IFERROR(VLOOKUP(LEFT(BB22,1),BASE!$C$96:$E$342,3,0),100))</f>
        <v>100</v>
      </c>
      <c r="Y22" s="13">
        <f>IFERROR(VLOOKUP(LEFT(BC22,2),BASE!$C$96:$E$342,3,0),IFERROR(VLOOKUP(LEFT(BC22,1),BASE!$C$96:$E$342,3,0),100))</f>
        <v>100</v>
      </c>
      <c r="Z22" s="13">
        <f>IFERROR(VLOOKUP(LEFT(BD22,2),BASE!$C$96:$E$342,3,0),IFERROR(VLOOKUP(LEFT(BD22,1),BASE!$C$96:$E$342,3,0),100))</f>
        <v>100</v>
      </c>
      <c r="AA22" s="13">
        <f>IFERROR(VLOOKUP(LEFT(BE22,2),BASE!$C$96:$E$342,3,0),IFERROR(VLOOKUP(LEFT(BE22,1),BASE!$C$96:$E$342,3,0),100))</f>
        <v>100</v>
      </c>
      <c r="AB22" s="13">
        <f>IFERROR(VLOOKUP(LEFT(BF22,2),BASE!$C$96:$E$342,3,0),IFERROR(VLOOKUP(LEFT(BF22,1),BASE!$C$96:$E$342,3,0),100))</f>
        <v>2</v>
      </c>
      <c r="AC22" s="13">
        <f>IFERROR(VLOOKUP(LEFT(BG22,2),BASE!$C$96:$E$342,3,0),IFERROR(VLOOKUP(LEFT(BG22,1),BASE!$C$96:$E$342,3,0),100))</f>
        <v>2</v>
      </c>
      <c r="AD22" s="13">
        <f>IFERROR(VLOOKUP(LEFT(BH22,2),BASE!$C$96:$E$342,3,0),IFERROR(VLOOKUP(LEFT(BH22,1),BASE!$C$96:$E$342,3,0),100))</f>
        <v>2</v>
      </c>
      <c r="AE22" s="13">
        <f>IFERROR(VLOOKUP(LEFT(BI22,2),BASE!$C$96:$E$342,3,0),IFERROR(VLOOKUP(LEFT(BI22,1),BASE!$C$96:$E$342,3,0),100))</f>
        <v>2</v>
      </c>
      <c r="AF22" s="187" t="str">
        <f>IF(AND(BS22=BR22,AG22="o"),"A", (IFERROR(VLOOKUP(LEFT(AZ22,2),BASE!$C$346:$D$592,2,0),IFERROR(VLOOKUP(LEFT(AZ22,1),BASE!$C$346:$D$5922,2,0),AZ22))))</f>
        <v/>
      </c>
      <c r="AG22" s="187" t="str">
        <f>IF(AND(BR22=BQ22,AH22="o"),"A", (IFERROR(VLOOKUP(LEFT(BA22,2),BASE!$C$346:$D$592,2,0),IFERROR(VLOOKUP(LEFT(BA22,1),BASE!$C$346:$D$592,2,0),BA22))))</f>
        <v/>
      </c>
      <c r="AH22" s="187" t="str">
        <f>IF(AND(BQ22=BP22,AI22="o"),"A", (IFERROR(VLOOKUP(LEFT(BB22,2),BASE!$C$346:$D$592,2,0),IFERROR(VLOOKUP(LEFT(BB22,1),BASE!$C$346:$D$592,2,0),BB22))))</f>
        <v/>
      </c>
      <c r="AI22" s="187" t="str">
        <f>IF(AND(BP22=BO22,AJ22="o"),"A", (IFERROR(VLOOKUP(LEFT(BC22,2),BASE!$C$346:$D$592,2,0),IFERROR(VLOOKUP(LEFT(BC22,1),BASE!$C$346:$D$592,2,0),BC22))))</f>
        <v/>
      </c>
      <c r="AJ22" s="187" t="str">
        <f>IF(AND(BO22=BN22,AK22="o"),"A", (IFERROR(VLOOKUP(LEFT(BD22,2),BASE!$C$346:$D$592,2,0),IFERROR(VLOOKUP(LEFT(BD22,1),BASE!$C$346:$D$592,2,0),BD22))))</f>
        <v/>
      </c>
      <c r="AK22" s="187" t="str">
        <f>IF(AND(BN22=BM22,AL22="o"),"A", (IFERROR(VLOOKUP(LEFT(BE22,2),BASE!$C$346:$D$592,2,0),IFERROR(VLOOKUP(LEFT(BE22,1),BASE!$C$346:$D$592,2,0),BE22))))</f>
        <v/>
      </c>
      <c r="AL22" s="187" t="str">
        <f>IF(AND(BM22=BL22,AM22="o"),"A", (IFERROR(VLOOKUP(LEFT(BF22,2),BASE!$C$346:$D$592,2,0),IFERROR(VLOOKUP(LEFT(BF22,1),BASE!$C$346:$D$592,2,0),BF22))))</f>
        <v>o</v>
      </c>
      <c r="AM22" s="187" t="str">
        <f>IF(AND(BL22=BK22,AN22="o"),"A",(IFERROR(VLOOKUP(LEFT(BG22,2),BASE!$C$346:$D$592,2,0),IFERROR(VLOOKUP(LEFT(BG22,1),BASE!$C$346:$D$592,2,0),BG22))))</f>
        <v>k</v>
      </c>
      <c r="AN22" s="187" t="str">
        <f>(IFERROR(VLOOKUP(LEFT(BH22,2),BASE!$C$346:$D$592,2,0),IFERROR(VLOOKUP(LEFT(BH22,1),BASE!$C$346:$D$592,2,0),BH22)))</f>
        <v>o</v>
      </c>
      <c r="AO22" s="187" t="str">
        <f>(IFERROR(VLOOKUP(LEFT(BI22,2),BASE!$C$96:$D$342,2,0),IFERROR(VLOOKUP(LEFT(BI22,1),BASE!$C$96:$D$342,2,0),BI22)))</f>
        <v>k</v>
      </c>
      <c r="AP22" s="5">
        <f t="shared" si="2"/>
        <v>8</v>
      </c>
      <c r="AQ22" s="5">
        <f t="shared" si="2"/>
        <v>8</v>
      </c>
      <c r="AR22" s="5">
        <f t="shared" si="2"/>
        <v>8</v>
      </c>
      <c r="AS22" s="5">
        <f t="shared" si="2"/>
        <v>8</v>
      </c>
      <c r="AT22" s="5">
        <f t="shared" si="2"/>
        <v>8</v>
      </c>
      <c r="AU22" s="5">
        <f t="shared" si="2"/>
        <v>8</v>
      </c>
      <c r="AV22" s="5">
        <f t="shared" si="2"/>
        <v>8</v>
      </c>
      <c r="AW22" s="5">
        <f t="shared" si="2"/>
        <v>8</v>
      </c>
      <c r="AX22" s="5">
        <f t="shared" si="2"/>
        <v>8</v>
      </c>
      <c r="AY22" s="5">
        <f t="shared" si="3"/>
        <v>8</v>
      </c>
      <c r="AZ22" s="12" t="str">
        <f t="shared" si="4"/>
        <v/>
      </c>
      <c r="BA22" s="12" t="str">
        <f t="shared" si="4"/>
        <v/>
      </c>
      <c r="BB22" s="12" t="str">
        <f t="shared" si="4"/>
        <v/>
      </c>
      <c r="BC22" s="12" t="str">
        <f t="shared" si="4"/>
        <v/>
      </c>
      <c r="BD22" s="12" t="str">
        <f t="shared" si="4"/>
        <v/>
      </c>
      <c r="BE22" s="12" t="str">
        <f t="shared" si="4"/>
        <v/>
      </c>
      <c r="BF22" s="12" t="str">
        <f t="shared" si="4"/>
        <v>த்</v>
      </c>
      <c r="BG22" s="12" t="str">
        <f t="shared" si="4"/>
        <v>னித்</v>
      </c>
      <c r="BH22" s="43" t="str">
        <f t="shared" si="4"/>
        <v>ன்னித்</v>
      </c>
      <c r="BI22" s="57" t="str">
        <f>CE8</f>
        <v>சென்னித்</v>
      </c>
      <c r="BJ22" s="58" t="str">
        <f>IFERROR(VLOOKUP(LEFT(BI22,2),BASE!$C$96:$F$342,1,0),IFERROR(VLOOKUP(LEFT(BI22,1),BASE!$C$96:$F$342,1,0),BI22))</f>
        <v>செ</v>
      </c>
      <c r="BK22" s="58" t="str">
        <f>IFERROR(VLOOKUP(LEFT(BH22,2),BASE!$C$96:$D$342,1,0),IFERROR(VLOOKUP(LEFT(BH22,1),BASE!$C$96:$D$342,1,0),BH22))</f>
        <v>ன்</v>
      </c>
      <c r="BL22" s="58" t="str">
        <f>IFERROR(VLOOKUP(LEFT(BG22,2),BASE!$C$96:$D$342,1,0),IFERROR(VLOOKUP(LEFT(BG22,1),BASE!$C$96:$D$342,1,0),BG22))</f>
        <v>னி</v>
      </c>
      <c r="BM22" s="58" t="str">
        <f>IFERROR(VLOOKUP(LEFT(BF22,2),BASE!$C$96:$D$342,1,0),IFERROR(VLOOKUP(LEFT(BF22,1),BASE!$C$96:$D$342,1,0),BF22))</f>
        <v>த்</v>
      </c>
      <c r="BN22" s="58" t="str">
        <f>IFERROR(VLOOKUP(LEFT(BE22,2),BASE!$C$96:$D$342,1,0),IFERROR(VLOOKUP(LEFT(BE22,1),BASE!$C$96:$D$342,1,0),BE22))</f>
        <v/>
      </c>
      <c r="BO22" s="58" t="str">
        <f>IFERROR(VLOOKUP(LEFT(BD22,2),BASE!$C$96:$D$342,1,0),IFERROR(VLOOKUP(LEFT(BD22,1),BASE!$C$96:$D$342,1,0),BD22))</f>
        <v/>
      </c>
      <c r="BP22" s="58" t="str">
        <f>IFERROR(VLOOKUP(LEFT(BC22,2),BASE!$C$96:$D$342,1,0),IFERROR(VLOOKUP(LEFT(BC22,1),BASE!$C$96:$D$342,1,0),BC22))</f>
        <v/>
      </c>
      <c r="BQ22" s="58" t="str">
        <f>IFERROR(VLOOKUP(LEFT(BB22,2),BASE!$C$96:$D$342,1,0),IFERROR(VLOOKUP(LEFT(BB22,1),BASE!$C$96:$D$342,1,0),BB22))</f>
        <v/>
      </c>
      <c r="BR22" s="58" t="str">
        <f>IFERROR(VLOOKUP(LEFT(BA22,2),BASE!$C$96:$D$342,1,0),IFERROR(VLOOKUP(LEFT(BA22,1),BASE!$C$96:$D$342,1,0),BA22))</f>
        <v/>
      </c>
      <c r="BS22" s="58" t="str">
        <f>IFERROR(VLOOKUP(LEFT(AZ22,2),BASE!$C$96:$D$342,1,0),IFERROR(VLOOKUP(LEFT(AZ22,1),BASE!$C$96:$D$342,1,0),AZ22))</f>
        <v/>
      </c>
      <c r="BT22" s="186" t="str">
        <f>(IFERROR(VLOOKUP(LEFT(BI22,2),BASE!$C$96:$F$342,4,0),IFERROR(VLOOKUP(LEFT(BI22,1),BASE!$C$96:$F$342,4,0),BI22)))</f>
        <v>கு</v>
      </c>
      <c r="BU22" s="186" t="str">
        <f>(IFERROR(VLOOKUP(LEFT(BH22,2),BASE!$C$346:$F$592,4,0),IFERROR(VLOOKUP(LEFT(BH22,1),BASE!$C$346:$F$592,4,0),BH22)))</f>
        <v>ஒ</v>
      </c>
      <c r="BV22" s="186" t="str">
        <f>(IFERROR(VLOOKUP(LEFT(BG22,2),BASE!$C$346:$F$592,4,0),IFERROR(VLOOKUP(LEFT(BG22,1),BASE!$C$346:$F$592,4,0),BG22)))</f>
        <v>கு</v>
      </c>
      <c r="BW22" s="186" t="str">
        <f>(IFERROR(VLOOKUP(LEFT(BF22,2),BASE!$C$346:$F$592,4,0),IFERROR(VLOOKUP(LEFT(BF22,1),BASE!$C$346:$F$592,4,0),BF22)))</f>
        <v>ஒ</v>
      </c>
      <c r="BX22" s="186" t="str">
        <f>(IFERROR(VLOOKUP(LEFT(BE22,2),BASE!$C$346:$F$592,4,0),IFERROR(VLOOKUP(LEFT(BE22,1),BASE!$C$346:$F$592,4,0),BE22)))</f>
        <v/>
      </c>
      <c r="BY22" s="186" t="str">
        <f>(IFERROR(VLOOKUP(LEFT(BD22,2),BASE!$C$346:$F$592,4,0),IFERROR(VLOOKUP(LEFT(BD22,1),BASE!$C$346:$F$592,4,0),BD22)))</f>
        <v/>
      </c>
      <c r="BZ22" s="186" t="str">
        <f>(IFERROR(VLOOKUP(LEFT(BC22,2),BASE!$C$346:$F$592,4,0),IFERROR(VLOOKUP(LEFT(BC22,1),BASE!$C$346:$F$592,4,0),BC22)))</f>
        <v/>
      </c>
      <c r="CA22" s="186" t="str">
        <f>(IFERROR(VLOOKUP(LEFT(BB22,2),BASE!$C$346:$F$592,4,0),IFERROR(VLOOKUP(LEFT(BB22,1),BASE!$C$346:$F$592,4,0),BB22)))</f>
        <v/>
      </c>
      <c r="CB22" s="186" t="str">
        <f>(IFERROR(VLOOKUP(LEFT(BA22,2),BASE!$C$346:$F$592,4,0),IFERROR(VLOOKUP(LEFT(BA22,1),BASE!$C$346:$F$592,4,0),BA22)))</f>
        <v/>
      </c>
      <c r="CC22" s="186" t="str">
        <f>(IFERROR(VLOOKUP(LEFT(AZ22,2),BASE!$C$346:$F$592,4,0),IFERROR(VLOOKUP(LEFT(AZ22,1),BASE!$C$346:$F$592,4,0),AZ22)))</f>
        <v/>
      </c>
      <c r="CD22" s="58" t="str">
        <f t="shared" si="5"/>
        <v>குஒகுஒ</v>
      </c>
      <c r="CE22" s="58" t="str">
        <f>IFERROR(VLOOKUP((LEFT(U22,4)),BASE!$E$12:$F$23,2,0),IFERROR(VLOOKUP((LEFT(U22,3)),BASE!$E$12:$F$23,2,0),IFERROR(VLOOKUP((LEFT(U22,2)),BASE!$E$12:$F$23,2,0),IFERROR(VLOOKUP((LEFT(U22,1)),BASE!$E$12:$F$23,2,0),U22))))</f>
        <v>நேர்</v>
      </c>
      <c r="CF22" s="58" t="str">
        <f>IFERROR(VLOOKUP((LEFT(T22,4)),BASE!$E$12:$F$24,2,0),IFERROR(VLOOKUP((LEFT(T22,3)),BASE!$E$12:$F$24,2,0),IFERROR(VLOOKUP((LEFT(T22,2)),BASE!$E$12:$F$24,2,0),IFERROR(VLOOKUP((LEFT(T22,1)),BASE!$E$12:$F$24,2,0),T22))))</f>
        <v>நேர்</v>
      </c>
      <c r="CG22" s="58" t="str">
        <f>IFERROR(VLOOKUP((LEFT(S22,4)),BASE!$E$12:$F$23,2,0),IFERROR(VLOOKUP((LEFT(S22,3)),BASE!$E$12:$F$23,2,0),IFERROR(VLOOKUP((LEFT(S22,2)),BASE!$E$12:$F$23,2,0),IFERROR(VLOOKUP((LEFT(S22,1)),BASE!$E$12:$F$23,2,0),S22))))</f>
        <v/>
      </c>
      <c r="CH22" s="58" t="str">
        <f>IFERROR(VLOOKUP((LEFT(R22,4)),BASE!$E$12:$F$23,2,0),IFERROR(VLOOKUP((LEFT(R22,3)),BASE!$E$12:$F$23,2,0),IFERROR(VLOOKUP((LEFT(R22,2)),BASE!$E$12:$F$23,2,0),IFERROR(VLOOKUP((LEFT(R22,1)),BASE!$E$12:$F$23,2,0),R22))))</f>
        <v/>
      </c>
      <c r="CI22" s="58" t="str">
        <f>IFERROR(VLOOKUP((LEFT(Q22,4)),BASE!$E$12:$F$23,2,0),IFERROR(VLOOKUP((LEFT(Q22,3)),BASE!$E$12:$F$23,2,0),IFERROR(VLOOKUP((LEFT(Q22,2)),BASE!$E$12:$F$23,2,0),IFERROR(VLOOKUP((LEFT(Q22,1)),BASE!$E$12:$F$23,2,0),Q22))))</f>
        <v/>
      </c>
      <c r="CJ22" s="58" t="str">
        <f>IFERROR(VLOOKUP((LEFT(P22,4)),BASE!$E$12:$F$23,2,0),IFERROR(VLOOKUP((LEFT(P22,3)),BASE!$E$12:$F$23,2,0),IFERROR(VLOOKUP((LEFT(P22,2)),BASE!$E$12:$F$23,2,0),IFERROR(VLOOKUP((LEFT(P22,1)),BASE!$E$12:$F$23,2,0),P22))))</f>
        <v/>
      </c>
      <c r="CK22" s="58" t="str">
        <f>IFERROR(VLOOKUP((LEFT(O22,4)),BASE!$E$12:$F$23,2,0),IFERROR(VLOOKUP((LEFT(O22,3)),BASE!$E$12:$F$23,2,0),IFERROR(VLOOKUP((LEFT(O22,2)),BASE!$E$12:$F$23,2,0),IFERROR(VLOOKUP((LEFT(O22,1)),BASE!$E$12:$F$23,2,0),O22))))</f>
        <v/>
      </c>
      <c r="CL22" s="58" t="str">
        <f>IFERROR(VLOOKUP((LEFT(N22,4)),BASE!$E$12:$F$23,2,0),IFERROR(VLOOKUP((LEFT(N22,3)),BASE!$E$12:$F$23,2,0),IFERROR(VLOOKUP((LEFT(N22,2)),BASE!$E$12:$F$23,2,0),IFERROR(VLOOKUP((LEFT(N22,1)),BASE!$E$12:$F$23,2,0),N22))))</f>
        <v/>
      </c>
      <c r="CM22" s="58" t="str">
        <f>IFERROR(VLOOKUP((LEFT(M22,4)),BASE!$E$12:$F$23,2,0),IFERROR(VLOOKUP((LEFT(M22,3)),BASE!$E$12:$F$23,2,0),IFERROR(VLOOKUP((LEFT(M22,2)),BASE!$E$12:$F$23,2,0),IFERROR(VLOOKUP((LEFT(M22,1)),BASE!$E$12:$F$23,2,0),M22))))</f>
        <v/>
      </c>
      <c r="CN22" s="58" t="str">
        <f>IFERROR(VLOOKUP((LEFT(L22,4)),BASE!$E$12:$F$23,2,0),IFERROR(VLOOKUP((LEFT(L22,3)),BASE!$E$12:$F$23,2,0),IFERROR(VLOOKUP((LEFT(L22,2)),BASE!$E$12:$F$23,2,0),IFERROR(VLOOKUP((LEFT(L22,1)),BASE!$E$12:$F$23,2,0),L22))))</f>
        <v/>
      </c>
      <c r="CO22" s="58" t="str">
        <f t="shared" si="6"/>
        <v>நேர்நேர்</v>
      </c>
      <c r="CP22" s="58" t="str">
        <f>VLOOKUP(CO22,BASE!$E$25:$F$79,2,0)</f>
        <v>தேமா</v>
      </c>
      <c r="CQ22" s="58" t="str">
        <f>VLOOKUP(CO22,BASE!$E$25:$G$79,3,0)&amp;CE23</f>
        <v>மாநிரை</v>
      </c>
      <c r="CR22" s="58" t="str">
        <f>VLOOKUP(CQ22,BASE!$E$86:$G$93,2,0)</f>
        <v>மாமுன் நிரை</v>
      </c>
      <c r="CS22" s="58" t="str">
        <f>VLOOKUP(CQ22,BASE!$E$86:$G$93,3,0)</f>
        <v>இயற்சீர் வெண்டளை</v>
      </c>
      <c r="CT22" s="58" t="str">
        <f t="shared" si="7"/>
        <v>மூவசைக்கு மிகவில்லை</v>
      </c>
      <c r="CU22" s="58" t="str">
        <f t="shared" si="8"/>
        <v>சரி</v>
      </c>
      <c r="CV22" s="193"/>
    </row>
    <row r="23" spans="1:100" ht="19.5" customHeight="1" x14ac:dyDescent="0.35">
      <c r="A23" s="119"/>
      <c r="B23" s="12">
        <f>IFERROR(VLOOKUP((LEFT(L23,4)),BASE!$E$12:$F$23,1,0),IFERROR(VLOOKUP((LEFT(L23,3)),BASE!$E$12:$F$23,1,0),IFERROR(VLOOKUP((LEFT(L23,2)),BASE!$E$12:$F$23,1,0),IFERROR(VLOOKUP((LEFT(L23,1)),BASE!$E$12:$F$23,1,0),100))))</f>
        <v>100</v>
      </c>
      <c r="C23" s="12">
        <f>IFERROR(VLOOKUP((LEFT(M23,4)),BASE!$E$12:$F$23,1,0),IFERROR(VLOOKUP((LEFT(M23,3)),BASE!$E$12:$F$23,1,0),IFERROR(VLOOKUP((LEFT(M23,2)),BASE!$E$12:$F$23,1,0),IFERROR(VLOOKUP((LEFT(M23,1)),BASE!$E$12:$F$23,1,0),100))))</f>
        <v>100</v>
      </c>
      <c r="D23" s="12">
        <f>IFERROR(VLOOKUP((LEFT(N23,4)),BASE!$E$12:$F$23,1,0),IFERROR(VLOOKUP((LEFT(N23,3)),BASE!$E$12:$F$23,1,0),IFERROR(VLOOKUP((LEFT(N23,2)),BASE!$E$12:$F$23,1,0),IFERROR(VLOOKUP((LEFT(N23,1)),BASE!$E$12:$F$23,1,0),100))))</f>
        <v>100</v>
      </c>
      <c r="E23" s="12">
        <f>IFERROR(VLOOKUP((LEFT(O23,4)),BASE!$E$12:$F$23,1,0),IFERROR(VLOOKUP((LEFT(O23,3)),BASE!$E$12:$F$23,1,0),IFERROR(VLOOKUP((LEFT(O23,2)),BASE!$E$12:$F$23,1,0),IFERROR(VLOOKUP((LEFT(O23,1)),BASE!$E$12:$F$23,1,0),100))))</f>
        <v>100</v>
      </c>
      <c r="F23" s="12">
        <f>IFERROR(VLOOKUP((LEFT(P23,4)),BASE!$E$12:$F$23,1,0),IFERROR(VLOOKUP((LEFT(P23,3)),BASE!$E$12:$F$23,1,0),IFERROR(VLOOKUP((LEFT(P23,2)),BASE!$E$12:$F$23,1,0),IFERROR(VLOOKUP((LEFT(P23,1)),BASE!$E$12:$F$23,1,0),100))))</f>
        <v>100</v>
      </c>
      <c r="G23" s="12">
        <f>IFERROR(VLOOKUP((LEFT(Q23,4)),BASE!$E$12:$F$23,1,0),IFERROR(VLOOKUP((LEFT(Q23,3)),BASE!$E$12:$F$23,1,0),IFERROR(VLOOKUP((LEFT(Q23,2)),BASE!$E$12:$F$23,1,0),IFERROR(VLOOKUP((LEFT(Q23,1)),BASE!$E$12:$F$23,1,0),100))))</f>
        <v>100</v>
      </c>
      <c r="H23" s="12">
        <f>IFERROR(VLOOKUP((LEFT(R23,4)),BASE!$E$12:$F$23,1,0),IFERROR(VLOOKUP((LEFT(R23,3)),BASE!$E$12:$F$23,1,0),IFERROR(VLOOKUP((LEFT(R23,2)),BASE!$E$12:$F$23,1,0),IFERROR(VLOOKUP((LEFT(R23,1)),BASE!$E$12:$F$23,1,0),100))))</f>
        <v>100</v>
      </c>
      <c r="I23" s="12" t="str">
        <f>IFERROR(VLOOKUP((LEFT(S23,4)),BASE!$E$12:$F$23,1,0),IFERROR(VLOOKUP((LEFT(S23,3)),BASE!$E$12:$F$23,1,0),IFERROR(VLOOKUP((LEFT(S23,2)),BASE!$E$12:$F$23,1,0),IFERROR(VLOOKUP((LEFT(S23,1)),BASE!$E$12:$F$23,1,0),100))))</f>
        <v>ko</v>
      </c>
      <c r="J23" s="12" t="str">
        <f>IFERROR(VLOOKUP((LEFT(T23,4)),BASE!$E$12:$F$24,1,0),IFERROR(VLOOKUP((LEFT(T23,3)),BASE!$E$12:$F$24,1,0),IFERROR(VLOOKUP((LEFT(T23,2)),BASE!$E$12:$F$24,1,0),IFERROR(VLOOKUP((LEFT(T23,1)),BASE!$E$12:$F$24,1,0),100))))</f>
        <v>kk</v>
      </c>
      <c r="K23" s="12" t="str">
        <f>IFERROR(VLOOKUP((LEFT(U23,4)),BASE!$E$12:$F$23,1,0),IFERROR(VLOOKUP((LEFT(U23,3)),BASE!$E$12:$F$23,1,0),IFERROR(VLOOKUP((LEFT(U23,2)),BASE!$E$12:$F$23,1,0),IFERROR(VLOOKUP((LEFT(U23,1)),BASE!$E$12:$F$23,1,0),100))))</f>
        <v>kko</v>
      </c>
      <c r="L23" s="14" t="str">
        <f t="shared" si="0"/>
        <v/>
      </c>
      <c r="M23" s="14" t="str">
        <f t="shared" si="0"/>
        <v/>
      </c>
      <c r="N23" s="14" t="str">
        <f t="shared" si="0"/>
        <v/>
      </c>
      <c r="O23" s="14" t="str">
        <f t="shared" si="0"/>
        <v/>
      </c>
      <c r="P23" s="14" t="str">
        <f t="shared" si="0"/>
        <v/>
      </c>
      <c r="Q23" s="14" t="str">
        <f t="shared" si="0"/>
        <v/>
      </c>
      <c r="R23" s="14" t="str">
        <f t="shared" si="0"/>
        <v/>
      </c>
      <c r="S23" s="14" t="str">
        <f t="shared" si="0"/>
        <v>ko</v>
      </c>
      <c r="T23" s="14" t="str">
        <f t="shared" si="0"/>
        <v>kkko</v>
      </c>
      <c r="U23" s="14" t="str">
        <f t="shared" si="1"/>
        <v>kkokkko</v>
      </c>
      <c r="V23" s="13">
        <f>IFERROR(VLOOKUP(LEFT(AZ23,2),BASE!$C$96:$E$342,3,0),IFERROR(VLOOKUP(LEFT(AZ23,1),BASE!$C$96:$E$342,3,0),100))</f>
        <v>100</v>
      </c>
      <c r="W23" s="13">
        <f>IFERROR(VLOOKUP(LEFT(BA23,2),BASE!$C$96:$E$342,3,0),IFERROR(VLOOKUP(LEFT(BA23,1),BASE!$C$96:$E$342,3,0),100))</f>
        <v>100</v>
      </c>
      <c r="X23" s="13">
        <f>IFERROR(VLOOKUP(LEFT(BB23,2),BASE!$C$96:$E$342,3,0),IFERROR(VLOOKUP(LEFT(BB23,1),BASE!$C$96:$E$342,3,0),100))</f>
        <v>100</v>
      </c>
      <c r="Y23" s="13">
        <f>IFERROR(VLOOKUP(LEFT(BC23,2),BASE!$C$96:$E$342,3,0),IFERROR(VLOOKUP(LEFT(BC23,1),BASE!$C$96:$E$342,3,0),100))</f>
        <v>2</v>
      </c>
      <c r="Z23" s="13">
        <f>IFERROR(VLOOKUP(LEFT(BD23,2),BASE!$C$96:$E$342,3,0),IFERROR(VLOOKUP(LEFT(BD23,1),BASE!$C$96:$E$342,3,0),100))</f>
        <v>1</v>
      </c>
      <c r="AA23" s="13">
        <f>IFERROR(VLOOKUP(LEFT(BE23,2),BASE!$C$96:$E$342,3,0),IFERROR(VLOOKUP(LEFT(BE23,1),BASE!$C$96:$E$342,3,0),100))</f>
        <v>1</v>
      </c>
      <c r="AB23" s="13">
        <f>IFERROR(VLOOKUP(LEFT(BF23,2),BASE!$C$96:$E$342,3,0),IFERROR(VLOOKUP(LEFT(BF23,1),BASE!$C$96:$E$342,3,0),100))</f>
        <v>2</v>
      </c>
      <c r="AC23" s="13">
        <f>IFERROR(VLOOKUP(LEFT(BG23,2),BASE!$C$96:$E$342,3,0),IFERROR(VLOOKUP(LEFT(BG23,1),BASE!$C$96:$E$342,3,0),100))</f>
        <v>2</v>
      </c>
      <c r="AD23" s="13">
        <f>IFERROR(VLOOKUP(LEFT(BH23,2),BASE!$C$96:$E$342,3,0),IFERROR(VLOOKUP(LEFT(BH23,1),BASE!$C$96:$E$342,3,0),100))</f>
        <v>2</v>
      </c>
      <c r="AE23" s="13">
        <f>IFERROR(VLOOKUP(LEFT(BI23,2),BASE!$C$96:$E$342,3,0),IFERROR(VLOOKUP(LEFT(BI23,1),BASE!$C$96:$E$342,3,0),100))</f>
        <v>1</v>
      </c>
      <c r="AF23" s="187" t="str">
        <f>IF(AND(BS23=BR23,AG23="o"),"A", (IFERROR(VLOOKUP(LEFT(AZ23,2),BASE!$C$346:$D$592,2,0),IFERROR(VLOOKUP(LEFT(AZ23,1),BASE!$C$346:$D$5922,2,0),AZ23))))</f>
        <v/>
      </c>
      <c r="AG23" s="187" t="str">
        <f>IF(AND(BR23=BQ23,AH23="o"),"A", (IFERROR(VLOOKUP(LEFT(BA23,2),BASE!$C$346:$D$592,2,0),IFERROR(VLOOKUP(LEFT(BA23,1),BASE!$C$346:$D$592,2,0),BA23))))</f>
        <v/>
      </c>
      <c r="AH23" s="187" t="str">
        <f>IF(AND(BQ23=BP23,AI23="o"),"A", (IFERROR(VLOOKUP(LEFT(BB23,2),BASE!$C$346:$D$592,2,0),IFERROR(VLOOKUP(LEFT(BB23,1),BASE!$C$346:$D$592,2,0),BB23))))</f>
        <v/>
      </c>
      <c r="AI23" s="187" t="str">
        <f>IF(AND(BP23=BO23,AJ23="o"),"A", (IFERROR(VLOOKUP(LEFT(BC23,2),BASE!$C$346:$D$592,2,0),IFERROR(VLOOKUP(LEFT(BC23,1),BASE!$C$346:$D$592,2,0),BC23))))</f>
        <v>o</v>
      </c>
      <c r="AJ23" s="187" t="str">
        <f>IF(AND(BO23=BN23,AK23="o"),"A", (IFERROR(VLOOKUP(LEFT(BD23,2),BASE!$C$346:$D$592,2,0),IFERROR(VLOOKUP(LEFT(BD23,1),BASE!$C$346:$D$592,2,0),BD23))))</f>
        <v>k</v>
      </c>
      <c r="AK23" s="187" t="str">
        <f>IF(AND(BN23=BM23,AL23="o"),"A", (IFERROR(VLOOKUP(LEFT(BE23,2),BASE!$C$346:$D$592,2,0),IFERROR(VLOOKUP(LEFT(BE23,1),BASE!$C$346:$D$592,2,0),BE23))))</f>
        <v>k</v>
      </c>
      <c r="AL23" s="187" t="str">
        <f>IF(AND(BM23=BL23,AM23="o"),"A", (IFERROR(VLOOKUP(LEFT(BF23,2),BASE!$C$346:$D$592,2,0),IFERROR(VLOOKUP(LEFT(BF23,1),BASE!$C$346:$D$592,2,0),BF23))))</f>
        <v>k</v>
      </c>
      <c r="AM23" s="187" t="str">
        <f>IF(AND(BL23=BK23,AN23="o"),"A",(IFERROR(VLOOKUP(LEFT(BG23,2),BASE!$C$346:$D$592,2,0),IFERROR(VLOOKUP(LEFT(BG23,1),BASE!$C$346:$D$592,2,0),BG23))))</f>
        <v>o</v>
      </c>
      <c r="AN23" s="187" t="str">
        <f>(IFERROR(VLOOKUP(LEFT(BH23,2),BASE!$C$346:$D$592,2,0),IFERROR(VLOOKUP(LEFT(BH23,1),BASE!$C$346:$D$592,2,0),BH23)))</f>
        <v>k</v>
      </c>
      <c r="AO23" s="187" t="str">
        <f>(IFERROR(VLOOKUP(LEFT(BI23,2),BASE!$C$96:$D$342,2,0),IFERROR(VLOOKUP(LEFT(BI23,1),BASE!$C$96:$D$342,2,0),BI23)))</f>
        <v>k</v>
      </c>
      <c r="AP23" s="5">
        <f t="shared" si="2"/>
        <v>11</v>
      </c>
      <c r="AQ23" s="5">
        <f t="shared" si="2"/>
        <v>11</v>
      </c>
      <c r="AR23" s="5">
        <f t="shared" si="2"/>
        <v>11</v>
      </c>
      <c r="AS23" s="5">
        <f t="shared" si="2"/>
        <v>11</v>
      </c>
      <c r="AT23" s="5">
        <f t="shared" si="2"/>
        <v>11</v>
      </c>
      <c r="AU23" s="5">
        <f t="shared" si="2"/>
        <v>11</v>
      </c>
      <c r="AV23" s="5">
        <f t="shared" si="2"/>
        <v>11</v>
      </c>
      <c r="AW23" s="5">
        <f t="shared" si="2"/>
        <v>11</v>
      </c>
      <c r="AX23" s="5">
        <f t="shared" si="2"/>
        <v>11</v>
      </c>
      <c r="AY23" s="5">
        <f t="shared" si="3"/>
        <v>11</v>
      </c>
      <c r="AZ23" s="12" t="str">
        <f t="shared" si="4"/>
        <v/>
      </c>
      <c r="BA23" s="12" t="str">
        <f t="shared" si="4"/>
        <v/>
      </c>
      <c r="BB23" s="12" t="str">
        <f t="shared" si="4"/>
        <v/>
      </c>
      <c r="BC23" s="12" t="str">
        <f t="shared" si="4"/>
        <v>ன்</v>
      </c>
      <c r="BD23" s="12" t="str">
        <f t="shared" si="4"/>
        <v>கன்</v>
      </c>
      <c r="BE23" s="12" t="str">
        <f t="shared" si="4"/>
        <v>ரகன்</v>
      </c>
      <c r="BF23" s="12" t="str">
        <f t="shared" si="4"/>
        <v>விரகன்</v>
      </c>
      <c r="BG23" s="12" t="str">
        <f t="shared" si="4"/>
        <v>ழ்விரகன்</v>
      </c>
      <c r="BH23" s="43" t="str">
        <f t="shared" si="4"/>
        <v>மிழ்விரகன்</v>
      </c>
      <c r="BI23" s="57" t="str">
        <f>CF8</f>
        <v>தமிழ்விரகன்</v>
      </c>
      <c r="BJ23" s="58" t="str">
        <f>IFERROR(VLOOKUP(LEFT(BI23,2),BASE!$C$96:$F$342,1,0),IFERROR(VLOOKUP(LEFT(BI23,1),BASE!$C$96:$F$342,1,0),BI23))</f>
        <v>த</v>
      </c>
      <c r="BK23" s="58" t="str">
        <f>IFERROR(VLOOKUP(LEFT(BH23,2),BASE!$C$96:$D$342,1,0),IFERROR(VLOOKUP(LEFT(BH23,1),BASE!$C$96:$D$342,1,0),BH23))</f>
        <v>மி</v>
      </c>
      <c r="BL23" s="58" t="str">
        <f>IFERROR(VLOOKUP(LEFT(BG23,2),BASE!$C$96:$D$342,1,0),IFERROR(VLOOKUP(LEFT(BG23,1),BASE!$C$96:$D$342,1,0),BG23))</f>
        <v>ழ்</v>
      </c>
      <c r="BM23" s="58" t="str">
        <f>IFERROR(VLOOKUP(LEFT(BF23,2),BASE!$C$96:$D$342,1,0),IFERROR(VLOOKUP(LEFT(BF23,1),BASE!$C$96:$D$342,1,0),BF23))</f>
        <v>வி</v>
      </c>
      <c r="BN23" s="58" t="str">
        <f>IFERROR(VLOOKUP(LEFT(BE23,2),BASE!$C$96:$D$342,1,0),IFERROR(VLOOKUP(LEFT(BE23,1),BASE!$C$96:$D$342,1,0),BE23))</f>
        <v>ர</v>
      </c>
      <c r="BO23" s="58" t="str">
        <f>IFERROR(VLOOKUP(LEFT(BD23,2),BASE!$C$96:$D$342,1,0),IFERROR(VLOOKUP(LEFT(BD23,1),BASE!$C$96:$D$342,1,0),BD23))</f>
        <v>க</v>
      </c>
      <c r="BP23" s="58" t="str">
        <f>IFERROR(VLOOKUP(LEFT(BC23,2),BASE!$C$96:$D$342,1,0),IFERROR(VLOOKUP(LEFT(BC23,1),BASE!$C$96:$D$342,1,0),BC23))</f>
        <v>ன்</v>
      </c>
      <c r="BQ23" s="58" t="str">
        <f>IFERROR(VLOOKUP(LEFT(BB23,2),BASE!$C$96:$D$342,1,0),IFERROR(VLOOKUP(LEFT(BB23,1),BASE!$C$96:$D$342,1,0),BB23))</f>
        <v/>
      </c>
      <c r="BR23" s="58" t="str">
        <f>IFERROR(VLOOKUP(LEFT(BA23,2),BASE!$C$96:$D$342,1,0),IFERROR(VLOOKUP(LEFT(BA23,1),BASE!$C$96:$D$342,1,0),BA23))</f>
        <v/>
      </c>
      <c r="BS23" s="58" t="str">
        <f>IFERROR(VLOOKUP(LEFT(AZ23,2),BASE!$C$96:$D$342,1,0),IFERROR(VLOOKUP(LEFT(AZ23,1),BASE!$C$96:$D$342,1,0),AZ23))</f>
        <v/>
      </c>
      <c r="BT23" s="186" t="str">
        <f>(IFERROR(VLOOKUP(LEFT(BI23,2),BASE!$C$96:$F$342,4,0),IFERROR(VLOOKUP(LEFT(BI23,1),BASE!$C$96:$F$342,4,0),BI23)))</f>
        <v>கு</v>
      </c>
      <c r="BU23" s="186" t="str">
        <f>(IFERROR(VLOOKUP(LEFT(BH23,2),BASE!$C$346:$F$592,4,0),IFERROR(VLOOKUP(LEFT(BH23,1),BASE!$C$346:$F$592,4,0),BH23)))</f>
        <v>கு</v>
      </c>
      <c r="BV23" s="186" t="str">
        <f>(IFERROR(VLOOKUP(LEFT(BG23,2),BASE!$C$346:$F$592,4,0),IFERROR(VLOOKUP(LEFT(BG23,1),BASE!$C$346:$F$592,4,0),BG23)))</f>
        <v>ஒ</v>
      </c>
      <c r="BW23" s="186" t="str">
        <f>(IFERROR(VLOOKUP(LEFT(BF23,2),BASE!$C$346:$F$592,4,0),IFERROR(VLOOKUP(LEFT(BF23,1),BASE!$C$346:$F$592,4,0),BF23)))</f>
        <v>கு</v>
      </c>
      <c r="BX23" s="186" t="str">
        <f>(IFERROR(VLOOKUP(LEFT(BE23,2),BASE!$C$346:$F$592,4,0),IFERROR(VLOOKUP(LEFT(BE23,1),BASE!$C$346:$F$592,4,0),BE23)))</f>
        <v>கு</v>
      </c>
      <c r="BY23" s="186" t="str">
        <f>(IFERROR(VLOOKUP(LEFT(BD23,2),BASE!$C$346:$F$592,4,0),IFERROR(VLOOKUP(LEFT(BD23,1),BASE!$C$346:$F$592,4,0),BD23)))</f>
        <v>கு</v>
      </c>
      <c r="BZ23" s="186" t="str">
        <f>(IFERROR(VLOOKUP(LEFT(BC23,2),BASE!$C$346:$F$592,4,0),IFERROR(VLOOKUP(LEFT(BC23,1),BASE!$C$346:$F$592,4,0),BC23)))</f>
        <v>ஒ</v>
      </c>
      <c r="CA23" s="186" t="str">
        <f>(IFERROR(VLOOKUP(LEFT(BB23,2),BASE!$C$346:$F$592,4,0),IFERROR(VLOOKUP(LEFT(BB23,1),BASE!$C$346:$F$592,4,0),BB23)))</f>
        <v/>
      </c>
      <c r="CB23" s="186" t="str">
        <f>(IFERROR(VLOOKUP(LEFT(BA23,2),BASE!$C$346:$F$592,4,0),IFERROR(VLOOKUP(LEFT(BA23,1),BASE!$C$346:$F$592,4,0),BA23)))</f>
        <v/>
      </c>
      <c r="CC23" s="186" t="str">
        <f>(IFERROR(VLOOKUP(LEFT(AZ23,2),BASE!$C$346:$F$592,4,0),IFERROR(VLOOKUP(LEFT(AZ23,1),BASE!$C$346:$F$592,4,0),AZ23)))</f>
        <v/>
      </c>
      <c r="CD23" s="58" t="str">
        <f t="shared" si="5"/>
        <v>குகுஒகுகுகுஒ</v>
      </c>
      <c r="CE23" s="58" t="str">
        <f>IFERROR(VLOOKUP((LEFT(U23,4)),BASE!$E$12:$F$23,2,0),IFERROR(VLOOKUP((LEFT(U23,3)),BASE!$E$12:$F$23,2,0),IFERROR(VLOOKUP((LEFT(U23,2)),BASE!$E$12:$F$23,2,0),IFERROR(VLOOKUP((LEFT(U23,1)),BASE!$E$12:$F$23,2,0),U23))))</f>
        <v>நிரை</v>
      </c>
      <c r="CF23" s="58" t="str">
        <f>IFERROR(VLOOKUP((LEFT(T23,4)),BASE!$E$12:$F$24,2,0),IFERROR(VLOOKUP((LEFT(T23,3)),BASE!$E$12:$F$24,2,0),IFERROR(VLOOKUP((LEFT(T23,2)),BASE!$E$12:$F$24,2,0),IFERROR(VLOOKUP((LEFT(T23,1)),BASE!$E$12:$F$24,2,0),T23))))</f>
        <v>நிரை</v>
      </c>
      <c r="CG23" s="58" t="str">
        <f>IFERROR(VLOOKUP((LEFT(S23,4)),BASE!$E$12:$F$23,2,0),IFERROR(VLOOKUP((LEFT(S23,3)),BASE!$E$12:$F$23,2,0),IFERROR(VLOOKUP((LEFT(S23,2)),BASE!$E$12:$F$23,2,0),IFERROR(VLOOKUP((LEFT(S23,1)),BASE!$E$12:$F$23,2,0),S23))))</f>
        <v>நேர்</v>
      </c>
      <c r="CH23" s="58" t="str">
        <f>IFERROR(VLOOKUP((LEFT(R23,4)),BASE!$E$12:$F$23,2,0),IFERROR(VLOOKUP((LEFT(R23,3)),BASE!$E$12:$F$23,2,0),IFERROR(VLOOKUP((LEFT(R23,2)),BASE!$E$12:$F$23,2,0),IFERROR(VLOOKUP((LEFT(R23,1)),BASE!$E$12:$F$23,2,0),R23))))</f>
        <v/>
      </c>
      <c r="CI23" s="58" t="str">
        <f>IFERROR(VLOOKUP((LEFT(Q23,4)),BASE!$E$12:$F$23,2,0),IFERROR(VLOOKUP((LEFT(Q23,3)),BASE!$E$12:$F$23,2,0),IFERROR(VLOOKUP((LEFT(Q23,2)),BASE!$E$12:$F$23,2,0),IFERROR(VLOOKUP((LEFT(Q23,1)),BASE!$E$12:$F$23,2,0),Q23))))</f>
        <v/>
      </c>
      <c r="CJ23" s="58" t="str">
        <f>IFERROR(VLOOKUP((LEFT(P23,4)),BASE!$E$12:$F$23,2,0),IFERROR(VLOOKUP((LEFT(P23,3)),BASE!$E$12:$F$23,2,0),IFERROR(VLOOKUP((LEFT(P23,2)),BASE!$E$12:$F$23,2,0),IFERROR(VLOOKUP((LEFT(P23,1)),BASE!$E$12:$F$23,2,0),P23))))</f>
        <v/>
      </c>
      <c r="CK23" s="58" t="str">
        <f>IFERROR(VLOOKUP((LEFT(O23,4)),BASE!$E$12:$F$23,2,0),IFERROR(VLOOKUP((LEFT(O23,3)),BASE!$E$12:$F$23,2,0),IFERROR(VLOOKUP((LEFT(O23,2)),BASE!$E$12:$F$23,2,0),IFERROR(VLOOKUP((LEFT(O23,1)),BASE!$E$12:$F$23,2,0),O23))))</f>
        <v/>
      </c>
      <c r="CL23" s="58" t="str">
        <f>IFERROR(VLOOKUP((LEFT(N23,4)),BASE!$E$12:$F$23,2,0),IFERROR(VLOOKUP((LEFT(N23,3)),BASE!$E$12:$F$23,2,0),IFERROR(VLOOKUP((LEFT(N23,2)),BASE!$E$12:$F$23,2,0),IFERROR(VLOOKUP((LEFT(N23,1)),BASE!$E$12:$F$23,2,0),N23))))</f>
        <v/>
      </c>
      <c r="CM23" s="58" t="str">
        <f>IFERROR(VLOOKUP((LEFT(M23,4)),BASE!$E$12:$F$23,2,0),IFERROR(VLOOKUP((LEFT(M23,3)),BASE!$E$12:$F$23,2,0),IFERROR(VLOOKUP((LEFT(M23,2)),BASE!$E$12:$F$23,2,0),IFERROR(VLOOKUP((LEFT(M23,1)),BASE!$E$12:$F$23,2,0),M23))))</f>
        <v/>
      </c>
      <c r="CN23" s="58" t="str">
        <f>IFERROR(VLOOKUP((LEFT(L23,4)),BASE!$E$12:$F$23,2,0),IFERROR(VLOOKUP((LEFT(L23,3)),BASE!$E$12:$F$23,2,0),IFERROR(VLOOKUP((LEFT(L23,2)),BASE!$E$12:$F$23,2,0),IFERROR(VLOOKUP((LEFT(L23,1)),BASE!$E$12:$F$23,2,0),L23))))</f>
        <v/>
      </c>
      <c r="CO23" s="58" t="str">
        <f t="shared" si="6"/>
        <v>நிரைநிரைநேர்</v>
      </c>
      <c r="CP23" s="58" t="str">
        <f>VLOOKUP(CO23,BASE!$E$25:$F$79,2,0)</f>
        <v>கருவிளங்காய்</v>
      </c>
      <c r="CQ23" s="58" t="str">
        <f>VLOOKUP(CO23,BASE!$E$25:$G$79,3,0)&amp;CE24</f>
        <v>காய்நேர்</v>
      </c>
      <c r="CR23" s="58" t="str">
        <f>VLOOKUP(CQ23,BASE!$E$86:$G$93,2,0)</f>
        <v>காய் முன் நேர்</v>
      </c>
      <c r="CS23" s="58" t="str">
        <f>VLOOKUP(CQ23,BASE!$E$86:$G$93,3,0)</f>
        <v>வெண்சீர் வெண்டளை</v>
      </c>
      <c r="CT23" s="58" t="str">
        <f t="shared" si="7"/>
        <v>மூவசைக்கு மிகவில்லை</v>
      </c>
      <c r="CU23" s="58" t="str">
        <f t="shared" si="8"/>
        <v>சரி</v>
      </c>
      <c r="CV23" s="193"/>
    </row>
    <row r="24" spans="1:100" ht="19.5" customHeight="1" x14ac:dyDescent="0.35">
      <c r="A24" s="119"/>
      <c r="B24" s="12">
        <f>IFERROR(VLOOKUP((LEFT(L24,4)),BASE!$E$12:$F$23,1,0),IFERROR(VLOOKUP((LEFT(L24,3)),BASE!$E$12:$F$23,1,0),IFERROR(VLOOKUP((LEFT(L24,2)),BASE!$E$12:$F$23,1,0),IFERROR(VLOOKUP((LEFT(L24,1)),BASE!$E$12:$F$23,1,0),100))))</f>
        <v>100</v>
      </c>
      <c r="C24" s="12">
        <f>IFERROR(VLOOKUP((LEFT(M24,4)),BASE!$E$12:$F$23,1,0),IFERROR(VLOOKUP((LEFT(M24,3)),BASE!$E$12:$F$23,1,0),IFERROR(VLOOKUP((LEFT(M24,2)),BASE!$E$12:$F$23,1,0),IFERROR(VLOOKUP((LEFT(M24,1)),BASE!$E$12:$F$23,1,0),100))))</f>
        <v>100</v>
      </c>
      <c r="D24" s="12">
        <f>IFERROR(VLOOKUP((LEFT(N24,4)),BASE!$E$12:$F$23,1,0),IFERROR(VLOOKUP((LEFT(N24,3)),BASE!$E$12:$F$23,1,0),IFERROR(VLOOKUP((LEFT(N24,2)),BASE!$E$12:$F$23,1,0),IFERROR(VLOOKUP((LEFT(N24,1)),BASE!$E$12:$F$23,1,0),100))))</f>
        <v>100</v>
      </c>
      <c r="E24" s="12">
        <f>IFERROR(VLOOKUP((LEFT(O24,4)),BASE!$E$12:$F$23,1,0),IFERROR(VLOOKUP((LEFT(O24,3)),BASE!$E$12:$F$23,1,0),IFERROR(VLOOKUP((LEFT(O24,2)),BASE!$E$12:$F$23,1,0),IFERROR(VLOOKUP((LEFT(O24,1)),BASE!$E$12:$F$23,1,0),100))))</f>
        <v>100</v>
      </c>
      <c r="F24" s="12">
        <f>IFERROR(VLOOKUP((LEFT(P24,4)),BASE!$E$12:$F$23,1,0),IFERROR(VLOOKUP((LEFT(P24,3)),BASE!$E$12:$F$23,1,0),IFERROR(VLOOKUP((LEFT(P24,2)),BASE!$E$12:$F$23,1,0),IFERROR(VLOOKUP((LEFT(P24,1)),BASE!$E$12:$F$23,1,0),100))))</f>
        <v>100</v>
      </c>
      <c r="G24" s="12">
        <f>IFERROR(VLOOKUP((LEFT(Q24,4)),BASE!$E$12:$F$23,1,0),IFERROR(VLOOKUP((LEFT(Q24,3)),BASE!$E$12:$F$23,1,0),IFERROR(VLOOKUP((LEFT(Q24,2)),BASE!$E$12:$F$23,1,0),IFERROR(VLOOKUP((LEFT(Q24,1)),BASE!$E$12:$F$23,1,0),100))))</f>
        <v>100</v>
      </c>
      <c r="H24" s="12">
        <f>IFERROR(VLOOKUP((LEFT(R24,4)),BASE!$E$12:$F$23,1,0),IFERROR(VLOOKUP((LEFT(R24,3)),BASE!$E$12:$F$23,1,0),IFERROR(VLOOKUP((LEFT(R24,2)),BASE!$E$12:$F$23,1,0),IFERROR(VLOOKUP((LEFT(R24,1)),BASE!$E$12:$F$23,1,0),100))))</f>
        <v>100</v>
      </c>
      <c r="I24" s="12" t="str">
        <f>IFERROR(VLOOKUP((LEFT(S24,4)),BASE!$E$12:$F$23,1,0),IFERROR(VLOOKUP((LEFT(S24,3)),BASE!$E$12:$F$23,1,0),IFERROR(VLOOKUP((LEFT(S24,2)),BASE!$E$12:$F$23,1,0),IFERROR(VLOOKUP((LEFT(S24,1)),BASE!$E$12:$F$23,1,0),100))))</f>
        <v>ko</v>
      </c>
      <c r="J24" s="12" t="str">
        <f>IFERROR(VLOOKUP((LEFT(T24,4)),BASE!$E$12:$F$24,1,0),IFERROR(VLOOKUP((LEFT(T24,3)),BASE!$E$12:$F$24,1,0),IFERROR(VLOOKUP((LEFT(T24,2)),BASE!$E$12:$F$24,1,0),IFERROR(VLOOKUP((LEFT(T24,1)),BASE!$E$12:$F$24,1,0),100))))</f>
        <v>n</v>
      </c>
      <c r="K24" s="12" t="str">
        <f>IFERROR(VLOOKUP((LEFT(U24,4)),BASE!$E$12:$F$23,1,0),IFERROR(VLOOKUP((LEFT(U24,3)),BASE!$E$12:$F$23,1,0),IFERROR(VLOOKUP((LEFT(U24,2)),BASE!$E$12:$F$23,1,0),IFERROR(VLOOKUP((LEFT(U24,1)),BASE!$E$12:$F$23,1,0),100))))</f>
        <v>n</v>
      </c>
      <c r="L24" s="14" t="str">
        <f t="shared" si="0"/>
        <v/>
      </c>
      <c r="M24" s="14" t="str">
        <f t="shared" si="0"/>
        <v/>
      </c>
      <c r="N24" s="14" t="str">
        <f t="shared" si="0"/>
        <v/>
      </c>
      <c r="O24" s="14" t="str">
        <f t="shared" si="0"/>
        <v/>
      </c>
      <c r="P24" s="14" t="str">
        <f t="shared" si="0"/>
        <v/>
      </c>
      <c r="Q24" s="14" t="str">
        <f t="shared" si="0"/>
        <v/>
      </c>
      <c r="R24" s="14" t="str">
        <f t="shared" si="0"/>
        <v/>
      </c>
      <c r="S24" s="14" t="str">
        <f t="shared" si="0"/>
        <v>ko</v>
      </c>
      <c r="T24" s="14" t="str">
        <f t="shared" si="0"/>
        <v>nko</v>
      </c>
      <c r="U24" s="14" t="str">
        <f t="shared" si="1"/>
        <v>nnko</v>
      </c>
      <c r="V24" s="13">
        <f>IFERROR(VLOOKUP(LEFT(AZ24,2),BASE!$C$96:$E$342,3,0),IFERROR(VLOOKUP(LEFT(AZ24,1),BASE!$C$96:$E$342,3,0),100))</f>
        <v>100</v>
      </c>
      <c r="W24" s="13">
        <f>IFERROR(VLOOKUP(LEFT(BA24,2),BASE!$C$96:$E$342,3,0),IFERROR(VLOOKUP(LEFT(BA24,1),BASE!$C$96:$E$342,3,0),100))</f>
        <v>100</v>
      </c>
      <c r="X24" s="13">
        <f>IFERROR(VLOOKUP(LEFT(BB24,2),BASE!$C$96:$E$342,3,0),IFERROR(VLOOKUP(LEFT(BB24,1),BASE!$C$96:$E$342,3,0),100))</f>
        <v>100</v>
      </c>
      <c r="Y24" s="13">
        <f>IFERROR(VLOOKUP(LEFT(BC24,2),BASE!$C$96:$E$342,3,0),IFERROR(VLOOKUP(LEFT(BC24,1),BASE!$C$96:$E$342,3,0),100))</f>
        <v>100</v>
      </c>
      <c r="Z24" s="13">
        <f>IFERROR(VLOOKUP(LEFT(BD24,2),BASE!$C$96:$E$342,3,0),IFERROR(VLOOKUP(LEFT(BD24,1),BASE!$C$96:$E$342,3,0),100))</f>
        <v>100</v>
      </c>
      <c r="AA24" s="13">
        <f>IFERROR(VLOOKUP(LEFT(BE24,2),BASE!$C$96:$E$342,3,0),IFERROR(VLOOKUP(LEFT(BE24,1),BASE!$C$96:$E$342,3,0),100))</f>
        <v>100</v>
      </c>
      <c r="AB24" s="13">
        <f>IFERROR(VLOOKUP(LEFT(BF24,2),BASE!$C$96:$E$342,3,0),IFERROR(VLOOKUP(LEFT(BF24,1),BASE!$C$96:$E$342,3,0),100))</f>
        <v>2</v>
      </c>
      <c r="AC24" s="13">
        <f>IFERROR(VLOOKUP(LEFT(BG24,2),BASE!$C$96:$E$342,3,0),IFERROR(VLOOKUP(LEFT(BG24,1),BASE!$C$96:$E$342,3,0),100))</f>
        <v>2</v>
      </c>
      <c r="AD24" s="13">
        <f>IFERROR(VLOOKUP(LEFT(BH24,2),BASE!$C$96:$E$342,3,0),IFERROR(VLOOKUP(LEFT(BH24,1),BASE!$C$96:$E$342,3,0),100))</f>
        <v>2</v>
      </c>
      <c r="AE24" s="13">
        <f>IFERROR(VLOOKUP(LEFT(BI24,2),BASE!$C$96:$E$342,3,0),IFERROR(VLOOKUP(LEFT(BI24,1),BASE!$C$96:$E$342,3,0),100))</f>
        <v>2</v>
      </c>
      <c r="AF24" s="187" t="str">
        <f>IF(AND(BS24=BR24,AG24="o"),"A", (IFERROR(VLOOKUP(LEFT(AZ24,2),BASE!$C$346:$D$592,2,0),IFERROR(VLOOKUP(LEFT(AZ24,1),BASE!$C$346:$D$5922,2,0),AZ24))))</f>
        <v/>
      </c>
      <c r="AG24" s="187" t="str">
        <f>IF(AND(BR24=BQ24,AH24="o"),"A", (IFERROR(VLOOKUP(LEFT(BA24,2),BASE!$C$346:$D$592,2,0),IFERROR(VLOOKUP(LEFT(BA24,1),BASE!$C$346:$D$592,2,0),BA24))))</f>
        <v/>
      </c>
      <c r="AH24" s="187" t="str">
        <f>IF(AND(BQ24=BP24,AI24="o"),"A", (IFERROR(VLOOKUP(LEFT(BB24,2),BASE!$C$346:$D$592,2,0),IFERROR(VLOOKUP(LEFT(BB24,1),BASE!$C$346:$D$592,2,0),BB24))))</f>
        <v/>
      </c>
      <c r="AI24" s="187" t="str">
        <f>IF(AND(BP24=BO24,AJ24="o"),"A", (IFERROR(VLOOKUP(LEFT(BC24,2),BASE!$C$346:$D$592,2,0),IFERROR(VLOOKUP(LEFT(BC24,1),BASE!$C$346:$D$592,2,0),BC24))))</f>
        <v/>
      </c>
      <c r="AJ24" s="187" t="str">
        <f>IF(AND(BO24=BN24,AK24="o"),"A", (IFERROR(VLOOKUP(LEFT(BD24,2),BASE!$C$346:$D$592,2,0),IFERROR(VLOOKUP(LEFT(BD24,1),BASE!$C$346:$D$592,2,0),BD24))))</f>
        <v/>
      </c>
      <c r="AK24" s="187" t="str">
        <f>IF(AND(BN24=BM24,AL24="o"),"A", (IFERROR(VLOOKUP(LEFT(BE24,2),BASE!$C$346:$D$592,2,0),IFERROR(VLOOKUP(LEFT(BE24,1),BASE!$C$346:$D$592,2,0),BE24))))</f>
        <v/>
      </c>
      <c r="AL24" s="187" t="str">
        <f>IF(AND(BM24=BL24,AM24="o"),"A", (IFERROR(VLOOKUP(LEFT(BF24,2),BASE!$C$346:$D$592,2,0),IFERROR(VLOOKUP(LEFT(BF24,1),BASE!$C$346:$D$592,2,0),BF24))))</f>
        <v>o</v>
      </c>
      <c r="AM24" s="187" t="str">
        <f>IF(AND(BL24=BK24,AN24="o"),"A",(IFERROR(VLOOKUP(LEFT(BG24,2),BASE!$C$346:$D$592,2,0),IFERROR(VLOOKUP(LEFT(BG24,1),BASE!$C$346:$D$592,2,0),BG24))))</f>
        <v>k</v>
      </c>
      <c r="AN24" s="187" t="str">
        <f>(IFERROR(VLOOKUP(LEFT(BH24,2),BASE!$C$346:$D$592,2,0),IFERROR(VLOOKUP(LEFT(BH24,1),BASE!$C$346:$D$592,2,0),BH24)))</f>
        <v>n</v>
      </c>
      <c r="AO24" s="187" t="str">
        <f>(IFERROR(VLOOKUP(LEFT(BI24,2),BASE!$C$96:$D$342,2,0),IFERROR(VLOOKUP(LEFT(BI24,1),BASE!$C$96:$D$342,2,0),BI24)))</f>
        <v>n</v>
      </c>
      <c r="AP24" s="5">
        <f t="shared" si="2"/>
        <v>8</v>
      </c>
      <c r="AQ24" s="5">
        <f t="shared" si="2"/>
        <v>8</v>
      </c>
      <c r="AR24" s="5">
        <f t="shared" si="2"/>
        <v>8</v>
      </c>
      <c r="AS24" s="5">
        <f t="shared" si="2"/>
        <v>8</v>
      </c>
      <c r="AT24" s="5">
        <f t="shared" si="2"/>
        <v>8</v>
      </c>
      <c r="AU24" s="5">
        <f t="shared" si="2"/>
        <v>8</v>
      </c>
      <c r="AV24" s="5">
        <f t="shared" si="2"/>
        <v>8</v>
      </c>
      <c r="AW24" s="5">
        <f t="shared" si="2"/>
        <v>8</v>
      </c>
      <c r="AX24" s="5">
        <f t="shared" si="2"/>
        <v>8</v>
      </c>
      <c r="AY24" s="5">
        <f t="shared" si="3"/>
        <v>8</v>
      </c>
      <c r="AZ24" s="12" t="str">
        <f t="shared" si="4"/>
        <v/>
      </c>
      <c r="BA24" s="12" t="str">
        <f t="shared" si="4"/>
        <v/>
      </c>
      <c r="BB24" s="12" t="str">
        <f t="shared" si="4"/>
        <v/>
      </c>
      <c r="BC24" s="12" t="str">
        <f t="shared" si="4"/>
        <v/>
      </c>
      <c r="BD24" s="12" t="str">
        <f t="shared" si="4"/>
        <v/>
      </c>
      <c r="BE24" s="12" t="str">
        <f t="shared" si="4"/>
        <v/>
      </c>
      <c r="BF24" s="12" t="str">
        <f t="shared" si="4"/>
        <v>ம்</v>
      </c>
      <c r="BG24" s="12" t="str">
        <f t="shared" si="4"/>
        <v>யும்</v>
      </c>
      <c r="BH24" s="43" t="str">
        <f t="shared" si="4"/>
        <v>ரேயும்</v>
      </c>
      <c r="BI24" s="57" t="str">
        <f>CG8</f>
        <v>சீரேயும்</v>
      </c>
      <c r="BJ24" s="58" t="str">
        <f>IFERROR(VLOOKUP(LEFT(BI24,2),BASE!$C$96:$F$342,1,0),IFERROR(VLOOKUP(LEFT(BI24,1),BASE!$C$96:$F$342,1,0),BI24))</f>
        <v>சீ</v>
      </c>
      <c r="BK24" s="58" t="str">
        <f>IFERROR(VLOOKUP(LEFT(BH24,2),BASE!$C$96:$D$342,1,0),IFERROR(VLOOKUP(LEFT(BH24,1),BASE!$C$96:$D$342,1,0),BH24))</f>
        <v>ரே</v>
      </c>
      <c r="BL24" s="58" t="str">
        <f>IFERROR(VLOOKUP(LEFT(BG24,2),BASE!$C$96:$D$342,1,0),IFERROR(VLOOKUP(LEFT(BG24,1),BASE!$C$96:$D$342,1,0),BG24))</f>
        <v>யு</v>
      </c>
      <c r="BM24" s="58" t="str">
        <f>IFERROR(VLOOKUP(LEFT(BF24,2),BASE!$C$96:$D$342,1,0),IFERROR(VLOOKUP(LEFT(BF24,1),BASE!$C$96:$D$342,1,0),BF24))</f>
        <v>ம்</v>
      </c>
      <c r="BN24" s="58" t="str">
        <f>IFERROR(VLOOKUP(LEFT(BE24,2),BASE!$C$96:$D$342,1,0),IFERROR(VLOOKUP(LEFT(BE24,1),BASE!$C$96:$D$342,1,0),BE24))</f>
        <v/>
      </c>
      <c r="BO24" s="58" t="str">
        <f>IFERROR(VLOOKUP(LEFT(BD24,2),BASE!$C$96:$D$342,1,0),IFERROR(VLOOKUP(LEFT(BD24,1),BASE!$C$96:$D$342,1,0),BD24))</f>
        <v/>
      </c>
      <c r="BP24" s="58" t="str">
        <f>IFERROR(VLOOKUP(LEFT(BC24,2),BASE!$C$96:$D$342,1,0),IFERROR(VLOOKUP(LEFT(BC24,1),BASE!$C$96:$D$342,1,0),BC24))</f>
        <v/>
      </c>
      <c r="BQ24" s="58" t="str">
        <f>IFERROR(VLOOKUP(LEFT(BB24,2),BASE!$C$96:$D$342,1,0),IFERROR(VLOOKUP(LEFT(BB24,1),BASE!$C$96:$D$342,1,0),BB24))</f>
        <v/>
      </c>
      <c r="BR24" s="58" t="str">
        <f>IFERROR(VLOOKUP(LEFT(BA24,2),BASE!$C$96:$D$342,1,0),IFERROR(VLOOKUP(LEFT(BA24,1),BASE!$C$96:$D$342,1,0),BA24))</f>
        <v/>
      </c>
      <c r="BS24" s="58" t="str">
        <f>IFERROR(VLOOKUP(LEFT(AZ24,2),BASE!$C$96:$D$342,1,0),IFERROR(VLOOKUP(LEFT(AZ24,1),BASE!$C$96:$D$342,1,0),AZ24))</f>
        <v/>
      </c>
      <c r="BT24" s="186" t="str">
        <f>(IFERROR(VLOOKUP(LEFT(BI24,2),BASE!$C$96:$F$342,4,0),IFERROR(VLOOKUP(LEFT(BI24,1),BASE!$C$96:$F$342,4,0),BI24)))</f>
        <v>நெ</v>
      </c>
      <c r="BU24" s="186" t="str">
        <f>(IFERROR(VLOOKUP(LEFT(BH24,2),BASE!$C$346:$F$592,4,0),IFERROR(VLOOKUP(LEFT(BH24,1),BASE!$C$346:$F$592,4,0),BH24)))</f>
        <v>நெ</v>
      </c>
      <c r="BV24" s="186" t="str">
        <f>(IFERROR(VLOOKUP(LEFT(BG24,2),BASE!$C$346:$F$592,4,0),IFERROR(VLOOKUP(LEFT(BG24,1),BASE!$C$346:$F$592,4,0),BG24)))</f>
        <v>கு</v>
      </c>
      <c r="BW24" s="186" t="str">
        <f>(IFERROR(VLOOKUP(LEFT(BF24,2),BASE!$C$346:$F$592,4,0),IFERROR(VLOOKUP(LEFT(BF24,1),BASE!$C$346:$F$592,4,0),BF24)))</f>
        <v>ஒ</v>
      </c>
      <c r="BX24" s="186" t="str">
        <f>(IFERROR(VLOOKUP(LEFT(BE24,2),BASE!$C$346:$F$592,4,0),IFERROR(VLOOKUP(LEFT(BE24,1),BASE!$C$346:$F$592,4,0),BE24)))</f>
        <v/>
      </c>
      <c r="BY24" s="186" t="str">
        <f>(IFERROR(VLOOKUP(LEFT(BD24,2),BASE!$C$346:$F$592,4,0),IFERROR(VLOOKUP(LEFT(BD24,1),BASE!$C$346:$F$592,4,0),BD24)))</f>
        <v/>
      </c>
      <c r="BZ24" s="186" t="str">
        <f>(IFERROR(VLOOKUP(LEFT(BC24,2),BASE!$C$346:$F$592,4,0),IFERROR(VLOOKUP(LEFT(BC24,1),BASE!$C$346:$F$592,4,0),BC24)))</f>
        <v/>
      </c>
      <c r="CA24" s="186" t="str">
        <f>(IFERROR(VLOOKUP(LEFT(BB24,2),BASE!$C$346:$F$592,4,0),IFERROR(VLOOKUP(LEFT(BB24,1),BASE!$C$346:$F$592,4,0),BB24)))</f>
        <v/>
      </c>
      <c r="CB24" s="186" t="str">
        <f>(IFERROR(VLOOKUP(LEFT(BA24,2),BASE!$C$346:$F$592,4,0),IFERROR(VLOOKUP(LEFT(BA24,1),BASE!$C$346:$F$592,4,0),BA24)))</f>
        <v/>
      </c>
      <c r="CC24" s="186" t="str">
        <f>(IFERROR(VLOOKUP(LEFT(AZ24,2),BASE!$C$346:$F$592,4,0),IFERROR(VLOOKUP(LEFT(AZ24,1),BASE!$C$346:$F$592,4,0),AZ24)))</f>
        <v/>
      </c>
      <c r="CD24" s="58" t="str">
        <f t="shared" si="5"/>
        <v>நெநெகுஒ</v>
      </c>
      <c r="CE24" s="58" t="str">
        <f>IFERROR(VLOOKUP((LEFT(U24,4)),BASE!$E$12:$F$23,2,0),IFERROR(VLOOKUP((LEFT(U24,3)),BASE!$E$12:$F$23,2,0),IFERROR(VLOOKUP((LEFT(U24,2)),BASE!$E$12:$F$23,2,0),IFERROR(VLOOKUP((LEFT(U24,1)),BASE!$E$12:$F$23,2,0),U24))))</f>
        <v>நேர்</v>
      </c>
      <c r="CF24" s="58" t="str">
        <f>IFERROR(VLOOKUP((LEFT(T24,4)),BASE!$E$12:$F$24,2,0),IFERROR(VLOOKUP((LEFT(T24,3)),BASE!$E$12:$F$24,2,0),IFERROR(VLOOKUP((LEFT(T24,2)),BASE!$E$12:$F$24,2,0),IFERROR(VLOOKUP((LEFT(T24,1)),BASE!$E$12:$F$24,2,0),T24))))</f>
        <v>நேர்</v>
      </c>
      <c r="CG24" s="58" t="str">
        <f>IFERROR(VLOOKUP((LEFT(S24,4)),BASE!$E$12:$F$23,2,0),IFERROR(VLOOKUP((LEFT(S24,3)),BASE!$E$12:$F$23,2,0),IFERROR(VLOOKUP((LEFT(S24,2)),BASE!$E$12:$F$23,2,0),IFERROR(VLOOKUP((LEFT(S24,1)),BASE!$E$12:$F$23,2,0),S24))))</f>
        <v>நேர்</v>
      </c>
      <c r="CH24" s="58" t="str">
        <f>IFERROR(VLOOKUP((LEFT(R24,4)),BASE!$E$12:$F$23,2,0),IFERROR(VLOOKUP((LEFT(R24,3)),BASE!$E$12:$F$23,2,0),IFERROR(VLOOKUP((LEFT(R24,2)),BASE!$E$12:$F$23,2,0),IFERROR(VLOOKUP((LEFT(R24,1)),BASE!$E$12:$F$23,2,0),R24))))</f>
        <v/>
      </c>
      <c r="CI24" s="58" t="str">
        <f>IFERROR(VLOOKUP((LEFT(Q24,4)),BASE!$E$12:$F$23,2,0),IFERROR(VLOOKUP((LEFT(Q24,3)),BASE!$E$12:$F$23,2,0),IFERROR(VLOOKUP((LEFT(Q24,2)),BASE!$E$12:$F$23,2,0),IFERROR(VLOOKUP((LEFT(Q24,1)),BASE!$E$12:$F$23,2,0),Q24))))</f>
        <v/>
      </c>
      <c r="CJ24" s="58" t="str">
        <f>IFERROR(VLOOKUP((LEFT(P24,4)),BASE!$E$12:$F$23,2,0),IFERROR(VLOOKUP((LEFT(P24,3)),BASE!$E$12:$F$23,2,0),IFERROR(VLOOKUP((LEFT(P24,2)),BASE!$E$12:$F$23,2,0),IFERROR(VLOOKUP((LEFT(P24,1)),BASE!$E$12:$F$23,2,0),P24))))</f>
        <v/>
      </c>
      <c r="CK24" s="58" t="str">
        <f>IFERROR(VLOOKUP((LEFT(O24,4)),BASE!$E$12:$F$23,2,0),IFERROR(VLOOKUP((LEFT(O24,3)),BASE!$E$12:$F$23,2,0),IFERROR(VLOOKUP((LEFT(O24,2)),BASE!$E$12:$F$23,2,0),IFERROR(VLOOKUP((LEFT(O24,1)),BASE!$E$12:$F$23,2,0),O24))))</f>
        <v/>
      </c>
      <c r="CL24" s="58" t="str">
        <f>IFERROR(VLOOKUP((LEFT(N24,4)),BASE!$E$12:$F$23,2,0),IFERROR(VLOOKUP((LEFT(N24,3)),BASE!$E$12:$F$23,2,0),IFERROR(VLOOKUP((LEFT(N24,2)),BASE!$E$12:$F$23,2,0),IFERROR(VLOOKUP((LEFT(N24,1)),BASE!$E$12:$F$23,2,0),N24))))</f>
        <v/>
      </c>
      <c r="CM24" s="58" t="str">
        <f>IFERROR(VLOOKUP((LEFT(M24,4)),BASE!$E$12:$F$23,2,0),IFERROR(VLOOKUP((LEFT(M24,3)),BASE!$E$12:$F$23,2,0),IFERROR(VLOOKUP((LEFT(M24,2)),BASE!$E$12:$F$23,2,0),IFERROR(VLOOKUP((LEFT(M24,1)),BASE!$E$12:$F$23,2,0),M24))))</f>
        <v/>
      </c>
      <c r="CN24" s="58" t="str">
        <f>IFERROR(VLOOKUP((LEFT(L24,4)),BASE!$E$12:$F$23,2,0),IFERROR(VLOOKUP((LEFT(L24,3)),BASE!$E$12:$F$23,2,0),IFERROR(VLOOKUP((LEFT(L24,2)),BASE!$E$12:$F$23,2,0),IFERROR(VLOOKUP((LEFT(L24,1)),BASE!$E$12:$F$23,2,0),L24))))</f>
        <v/>
      </c>
      <c r="CO24" s="58" t="str">
        <f t="shared" si="6"/>
        <v>நேர்நேர்நேர்</v>
      </c>
      <c r="CP24" s="58" t="str">
        <f>VLOOKUP(CO24,BASE!$E$25:$F$79,2,0)</f>
        <v>தேமாங்காய்</v>
      </c>
      <c r="CQ24" s="58" t="str">
        <f>VLOOKUP(CO24,BASE!$E$25:$G$79,3,0)&amp;CE25</f>
        <v>காய்நேர்</v>
      </c>
      <c r="CR24" s="58" t="str">
        <f>VLOOKUP(CQ24,BASE!$E$86:$G$93,2,0)</f>
        <v>காய் முன் நேர்</v>
      </c>
      <c r="CS24" s="58" t="str">
        <f>VLOOKUP(CQ24,BASE!$E$86:$G$93,3,0)</f>
        <v>வெண்சீர் வெண்டளை</v>
      </c>
      <c r="CT24" s="58" t="str">
        <f t="shared" si="7"/>
        <v>மூவசைக்கு மிகவில்லை</v>
      </c>
      <c r="CU24" s="58" t="str">
        <f t="shared" si="8"/>
        <v>சரி</v>
      </c>
      <c r="CV24" s="193"/>
    </row>
    <row r="25" spans="1:100" ht="19.5" customHeight="1" x14ac:dyDescent="0.35">
      <c r="A25" s="119"/>
      <c r="B25" s="12">
        <f>IFERROR(VLOOKUP((LEFT(L25,4)),BASE!$E$12:$F$23,1,0),IFERROR(VLOOKUP((LEFT(L25,3)),BASE!$E$12:$F$23,1,0),IFERROR(VLOOKUP((LEFT(L25,2)),BASE!$E$12:$F$23,1,0),IFERROR(VLOOKUP((LEFT(L25,1)),BASE!$E$12:$F$23,1,0),100))))</f>
        <v>100</v>
      </c>
      <c r="C25" s="12">
        <f>IFERROR(VLOOKUP((LEFT(M25,4)),BASE!$E$12:$F$23,1,0),IFERROR(VLOOKUP((LEFT(M25,3)),BASE!$E$12:$F$23,1,0),IFERROR(VLOOKUP((LEFT(M25,2)),BASE!$E$12:$F$23,1,0),IFERROR(VLOOKUP((LEFT(M25,1)),BASE!$E$12:$F$23,1,0),100))))</f>
        <v>100</v>
      </c>
      <c r="D25" s="12">
        <f>IFERROR(VLOOKUP((LEFT(N25,4)),BASE!$E$12:$F$23,1,0),IFERROR(VLOOKUP((LEFT(N25,3)),BASE!$E$12:$F$23,1,0),IFERROR(VLOOKUP((LEFT(N25,2)),BASE!$E$12:$F$23,1,0),IFERROR(VLOOKUP((LEFT(N25,1)),BASE!$E$12:$F$23,1,0),100))))</f>
        <v>100</v>
      </c>
      <c r="E25" s="12">
        <f>IFERROR(VLOOKUP((LEFT(O25,4)),BASE!$E$12:$F$23,1,0),IFERROR(VLOOKUP((LEFT(O25,3)),BASE!$E$12:$F$23,1,0),IFERROR(VLOOKUP((LEFT(O25,2)),BASE!$E$12:$F$23,1,0),IFERROR(VLOOKUP((LEFT(O25,1)),BASE!$E$12:$F$23,1,0),100))))</f>
        <v>100</v>
      </c>
      <c r="F25" s="12">
        <f>IFERROR(VLOOKUP((LEFT(P25,4)),BASE!$E$12:$F$23,1,0),IFERROR(VLOOKUP((LEFT(P25,3)),BASE!$E$12:$F$23,1,0),IFERROR(VLOOKUP((LEFT(P25,2)),BASE!$E$12:$F$23,1,0),IFERROR(VLOOKUP((LEFT(P25,1)),BASE!$E$12:$F$23,1,0),100))))</f>
        <v>100</v>
      </c>
      <c r="G25" s="12">
        <f>IFERROR(VLOOKUP((LEFT(Q25,4)),BASE!$E$12:$F$23,1,0),IFERROR(VLOOKUP((LEFT(Q25,3)),BASE!$E$12:$F$23,1,0),IFERROR(VLOOKUP((LEFT(Q25,2)),BASE!$E$12:$F$23,1,0),IFERROR(VLOOKUP((LEFT(Q25,1)),BASE!$E$12:$F$23,1,0),100))))</f>
        <v>100</v>
      </c>
      <c r="H25" s="12">
        <f>IFERROR(VLOOKUP((LEFT(R25,4)),BASE!$E$12:$F$23,1,0),IFERROR(VLOOKUP((LEFT(R25,3)),BASE!$E$12:$F$23,1,0),IFERROR(VLOOKUP((LEFT(R25,2)),BASE!$E$12:$F$23,1,0),IFERROR(VLOOKUP((LEFT(R25,1)),BASE!$E$12:$F$23,1,0),100))))</f>
        <v>100</v>
      </c>
      <c r="I25" s="12">
        <f>IFERROR(VLOOKUP((LEFT(S25,4)),BASE!$E$12:$F$23,1,0),IFERROR(VLOOKUP((LEFT(S25,3)),BASE!$E$12:$F$23,1,0),IFERROR(VLOOKUP((LEFT(S25,2)),BASE!$E$12:$F$23,1,0),IFERROR(VLOOKUP((LEFT(S25,1)),BASE!$E$12:$F$23,1,0),100))))</f>
        <v>100</v>
      </c>
      <c r="J25" s="12" t="str">
        <f>IFERROR(VLOOKUP((LEFT(T25,4)),BASE!$E$12:$F$24,1,0),IFERROR(VLOOKUP((LEFT(T25,3)),BASE!$E$12:$F$24,1,0),IFERROR(VLOOKUP((LEFT(T25,2)),BASE!$E$12:$F$24,1,0),IFERROR(VLOOKUP((LEFT(T25,1)),BASE!$E$12:$F$24,1,0),100))))</f>
        <v>k</v>
      </c>
      <c r="K25" s="12" t="str">
        <f>IFERROR(VLOOKUP((LEFT(U25,4)),BASE!$E$12:$F$23,1,0),IFERROR(VLOOKUP((LEFT(U25,3)),BASE!$E$12:$F$23,1,0),IFERROR(VLOOKUP((LEFT(U25,2)),BASE!$E$12:$F$23,1,0),IFERROR(VLOOKUP((LEFT(U25,1)),BASE!$E$12:$F$23,1,0),100))))</f>
        <v>ko</v>
      </c>
      <c r="L25" s="14" t="str">
        <f t="shared" si="0"/>
        <v/>
      </c>
      <c r="M25" s="14" t="str">
        <f t="shared" si="0"/>
        <v/>
      </c>
      <c r="N25" s="14" t="str">
        <f t="shared" si="0"/>
        <v/>
      </c>
      <c r="O25" s="14" t="str">
        <f t="shared" si="0"/>
        <v/>
      </c>
      <c r="P25" s="14" t="str">
        <f t="shared" si="0"/>
        <v/>
      </c>
      <c r="Q25" s="14" t="str">
        <f t="shared" si="0"/>
        <v/>
      </c>
      <c r="R25" s="14" t="str">
        <f t="shared" si="0"/>
        <v/>
      </c>
      <c r="S25" s="14" t="str">
        <f t="shared" si="0"/>
        <v/>
      </c>
      <c r="T25" s="14" t="str">
        <f t="shared" si="0"/>
        <v>k</v>
      </c>
      <c r="U25" s="14" t="str">
        <f t="shared" si="1"/>
        <v>kok</v>
      </c>
      <c r="V25" s="13">
        <f>IFERROR(VLOOKUP(LEFT(AZ25,2),BASE!$C$96:$E$342,3,0),IFERROR(VLOOKUP(LEFT(AZ25,1),BASE!$C$96:$E$342,3,0),100))</f>
        <v>100</v>
      </c>
      <c r="W25" s="13">
        <f>IFERROR(VLOOKUP(LEFT(BA25,2),BASE!$C$96:$E$342,3,0),IFERROR(VLOOKUP(LEFT(BA25,1),BASE!$C$96:$E$342,3,0),100))</f>
        <v>100</v>
      </c>
      <c r="X25" s="13">
        <f>IFERROR(VLOOKUP(LEFT(BB25,2),BASE!$C$96:$E$342,3,0),IFERROR(VLOOKUP(LEFT(BB25,1),BASE!$C$96:$E$342,3,0),100))</f>
        <v>100</v>
      </c>
      <c r="Y25" s="13">
        <f>IFERROR(VLOOKUP(LEFT(BC25,2),BASE!$C$96:$E$342,3,0),IFERROR(VLOOKUP(LEFT(BC25,1),BASE!$C$96:$E$342,3,0),100))</f>
        <v>100</v>
      </c>
      <c r="Z25" s="13">
        <f>IFERROR(VLOOKUP(LEFT(BD25,2),BASE!$C$96:$E$342,3,0),IFERROR(VLOOKUP(LEFT(BD25,1),BASE!$C$96:$E$342,3,0),100))</f>
        <v>100</v>
      </c>
      <c r="AA25" s="13">
        <f>IFERROR(VLOOKUP(LEFT(BE25,2),BASE!$C$96:$E$342,3,0),IFERROR(VLOOKUP(LEFT(BE25,1),BASE!$C$96:$E$342,3,0),100))</f>
        <v>100</v>
      </c>
      <c r="AB25" s="13">
        <f>IFERROR(VLOOKUP(LEFT(BF25,2),BASE!$C$96:$E$342,3,0),IFERROR(VLOOKUP(LEFT(BF25,1),BASE!$C$96:$E$342,3,0),100))</f>
        <v>100</v>
      </c>
      <c r="AC25" s="13">
        <f>IFERROR(VLOOKUP(LEFT(BG25,2),BASE!$C$96:$E$342,3,0),IFERROR(VLOOKUP(LEFT(BG25,1),BASE!$C$96:$E$342,3,0),100))</f>
        <v>2</v>
      </c>
      <c r="AD25" s="13">
        <f>IFERROR(VLOOKUP(LEFT(BH25,2),BASE!$C$96:$E$342,3,0),IFERROR(VLOOKUP(LEFT(BH25,1),BASE!$C$96:$E$342,3,0),100))</f>
        <v>2</v>
      </c>
      <c r="AE25" s="13">
        <f>IFERROR(VLOOKUP(LEFT(BI25,2),BASE!$C$96:$E$342,3,0),IFERROR(VLOOKUP(LEFT(BI25,1),BASE!$C$96:$E$342,3,0),100))</f>
        <v>2</v>
      </c>
      <c r="AF25" s="187" t="str">
        <f>IF(AND(BS25=BR25,AG25="o"),"A", (IFERROR(VLOOKUP(LEFT(AZ25,2),BASE!$C$346:$D$592,2,0),IFERROR(VLOOKUP(LEFT(AZ25,1),BASE!$C$346:$D$5922,2,0),AZ25))))</f>
        <v/>
      </c>
      <c r="AG25" s="187" t="str">
        <f>IF(AND(BR25=BQ25,AH25="o"),"A", (IFERROR(VLOOKUP(LEFT(BA25,2),BASE!$C$346:$D$592,2,0),IFERROR(VLOOKUP(LEFT(BA25,1),BASE!$C$346:$D$592,2,0),BA25))))</f>
        <v/>
      </c>
      <c r="AH25" s="187" t="str">
        <f>IF(AND(BQ25=BP25,AI25="o"),"A", (IFERROR(VLOOKUP(LEFT(BB25,2),BASE!$C$346:$D$592,2,0),IFERROR(VLOOKUP(LEFT(BB25,1),BASE!$C$346:$D$592,2,0),BB25))))</f>
        <v/>
      </c>
      <c r="AI25" s="187" t="str">
        <f>IF(AND(BP25=BO25,AJ25="o"),"A", (IFERROR(VLOOKUP(LEFT(BC25,2),BASE!$C$346:$D$592,2,0),IFERROR(VLOOKUP(LEFT(BC25,1),BASE!$C$346:$D$592,2,0),BC25))))</f>
        <v/>
      </c>
      <c r="AJ25" s="187" t="str">
        <f>IF(AND(BO25=BN25,AK25="o"),"A", (IFERROR(VLOOKUP(LEFT(BD25,2),BASE!$C$346:$D$592,2,0),IFERROR(VLOOKUP(LEFT(BD25,1),BASE!$C$346:$D$592,2,0),BD25))))</f>
        <v/>
      </c>
      <c r="AK25" s="187" t="str">
        <f>IF(AND(BN25=BM25,AL25="o"),"A", (IFERROR(VLOOKUP(LEFT(BE25,2),BASE!$C$346:$D$592,2,0),IFERROR(VLOOKUP(LEFT(BE25,1),BASE!$C$346:$D$592,2,0),BE25))))</f>
        <v/>
      </c>
      <c r="AL25" s="187" t="str">
        <f>IF(AND(BM25=BL25,AM25="o"),"A", (IFERROR(VLOOKUP(LEFT(BF25,2),BASE!$C$346:$D$592,2,0),IFERROR(VLOOKUP(LEFT(BF25,1),BASE!$C$346:$D$592,2,0),BF25))))</f>
        <v/>
      </c>
      <c r="AM25" s="187" t="str">
        <f>IF(AND(BL25=BK25,AN25="o"),"A",(IFERROR(VLOOKUP(LEFT(BG25,2),BASE!$C$346:$D$592,2,0),IFERROR(VLOOKUP(LEFT(BG25,1),BASE!$C$346:$D$592,2,0),BG25))))</f>
        <v>k</v>
      </c>
      <c r="AN25" s="187" t="str">
        <f>(IFERROR(VLOOKUP(LEFT(BH25,2),BASE!$C$346:$D$592,2,0),IFERROR(VLOOKUP(LEFT(BH25,1),BASE!$C$346:$D$592,2,0),BH25)))</f>
        <v>o</v>
      </c>
      <c r="AO25" s="187" t="str">
        <f>(IFERROR(VLOOKUP(LEFT(BI25,2),BASE!$C$96:$D$342,2,0),IFERROR(VLOOKUP(LEFT(BI25,1),BASE!$C$96:$D$342,2,0),BI25)))</f>
        <v>k</v>
      </c>
      <c r="AP25" s="5">
        <f t="shared" si="2"/>
        <v>6</v>
      </c>
      <c r="AQ25" s="5">
        <f t="shared" si="2"/>
        <v>6</v>
      </c>
      <c r="AR25" s="5">
        <f t="shared" si="2"/>
        <v>6</v>
      </c>
      <c r="AS25" s="5">
        <f t="shared" si="2"/>
        <v>6</v>
      </c>
      <c r="AT25" s="5">
        <f t="shared" si="2"/>
        <v>6</v>
      </c>
      <c r="AU25" s="5">
        <f t="shared" si="2"/>
        <v>6</v>
      </c>
      <c r="AV25" s="5">
        <f t="shared" si="2"/>
        <v>6</v>
      </c>
      <c r="AW25" s="5">
        <f t="shared" si="2"/>
        <v>6</v>
      </c>
      <c r="AX25" s="5">
        <f t="shared" si="2"/>
        <v>6</v>
      </c>
      <c r="AY25" s="5">
        <f t="shared" si="3"/>
        <v>6</v>
      </c>
      <c r="AZ25" s="12" t="str">
        <f t="shared" si="4"/>
        <v/>
      </c>
      <c r="BA25" s="12" t="str">
        <f t="shared" si="4"/>
        <v/>
      </c>
      <c r="BB25" s="12" t="str">
        <f t="shared" si="4"/>
        <v/>
      </c>
      <c r="BC25" s="12" t="str">
        <f t="shared" si="4"/>
        <v/>
      </c>
      <c r="BD25" s="12" t="str">
        <f t="shared" si="4"/>
        <v/>
      </c>
      <c r="BE25" s="12" t="str">
        <f t="shared" si="4"/>
        <v/>
      </c>
      <c r="BF25" s="12" t="str">
        <f t="shared" si="4"/>
        <v/>
      </c>
      <c r="BG25" s="12" t="str">
        <f t="shared" si="4"/>
        <v>சை</v>
      </c>
      <c r="BH25" s="43" t="str">
        <f t="shared" si="4"/>
        <v>ச்சை</v>
      </c>
      <c r="BI25" s="57" t="str">
        <f>CD10</f>
        <v>கொச்சை</v>
      </c>
      <c r="BJ25" s="58" t="str">
        <f>IFERROR(VLOOKUP(LEFT(BI25,2),BASE!$C$96:$F$342,1,0),IFERROR(VLOOKUP(LEFT(BI25,1),BASE!$C$96:$F$342,1,0),BI25))</f>
        <v>கொ</v>
      </c>
      <c r="BK25" s="58" t="str">
        <f>IFERROR(VLOOKUP(LEFT(BH25,2),BASE!$C$96:$D$342,1,0),IFERROR(VLOOKUP(LEFT(BH25,1),BASE!$C$96:$D$342,1,0),BH25))</f>
        <v>ச்</v>
      </c>
      <c r="BL25" s="58" t="str">
        <f>IFERROR(VLOOKUP(LEFT(BG25,2),BASE!$C$96:$D$342,1,0),IFERROR(VLOOKUP(LEFT(BG25,1),BASE!$C$96:$D$342,1,0),BG25))</f>
        <v>சை</v>
      </c>
      <c r="BM25" s="58" t="str">
        <f>IFERROR(VLOOKUP(LEFT(BF25,2),BASE!$C$96:$D$342,1,0),IFERROR(VLOOKUP(LEFT(BF25,1),BASE!$C$96:$D$342,1,0),BF25))</f>
        <v/>
      </c>
      <c r="BN25" s="58" t="str">
        <f>IFERROR(VLOOKUP(LEFT(BE25,2),BASE!$C$96:$D$342,1,0),IFERROR(VLOOKUP(LEFT(BE25,1),BASE!$C$96:$D$342,1,0),BE25))</f>
        <v/>
      </c>
      <c r="BO25" s="58" t="str">
        <f>IFERROR(VLOOKUP(LEFT(BD25,2),BASE!$C$96:$D$342,1,0),IFERROR(VLOOKUP(LEFT(BD25,1),BASE!$C$96:$D$342,1,0),BD25))</f>
        <v/>
      </c>
      <c r="BP25" s="58" t="str">
        <f>IFERROR(VLOOKUP(LEFT(BC25,2),BASE!$C$96:$D$342,1,0),IFERROR(VLOOKUP(LEFT(BC25,1),BASE!$C$96:$D$342,1,0),BC25))</f>
        <v/>
      </c>
      <c r="BQ25" s="58" t="str">
        <f>IFERROR(VLOOKUP(LEFT(BB25,2),BASE!$C$96:$D$342,1,0),IFERROR(VLOOKUP(LEFT(BB25,1),BASE!$C$96:$D$342,1,0),BB25))</f>
        <v/>
      </c>
      <c r="BR25" s="58" t="str">
        <f>IFERROR(VLOOKUP(LEFT(BA25,2),BASE!$C$96:$D$342,1,0),IFERROR(VLOOKUP(LEFT(BA25,1),BASE!$C$96:$D$342,1,0),BA25))</f>
        <v/>
      </c>
      <c r="BS25" s="58" t="str">
        <f>IFERROR(VLOOKUP(LEFT(AZ25,2),BASE!$C$96:$D$342,1,0),IFERROR(VLOOKUP(LEFT(AZ25,1),BASE!$C$96:$D$342,1,0),AZ25))</f>
        <v/>
      </c>
      <c r="BT25" s="186" t="str">
        <f>(IFERROR(VLOOKUP(LEFT(BI25,2),BASE!$C$96:$F$342,4,0),IFERROR(VLOOKUP(LEFT(BI25,1),BASE!$C$96:$F$342,4,0),BI25)))</f>
        <v>கு</v>
      </c>
      <c r="BU25" s="186" t="str">
        <f>(IFERROR(VLOOKUP(LEFT(BH25,2),BASE!$C$346:$F$592,4,0),IFERROR(VLOOKUP(LEFT(BH25,1),BASE!$C$346:$F$592,4,0),BH25)))</f>
        <v>ஒ</v>
      </c>
      <c r="BV25" s="186" t="str">
        <f>(IFERROR(VLOOKUP(LEFT(BG25,2),BASE!$C$346:$F$592,4,0),IFERROR(VLOOKUP(LEFT(BG25,1),BASE!$C$346:$F$592,4,0),BG25)))</f>
        <v>கு</v>
      </c>
      <c r="BW25" s="186" t="str">
        <f>(IFERROR(VLOOKUP(LEFT(BF25,2),BASE!$C$346:$F$592,4,0),IFERROR(VLOOKUP(LEFT(BF25,1),BASE!$C$346:$F$592,4,0),BF25)))</f>
        <v/>
      </c>
      <c r="BX25" s="186" t="str">
        <f>(IFERROR(VLOOKUP(LEFT(BE25,2),BASE!$C$346:$F$592,4,0),IFERROR(VLOOKUP(LEFT(BE25,1),BASE!$C$346:$F$592,4,0),BE25)))</f>
        <v/>
      </c>
      <c r="BY25" s="186" t="str">
        <f>(IFERROR(VLOOKUP(LEFT(BD25,2),BASE!$C$346:$F$592,4,0),IFERROR(VLOOKUP(LEFT(BD25,1),BASE!$C$346:$F$592,4,0),BD25)))</f>
        <v/>
      </c>
      <c r="BZ25" s="186" t="str">
        <f>(IFERROR(VLOOKUP(LEFT(BC25,2),BASE!$C$346:$F$592,4,0),IFERROR(VLOOKUP(LEFT(BC25,1),BASE!$C$346:$F$592,4,0),BC25)))</f>
        <v/>
      </c>
      <c r="CA25" s="186" t="str">
        <f>(IFERROR(VLOOKUP(LEFT(BB25,2),BASE!$C$346:$F$592,4,0),IFERROR(VLOOKUP(LEFT(BB25,1),BASE!$C$346:$F$592,4,0),BB25)))</f>
        <v/>
      </c>
      <c r="CB25" s="186" t="str">
        <f>(IFERROR(VLOOKUP(LEFT(BA25,2),BASE!$C$346:$F$592,4,0),IFERROR(VLOOKUP(LEFT(BA25,1),BASE!$C$346:$F$592,4,0),BA25)))</f>
        <v/>
      </c>
      <c r="CC25" s="186" t="str">
        <f>(IFERROR(VLOOKUP(LEFT(AZ25,2),BASE!$C$346:$F$592,4,0),IFERROR(VLOOKUP(LEFT(AZ25,1),BASE!$C$346:$F$592,4,0),AZ25)))</f>
        <v/>
      </c>
      <c r="CD25" s="58" t="str">
        <f t="shared" si="5"/>
        <v>குஒகு</v>
      </c>
      <c r="CE25" s="58" t="str">
        <f>IFERROR(VLOOKUP((LEFT(U25,4)),BASE!$E$12:$F$23,2,0),IFERROR(VLOOKUP((LEFT(U25,3)),BASE!$E$12:$F$23,2,0),IFERROR(VLOOKUP((LEFT(U25,2)),BASE!$E$12:$F$23,2,0),IFERROR(VLOOKUP((LEFT(U25,1)),BASE!$E$12:$F$23,2,0),U25))))</f>
        <v>நேர்</v>
      </c>
      <c r="CF25" s="58" t="str">
        <f>IFERROR(VLOOKUP((LEFT(T25,4)),BASE!$E$12:$F$24,2,0),IFERROR(VLOOKUP((LEFT(T25,3)),BASE!$E$12:$F$24,2,0),IFERROR(VLOOKUP((LEFT(T25,2)),BASE!$E$12:$F$24,2,0),IFERROR(VLOOKUP((LEFT(T25,1)),BASE!$E$12:$F$24,2,0),T25))))</f>
        <v>நேர்</v>
      </c>
      <c r="CG25" s="58" t="str">
        <f>IFERROR(VLOOKUP((LEFT(S25,4)),BASE!$E$12:$F$23,2,0),IFERROR(VLOOKUP((LEFT(S25,3)),BASE!$E$12:$F$23,2,0),IFERROR(VLOOKUP((LEFT(S25,2)),BASE!$E$12:$F$23,2,0),IFERROR(VLOOKUP((LEFT(S25,1)),BASE!$E$12:$F$23,2,0),S25))))</f>
        <v/>
      </c>
      <c r="CH25" s="58" t="str">
        <f>IFERROR(VLOOKUP((LEFT(R25,4)),BASE!$E$12:$F$23,2,0),IFERROR(VLOOKUP((LEFT(R25,3)),BASE!$E$12:$F$23,2,0),IFERROR(VLOOKUP((LEFT(R25,2)),BASE!$E$12:$F$23,2,0),IFERROR(VLOOKUP((LEFT(R25,1)),BASE!$E$12:$F$23,2,0),R25))))</f>
        <v/>
      </c>
      <c r="CI25" s="58" t="str">
        <f>IFERROR(VLOOKUP((LEFT(Q25,4)),BASE!$E$12:$F$23,2,0),IFERROR(VLOOKUP((LEFT(Q25,3)),BASE!$E$12:$F$23,2,0),IFERROR(VLOOKUP((LEFT(Q25,2)),BASE!$E$12:$F$23,2,0),IFERROR(VLOOKUP((LEFT(Q25,1)),BASE!$E$12:$F$23,2,0),Q25))))</f>
        <v/>
      </c>
      <c r="CJ25" s="58" t="str">
        <f>IFERROR(VLOOKUP((LEFT(P25,4)),BASE!$E$12:$F$23,2,0),IFERROR(VLOOKUP((LEFT(P25,3)),BASE!$E$12:$F$23,2,0),IFERROR(VLOOKUP((LEFT(P25,2)),BASE!$E$12:$F$23,2,0),IFERROR(VLOOKUP((LEFT(P25,1)),BASE!$E$12:$F$23,2,0),P25))))</f>
        <v/>
      </c>
      <c r="CK25" s="58" t="str">
        <f>IFERROR(VLOOKUP((LEFT(O25,4)),BASE!$E$12:$F$23,2,0),IFERROR(VLOOKUP((LEFT(O25,3)),BASE!$E$12:$F$23,2,0),IFERROR(VLOOKUP((LEFT(O25,2)),BASE!$E$12:$F$23,2,0),IFERROR(VLOOKUP((LEFT(O25,1)),BASE!$E$12:$F$23,2,0),O25))))</f>
        <v/>
      </c>
      <c r="CL25" s="58" t="str">
        <f>IFERROR(VLOOKUP((LEFT(N25,4)),BASE!$E$12:$F$23,2,0),IFERROR(VLOOKUP((LEFT(N25,3)),BASE!$E$12:$F$23,2,0),IFERROR(VLOOKUP((LEFT(N25,2)),BASE!$E$12:$F$23,2,0),IFERROR(VLOOKUP((LEFT(N25,1)),BASE!$E$12:$F$23,2,0),N25))))</f>
        <v/>
      </c>
      <c r="CM25" s="58" t="str">
        <f>IFERROR(VLOOKUP((LEFT(M25,4)),BASE!$E$12:$F$23,2,0),IFERROR(VLOOKUP((LEFT(M25,3)),BASE!$E$12:$F$23,2,0),IFERROR(VLOOKUP((LEFT(M25,2)),BASE!$E$12:$F$23,2,0),IFERROR(VLOOKUP((LEFT(M25,1)),BASE!$E$12:$F$23,2,0),M25))))</f>
        <v/>
      </c>
      <c r="CN25" s="58" t="str">
        <f>IFERROR(VLOOKUP((LEFT(L25,4)),BASE!$E$12:$F$23,2,0),IFERROR(VLOOKUP((LEFT(L25,3)),BASE!$E$12:$F$23,2,0),IFERROR(VLOOKUP((LEFT(L25,2)),BASE!$E$12:$F$23,2,0),IFERROR(VLOOKUP((LEFT(L25,1)),BASE!$E$12:$F$23,2,0),L25))))</f>
        <v/>
      </c>
      <c r="CO25" s="58" t="str">
        <f t="shared" si="6"/>
        <v>நேர்நேர்</v>
      </c>
      <c r="CP25" s="58" t="str">
        <f>VLOOKUP(CO25,BASE!$E$25:$F$79,2,0)</f>
        <v>தேமா</v>
      </c>
      <c r="CQ25" s="58" t="str">
        <f>VLOOKUP(CO25,BASE!$E$25:$G$79,3,0)&amp;CE26</f>
        <v>மாநிரை</v>
      </c>
      <c r="CR25" s="58" t="str">
        <f>VLOOKUP(CQ25,BASE!$E$86:$G$93,2,0)</f>
        <v>மாமுன் நிரை</v>
      </c>
      <c r="CS25" s="58" t="str">
        <f>VLOOKUP(CQ25,BASE!$E$86:$G$93,3,0)</f>
        <v>இயற்சீர் வெண்டளை</v>
      </c>
      <c r="CT25" s="58" t="str">
        <f t="shared" si="7"/>
        <v>மூவசைக்கு மிகவில்லை</v>
      </c>
      <c r="CU25" s="58" t="str">
        <f t="shared" si="8"/>
        <v>சரி</v>
      </c>
      <c r="CV25" s="193"/>
    </row>
    <row r="26" spans="1:100" ht="19.5" customHeight="1" x14ac:dyDescent="0.35">
      <c r="A26" s="119"/>
      <c r="B26" s="12">
        <f>IFERROR(VLOOKUP((LEFT(L26,4)),BASE!$E$12:$F$23,1,0),IFERROR(VLOOKUP((LEFT(L26,3)),BASE!$E$12:$F$23,1,0),IFERROR(VLOOKUP((LEFT(L26,2)),BASE!$E$12:$F$23,1,0),IFERROR(VLOOKUP((LEFT(L26,1)),BASE!$E$12:$F$23,1,0),100))))</f>
        <v>100</v>
      </c>
      <c r="C26" s="12">
        <f>IFERROR(VLOOKUP((LEFT(M26,4)),BASE!$E$12:$F$23,1,0),IFERROR(VLOOKUP((LEFT(M26,3)),BASE!$E$12:$F$23,1,0),IFERROR(VLOOKUP((LEFT(M26,2)),BASE!$E$12:$F$23,1,0),IFERROR(VLOOKUP((LEFT(M26,1)),BASE!$E$12:$F$23,1,0),100))))</f>
        <v>100</v>
      </c>
      <c r="D26" s="12">
        <f>IFERROR(VLOOKUP((LEFT(N26,4)),BASE!$E$12:$F$23,1,0),IFERROR(VLOOKUP((LEFT(N26,3)),BASE!$E$12:$F$23,1,0),IFERROR(VLOOKUP((LEFT(N26,2)),BASE!$E$12:$F$23,1,0),IFERROR(VLOOKUP((LEFT(N26,1)),BASE!$E$12:$F$23,1,0),100))))</f>
        <v>100</v>
      </c>
      <c r="E26" s="12">
        <f>IFERROR(VLOOKUP((LEFT(O26,4)),BASE!$E$12:$F$23,1,0),IFERROR(VLOOKUP((LEFT(O26,3)),BASE!$E$12:$F$23,1,0),IFERROR(VLOOKUP((LEFT(O26,2)),BASE!$E$12:$F$23,1,0),IFERROR(VLOOKUP((LEFT(O26,1)),BASE!$E$12:$F$23,1,0),100))))</f>
        <v>100</v>
      </c>
      <c r="F26" s="12">
        <f>IFERROR(VLOOKUP((LEFT(P26,4)),BASE!$E$12:$F$23,1,0),IFERROR(VLOOKUP((LEFT(P26,3)),BASE!$E$12:$F$23,1,0),IFERROR(VLOOKUP((LEFT(P26,2)),BASE!$E$12:$F$23,1,0),IFERROR(VLOOKUP((LEFT(P26,1)),BASE!$E$12:$F$23,1,0),100))))</f>
        <v>100</v>
      </c>
      <c r="G26" s="12">
        <f>IFERROR(VLOOKUP((LEFT(Q26,4)),BASE!$E$12:$F$23,1,0),IFERROR(VLOOKUP((LEFT(Q26,3)),BASE!$E$12:$F$23,1,0),IFERROR(VLOOKUP((LEFT(Q26,2)),BASE!$E$12:$F$23,1,0),IFERROR(VLOOKUP((LEFT(Q26,1)),BASE!$E$12:$F$23,1,0),100))))</f>
        <v>100</v>
      </c>
      <c r="H26" s="12">
        <f>IFERROR(VLOOKUP((LEFT(R26,4)),BASE!$E$12:$F$23,1,0),IFERROR(VLOOKUP((LEFT(R26,3)),BASE!$E$12:$F$23,1,0),IFERROR(VLOOKUP((LEFT(R26,2)),BASE!$E$12:$F$23,1,0),IFERROR(VLOOKUP((LEFT(R26,1)),BASE!$E$12:$F$23,1,0),100))))</f>
        <v>100</v>
      </c>
      <c r="I26" s="12">
        <f>IFERROR(VLOOKUP((LEFT(S26,4)),BASE!$E$12:$F$23,1,0),IFERROR(VLOOKUP((LEFT(S26,3)),BASE!$E$12:$F$23,1,0),IFERROR(VLOOKUP((LEFT(S26,2)),BASE!$E$12:$F$23,1,0),IFERROR(VLOOKUP((LEFT(S26,1)),BASE!$E$12:$F$23,1,0),100))))</f>
        <v>100</v>
      </c>
      <c r="J26" s="12" t="str">
        <f>IFERROR(VLOOKUP((LEFT(T26,4)),BASE!$E$12:$F$24,1,0),IFERROR(VLOOKUP((LEFT(T26,3)),BASE!$E$12:$F$24,1,0),IFERROR(VLOOKUP((LEFT(T26,2)),BASE!$E$12:$F$24,1,0),IFERROR(VLOOKUP((LEFT(T26,1)),BASE!$E$12:$F$24,1,0),100))))</f>
        <v>ko</v>
      </c>
      <c r="K26" s="12" t="str">
        <f>IFERROR(VLOOKUP((LEFT(U26,4)),BASE!$E$12:$F$23,1,0),IFERROR(VLOOKUP((LEFT(U26,3)),BASE!$E$12:$F$23,1,0),IFERROR(VLOOKUP((LEFT(U26,2)),BASE!$E$12:$F$23,1,0),IFERROR(VLOOKUP((LEFT(U26,1)),BASE!$E$12:$F$23,1,0),100))))</f>
        <v>kko</v>
      </c>
      <c r="L26" s="14" t="str">
        <f t="shared" si="0"/>
        <v/>
      </c>
      <c r="M26" s="14" t="str">
        <f t="shared" si="0"/>
        <v/>
      </c>
      <c r="N26" s="14" t="str">
        <f t="shared" si="0"/>
        <v/>
      </c>
      <c r="O26" s="14" t="str">
        <f t="shared" si="0"/>
        <v/>
      </c>
      <c r="P26" s="14" t="str">
        <f t="shared" si="0"/>
        <v/>
      </c>
      <c r="Q26" s="14" t="str">
        <f t="shared" si="0"/>
        <v/>
      </c>
      <c r="R26" s="14" t="str">
        <f t="shared" si="0"/>
        <v/>
      </c>
      <c r="S26" s="14" t="str">
        <f t="shared" si="0"/>
        <v/>
      </c>
      <c r="T26" s="14" t="str">
        <f t="shared" si="0"/>
        <v>ko</v>
      </c>
      <c r="U26" s="14" t="str">
        <f t="shared" si="1"/>
        <v>kkoko</v>
      </c>
      <c r="V26" s="13">
        <f>IFERROR(VLOOKUP(LEFT(AZ26,2),BASE!$C$96:$E$342,3,0),IFERROR(VLOOKUP(LEFT(AZ26,1),BASE!$C$96:$E$342,3,0),100))</f>
        <v>100</v>
      </c>
      <c r="W26" s="13">
        <f>IFERROR(VLOOKUP(LEFT(BA26,2),BASE!$C$96:$E$342,3,0),IFERROR(VLOOKUP(LEFT(BA26,1),BASE!$C$96:$E$342,3,0),100))</f>
        <v>100</v>
      </c>
      <c r="X26" s="13">
        <f>IFERROR(VLOOKUP(LEFT(BB26,2),BASE!$C$96:$E$342,3,0),IFERROR(VLOOKUP(LEFT(BB26,1),BASE!$C$96:$E$342,3,0),100))</f>
        <v>100</v>
      </c>
      <c r="Y26" s="13">
        <f>IFERROR(VLOOKUP(LEFT(BC26,2),BASE!$C$96:$E$342,3,0),IFERROR(VLOOKUP(LEFT(BC26,1),BASE!$C$96:$E$342,3,0),100))</f>
        <v>100</v>
      </c>
      <c r="Z26" s="13">
        <f>IFERROR(VLOOKUP(LEFT(BD26,2),BASE!$C$96:$E$342,3,0),IFERROR(VLOOKUP(LEFT(BD26,1),BASE!$C$96:$E$342,3,0),100))</f>
        <v>100</v>
      </c>
      <c r="AA26" s="13">
        <f>IFERROR(VLOOKUP(LEFT(BE26,2),BASE!$C$96:$E$342,3,0),IFERROR(VLOOKUP(LEFT(BE26,1),BASE!$C$96:$E$342,3,0),100))</f>
        <v>2</v>
      </c>
      <c r="AB26" s="13">
        <f>IFERROR(VLOOKUP(LEFT(BF26,2),BASE!$C$96:$E$342,3,0),IFERROR(VLOOKUP(LEFT(BF26,1),BASE!$C$96:$E$342,3,0),100))</f>
        <v>1</v>
      </c>
      <c r="AC26" s="13">
        <f>IFERROR(VLOOKUP(LEFT(BG26,2),BASE!$C$96:$E$342,3,0),IFERROR(VLOOKUP(LEFT(BG26,1),BASE!$C$96:$E$342,3,0),100))</f>
        <v>2</v>
      </c>
      <c r="AD26" s="13">
        <f>IFERROR(VLOOKUP(LEFT(BH26,2),BASE!$C$96:$E$342,3,0),IFERROR(VLOOKUP(LEFT(BH26,1),BASE!$C$96:$E$342,3,0),100))</f>
        <v>1</v>
      </c>
      <c r="AE26" s="13">
        <f>IFERROR(VLOOKUP(LEFT(BI26,2),BASE!$C$96:$E$342,3,0),IFERROR(VLOOKUP(LEFT(BI26,1),BASE!$C$96:$E$342,3,0),100))</f>
        <v>1</v>
      </c>
      <c r="AF26" s="187" t="str">
        <f>IF(AND(BS26=BR26,AG26="o"),"A", (IFERROR(VLOOKUP(LEFT(AZ26,2),BASE!$C$346:$D$592,2,0),IFERROR(VLOOKUP(LEFT(AZ26,1),BASE!$C$346:$D$5922,2,0),AZ26))))</f>
        <v/>
      </c>
      <c r="AG26" s="187" t="str">
        <f>IF(AND(BR26=BQ26,AH26="o"),"A", (IFERROR(VLOOKUP(LEFT(BA26,2),BASE!$C$346:$D$592,2,0),IFERROR(VLOOKUP(LEFT(BA26,1),BASE!$C$346:$D$592,2,0),BA26))))</f>
        <v/>
      </c>
      <c r="AH26" s="187" t="str">
        <f>IF(AND(BQ26=BP26,AI26="o"),"A", (IFERROR(VLOOKUP(LEFT(BB26,2),BASE!$C$346:$D$592,2,0),IFERROR(VLOOKUP(LEFT(BB26,1),BASE!$C$346:$D$592,2,0),BB26))))</f>
        <v/>
      </c>
      <c r="AI26" s="187" t="str">
        <f>IF(AND(BP26=BO26,AJ26="o"),"A", (IFERROR(VLOOKUP(LEFT(BC26,2),BASE!$C$346:$D$592,2,0),IFERROR(VLOOKUP(LEFT(BC26,1),BASE!$C$346:$D$592,2,0),BC26))))</f>
        <v/>
      </c>
      <c r="AJ26" s="187" t="str">
        <f>IF(AND(BO26=BN26,AK26="o"),"A", (IFERROR(VLOOKUP(LEFT(BD26,2),BASE!$C$346:$D$592,2,0),IFERROR(VLOOKUP(LEFT(BD26,1),BASE!$C$346:$D$592,2,0),BD26))))</f>
        <v/>
      </c>
      <c r="AK26" s="187" t="str">
        <f>IF(AND(BN26=BM26,AL26="o"),"A", (IFERROR(VLOOKUP(LEFT(BE26,2),BASE!$C$346:$D$592,2,0),IFERROR(VLOOKUP(LEFT(BE26,1),BASE!$C$346:$D$592,2,0),BE26))))</f>
        <v>o</v>
      </c>
      <c r="AL26" s="187" t="str">
        <f>IF(AND(BM26=BL26,AM26="o"),"A", (IFERROR(VLOOKUP(LEFT(BF26,2),BASE!$C$346:$D$592,2,0),IFERROR(VLOOKUP(LEFT(BF26,1),BASE!$C$346:$D$592,2,0),BF26))))</f>
        <v>k</v>
      </c>
      <c r="AM26" s="187" t="str">
        <f>IF(AND(BL26=BK26,AN26="o"),"A",(IFERROR(VLOOKUP(LEFT(BG26,2),BASE!$C$346:$D$592,2,0),IFERROR(VLOOKUP(LEFT(BG26,1),BASE!$C$346:$D$592,2,0),BG26))))</f>
        <v>o</v>
      </c>
      <c r="AN26" s="187" t="str">
        <f>(IFERROR(VLOOKUP(LEFT(BH26,2),BASE!$C$346:$D$592,2,0),IFERROR(VLOOKUP(LEFT(BH26,1),BASE!$C$346:$D$592,2,0),BH26)))</f>
        <v>k</v>
      </c>
      <c r="AO26" s="187" t="str">
        <f>(IFERROR(VLOOKUP(LEFT(BI26,2),BASE!$C$96:$D$342,2,0),IFERROR(VLOOKUP(LEFT(BI26,1),BASE!$C$96:$D$342,2,0),BI26)))</f>
        <v>k</v>
      </c>
      <c r="AP26" s="5">
        <f t="shared" si="2"/>
        <v>7</v>
      </c>
      <c r="AQ26" s="5">
        <f t="shared" si="2"/>
        <v>7</v>
      </c>
      <c r="AR26" s="5">
        <f t="shared" si="2"/>
        <v>7</v>
      </c>
      <c r="AS26" s="5">
        <f t="shared" si="2"/>
        <v>7</v>
      </c>
      <c r="AT26" s="5">
        <f t="shared" si="2"/>
        <v>7</v>
      </c>
      <c r="AU26" s="5">
        <f t="shared" si="2"/>
        <v>7</v>
      </c>
      <c r="AV26" s="5">
        <f t="shared" si="2"/>
        <v>7</v>
      </c>
      <c r="AW26" s="5">
        <f t="shared" si="2"/>
        <v>7</v>
      </c>
      <c r="AX26" s="5">
        <f t="shared" si="2"/>
        <v>7</v>
      </c>
      <c r="AY26" s="5">
        <f t="shared" si="3"/>
        <v>7</v>
      </c>
      <c r="AZ26" s="12" t="str">
        <f t="shared" si="4"/>
        <v/>
      </c>
      <c r="BA26" s="12" t="str">
        <f t="shared" si="4"/>
        <v/>
      </c>
      <c r="BB26" s="12" t="str">
        <f t="shared" si="4"/>
        <v/>
      </c>
      <c r="BC26" s="12" t="str">
        <f t="shared" si="4"/>
        <v/>
      </c>
      <c r="BD26" s="12" t="str">
        <f t="shared" si="4"/>
        <v/>
      </c>
      <c r="BE26" s="12" t="str">
        <f t="shared" si="4"/>
        <v>ன்</v>
      </c>
      <c r="BF26" s="12" t="str">
        <f t="shared" si="4"/>
        <v>தன்</v>
      </c>
      <c r="BG26" s="12" t="str">
        <f t="shared" si="4"/>
        <v>ன்தன்</v>
      </c>
      <c r="BH26" s="43" t="str">
        <f t="shared" si="4"/>
        <v>யன்தன்</v>
      </c>
      <c r="BI26" s="57" t="str">
        <f>CE10</f>
        <v>வயன்தன்</v>
      </c>
      <c r="BJ26" s="58" t="str">
        <f>IFERROR(VLOOKUP(LEFT(BI26,2),BASE!$C$96:$F$342,1,0),IFERROR(VLOOKUP(LEFT(BI26,1),BASE!$C$96:$F$342,1,0),BI26))</f>
        <v>வ</v>
      </c>
      <c r="BK26" s="58" t="str">
        <f>IFERROR(VLOOKUP(LEFT(BH26,2),BASE!$C$96:$D$342,1,0),IFERROR(VLOOKUP(LEFT(BH26,1),BASE!$C$96:$D$342,1,0),BH26))</f>
        <v>ய</v>
      </c>
      <c r="BL26" s="58" t="str">
        <f>IFERROR(VLOOKUP(LEFT(BG26,2),BASE!$C$96:$D$342,1,0),IFERROR(VLOOKUP(LEFT(BG26,1),BASE!$C$96:$D$342,1,0),BG26))</f>
        <v>ன்</v>
      </c>
      <c r="BM26" s="58" t="str">
        <f>IFERROR(VLOOKUP(LEFT(BF26,2),BASE!$C$96:$D$342,1,0),IFERROR(VLOOKUP(LEFT(BF26,1),BASE!$C$96:$D$342,1,0),BF26))</f>
        <v>த</v>
      </c>
      <c r="BN26" s="58" t="str">
        <f>IFERROR(VLOOKUP(LEFT(BE26,2),BASE!$C$96:$D$342,1,0),IFERROR(VLOOKUP(LEFT(BE26,1),BASE!$C$96:$D$342,1,0),BE26))</f>
        <v>ன்</v>
      </c>
      <c r="BO26" s="58" t="str">
        <f>IFERROR(VLOOKUP(LEFT(BD26,2),BASE!$C$96:$D$342,1,0),IFERROR(VLOOKUP(LEFT(BD26,1),BASE!$C$96:$D$342,1,0),BD26))</f>
        <v/>
      </c>
      <c r="BP26" s="58" t="str">
        <f>IFERROR(VLOOKUP(LEFT(BC26,2),BASE!$C$96:$D$342,1,0),IFERROR(VLOOKUP(LEFT(BC26,1),BASE!$C$96:$D$342,1,0),BC26))</f>
        <v/>
      </c>
      <c r="BQ26" s="58" t="str">
        <f>IFERROR(VLOOKUP(LEFT(BB26,2),BASE!$C$96:$D$342,1,0),IFERROR(VLOOKUP(LEFT(BB26,1),BASE!$C$96:$D$342,1,0),BB26))</f>
        <v/>
      </c>
      <c r="BR26" s="58" t="str">
        <f>IFERROR(VLOOKUP(LEFT(BA26,2),BASE!$C$96:$D$342,1,0),IFERROR(VLOOKUP(LEFT(BA26,1),BASE!$C$96:$D$342,1,0),BA26))</f>
        <v/>
      </c>
      <c r="BS26" s="58" t="str">
        <f>IFERROR(VLOOKUP(LEFT(AZ26,2),BASE!$C$96:$D$342,1,0),IFERROR(VLOOKUP(LEFT(AZ26,1),BASE!$C$96:$D$342,1,0),AZ26))</f>
        <v/>
      </c>
      <c r="BT26" s="186" t="str">
        <f>(IFERROR(VLOOKUP(LEFT(BI26,2),BASE!$C$96:$F$342,4,0),IFERROR(VLOOKUP(LEFT(BI26,1),BASE!$C$96:$F$342,4,0),BI26)))</f>
        <v>கு</v>
      </c>
      <c r="BU26" s="186" t="str">
        <f>(IFERROR(VLOOKUP(LEFT(BH26,2),BASE!$C$346:$F$592,4,0),IFERROR(VLOOKUP(LEFT(BH26,1),BASE!$C$346:$F$592,4,0),BH26)))</f>
        <v>கு</v>
      </c>
      <c r="BV26" s="186" t="str">
        <f>(IFERROR(VLOOKUP(LEFT(BG26,2),BASE!$C$346:$F$592,4,0),IFERROR(VLOOKUP(LEFT(BG26,1),BASE!$C$346:$F$592,4,0),BG26)))</f>
        <v>ஒ</v>
      </c>
      <c r="BW26" s="186" t="str">
        <f>(IFERROR(VLOOKUP(LEFT(BF26,2),BASE!$C$346:$F$592,4,0),IFERROR(VLOOKUP(LEFT(BF26,1),BASE!$C$346:$F$592,4,0),BF26)))</f>
        <v>கு</v>
      </c>
      <c r="BX26" s="186" t="str">
        <f>(IFERROR(VLOOKUP(LEFT(BE26,2),BASE!$C$346:$F$592,4,0),IFERROR(VLOOKUP(LEFT(BE26,1),BASE!$C$346:$F$592,4,0),BE26)))</f>
        <v>ஒ</v>
      </c>
      <c r="BY26" s="186" t="str">
        <f>(IFERROR(VLOOKUP(LEFT(BD26,2),BASE!$C$346:$F$592,4,0),IFERROR(VLOOKUP(LEFT(BD26,1),BASE!$C$346:$F$592,4,0),BD26)))</f>
        <v/>
      </c>
      <c r="BZ26" s="186" t="str">
        <f>(IFERROR(VLOOKUP(LEFT(BC26,2),BASE!$C$346:$F$592,4,0),IFERROR(VLOOKUP(LEFT(BC26,1),BASE!$C$346:$F$592,4,0),BC26)))</f>
        <v/>
      </c>
      <c r="CA26" s="186" t="str">
        <f>(IFERROR(VLOOKUP(LEFT(BB26,2),BASE!$C$346:$F$592,4,0),IFERROR(VLOOKUP(LEFT(BB26,1),BASE!$C$346:$F$592,4,0),BB26)))</f>
        <v/>
      </c>
      <c r="CB26" s="186" t="str">
        <f>(IFERROR(VLOOKUP(LEFT(BA26,2),BASE!$C$346:$F$592,4,0),IFERROR(VLOOKUP(LEFT(BA26,1),BASE!$C$346:$F$592,4,0),BA26)))</f>
        <v/>
      </c>
      <c r="CC26" s="186" t="str">
        <f>(IFERROR(VLOOKUP(LEFT(AZ26,2),BASE!$C$346:$F$592,4,0),IFERROR(VLOOKUP(LEFT(AZ26,1),BASE!$C$346:$F$592,4,0),AZ26)))</f>
        <v/>
      </c>
      <c r="CD26" s="58" t="str">
        <f t="shared" si="5"/>
        <v>குகுஒகுஒ</v>
      </c>
      <c r="CE26" s="58" t="str">
        <f>IFERROR(VLOOKUP((LEFT(U26,4)),BASE!$E$12:$F$23,2,0),IFERROR(VLOOKUP((LEFT(U26,3)),BASE!$E$12:$F$23,2,0),IFERROR(VLOOKUP((LEFT(U26,2)),BASE!$E$12:$F$23,2,0),IFERROR(VLOOKUP((LEFT(U26,1)),BASE!$E$12:$F$23,2,0),U26))))</f>
        <v>நிரை</v>
      </c>
      <c r="CF26" s="58" t="str">
        <f>IFERROR(VLOOKUP((LEFT(T26,4)),BASE!$E$12:$F$24,2,0),IFERROR(VLOOKUP((LEFT(T26,3)),BASE!$E$12:$F$24,2,0),IFERROR(VLOOKUP((LEFT(T26,2)),BASE!$E$12:$F$24,2,0),IFERROR(VLOOKUP((LEFT(T26,1)),BASE!$E$12:$F$24,2,0),T26))))</f>
        <v>நேர்</v>
      </c>
      <c r="CG26" s="58" t="str">
        <f>IFERROR(VLOOKUP((LEFT(S26,4)),BASE!$E$12:$F$23,2,0),IFERROR(VLOOKUP((LEFT(S26,3)),BASE!$E$12:$F$23,2,0),IFERROR(VLOOKUP((LEFT(S26,2)),BASE!$E$12:$F$23,2,0),IFERROR(VLOOKUP((LEFT(S26,1)),BASE!$E$12:$F$23,2,0),S26))))</f>
        <v/>
      </c>
      <c r="CH26" s="58" t="str">
        <f>IFERROR(VLOOKUP((LEFT(R26,4)),BASE!$E$12:$F$23,2,0),IFERROR(VLOOKUP((LEFT(R26,3)),BASE!$E$12:$F$23,2,0),IFERROR(VLOOKUP((LEFT(R26,2)),BASE!$E$12:$F$23,2,0),IFERROR(VLOOKUP((LEFT(R26,1)),BASE!$E$12:$F$23,2,0),R26))))</f>
        <v/>
      </c>
      <c r="CI26" s="58" t="str">
        <f>IFERROR(VLOOKUP((LEFT(Q26,4)),BASE!$E$12:$F$23,2,0),IFERROR(VLOOKUP((LEFT(Q26,3)),BASE!$E$12:$F$23,2,0),IFERROR(VLOOKUP((LEFT(Q26,2)),BASE!$E$12:$F$23,2,0),IFERROR(VLOOKUP((LEFT(Q26,1)),BASE!$E$12:$F$23,2,0),Q26))))</f>
        <v/>
      </c>
      <c r="CJ26" s="58" t="str">
        <f>IFERROR(VLOOKUP((LEFT(P26,4)),BASE!$E$12:$F$23,2,0),IFERROR(VLOOKUP((LEFT(P26,3)),BASE!$E$12:$F$23,2,0),IFERROR(VLOOKUP((LEFT(P26,2)),BASE!$E$12:$F$23,2,0),IFERROR(VLOOKUP((LEFT(P26,1)),BASE!$E$12:$F$23,2,0),P26))))</f>
        <v/>
      </c>
      <c r="CK26" s="58" t="str">
        <f>IFERROR(VLOOKUP((LEFT(O26,4)),BASE!$E$12:$F$23,2,0),IFERROR(VLOOKUP((LEFT(O26,3)),BASE!$E$12:$F$23,2,0),IFERROR(VLOOKUP((LEFT(O26,2)),BASE!$E$12:$F$23,2,0),IFERROR(VLOOKUP((LEFT(O26,1)),BASE!$E$12:$F$23,2,0),O26))))</f>
        <v/>
      </c>
      <c r="CL26" s="58" t="str">
        <f>IFERROR(VLOOKUP((LEFT(N26,4)),BASE!$E$12:$F$23,2,0),IFERROR(VLOOKUP((LEFT(N26,3)),BASE!$E$12:$F$23,2,0),IFERROR(VLOOKUP((LEFT(N26,2)),BASE!$E$12:$F$23,2,0),IFERROR(VLOOKUP((LEFT(N26,1)),BASE!$E$12:$F$23,2,0),N26))))</f>
        <v/>
      </c>
      <c r="CM26" s="58" t="str">
        <f>IFERROR(VLOOKUP((LEFT(M26,4)),BASE!$E$12:$F$23,2,0),IFERROR(VLOOKUP((LEFT(M26,3)),BASE!$E$12:$F$23,2,0),IFERROR(VLOOKUP((LEFT(M26,2)),BASE!$E$12:$F$23,2,0),IFERROR(VLOOKUP((LEFT(M26,1)),BASE!$E$12:$F$23,2,0),M26))))</f>
        <v/>
      </c>
      <c r="CN26" s="58" t="str">
        <f>IFERROR(VLOOKUP((LEFT(L26,4)),BASE!$E$12:$F$23,2,0),IFERROR(VLOOKUP((LEFT(L26,3)),BASE!$E$12:$F$23,2,0),IFERROR(VLOOKUP((LEFT(L26,2)),BASE!$E$12:$F$23,2,0),IFERROR(VLOOKUP((LEFT(L26,1)),BASE!$E$12:$F$23,2,0),L26))))</f>
        <v/>
      </c>
      <c r="CO26" s="58" t="str">
        <f t="shared" si="6"/>
        <v>நிரைநேர்</v>
      </c>
      <c r="CP26" s="58" t="str">
        <f>VLOOKUP(CO26,BASE!$E$25:$F$79,2,0)</f>
        <v>புளிமா</v>
      </c>
      <c r="CQ26" s="58" t="str">
        <f>VLOOKUP(CO26,BASE!$E$25:$G$79,3,0)&amp;CE27</f>
        <v>மாநிரை</v>
      </c>
      <c r="CR26" s="58" t="str">
        <f>VLOOKUP(CQ26,BASE!$E$86:$G$93,2,0)</f>
        <v>மாமுன் நிரை</v>
      </c>
      <c r="CS26" s="58" t="str">
        <f>VLOOKUP(CQ26,BASE!$E$86:$G$93,3,0)</f>
        <v>இயற்சீர் வெண்டளை</v>
      </c>
      <c r="CT26" s="58" t="str">
        <f t="shared" si="7"/>
        <v>மூவசைக்கு மிகவில்லை</v>
      </c>
      <c r="CU26" s="58" t="str">
        <f t="shared" si="8"/>
        <v>சரி</v>
      </c>
      <c r="CV26" s="193"/>
    </row>
    <row r="27" spans="1:100" ht="19.5" customHeight="1" x14ac:dyDescent="0.35">
      <c r="A27" s="119"/>
      <c r="B27" s="12">
        <f>IFERROR(VLOOKUP((LEFT(L27,4)),BASE!$E$12:$F$23,1,0),IFERROR(VLOOKUP((LEFT(L27,3)),BASE!$E$12:$F$23,1,0),IFERROR(VLOOKUP((LEFT(L27,2)),BASE!$E$12:$F$23,1,0),IFERROR(VLOOKUP((LEFT(L27,1)),BASE!$E$12:$F$23,1,0),100))))</f>
        <v>100</v>
      </c>
      <c r="C27" s="12">
        <f>IFERROR(VLOOKUP((LEFT(M27,4)),BASE!$E$12:$F$23,1,0),IFERROR(VLOOKUP((LEFT(M27,3)),BASE!$E$12:$F$23,1,0),IFERROR(VLOOKUP((LEFT(M27,2)),BASE!$E$12:$F$23,1,0),IFERROR(VLOOKUP((LEFT(M27,1)),BASE!$E$12:$F$23,1,0),100))))</f>
        <v>100</v>
      </c>
      <c r="D27" s="12">
        <f>IFERROR(VLOOKUP((LEFT(N27,4)),BASE!$E$12:$F$23,1,0),IFERROR(VLOOKUP((LEFT(N27,3)),BASE!$E$12:$F$23,1,0),IFERROR(VLOOKUP((LEFT(N27,2)),BASE!$E$12:$F$23,1,0),IFERROR(VLOOKUP((LEFT(N27,1)),BASE!$E$12:$F$23,1,0),100))))</f>
        <v>100</v>
      </c>
      <c r="E27" s="12">
        <f>IFERROR(VLOOKUP((LEFT(O27,4)),BASE!$E$12:$F$23,1,0),IFERROR(VLOOKUP((LEFT(O27,3)),BASE!$E$12:$F$23,1,0),IFERROR(VLOOKUP((LEFT(O27,2)),BASE!$E$12:$F$23,1,0),IFERROR(VLOOKUP((LEFT(O27,1)),BASE!$E$12:$F$23,1,0),100))))</f>
        <v>100</v>
      </c>
      <c r="F27" s="12">
        <f>IFERROR(VLOOKUP((LEFT(P27,4)),BASE!$E$12:$F$23,1,0),IFERROR(VLOOKUP((LEFT(P27,3)),BASE!$E$12:$F$23,1,0),IFERROR(VLOOKUP((LEFT(P27,2)),BASE!$E$12:$F$23,1,0),IFERROR(VLOOKUP((LEFT(P27,1)),BASE!$E$12:$F$23,1,0),100))))</f>
        <v>100</v>
      </c>
      <c r="G27" s="12">
        <f>IFERROR(VLOOKUP((LEFT(Q27,4)),BASE!$E$12:$F$23,1,0),IFERROR(VLOOKUP((LEFT(Q27,3)),BASE!$E$12:$F$23,1,0),IFERROR(VLOOKUP((LEFT(Q27,2)),BASE!$E$12:$F$23,1,0),IFERROR(VLOOKUP((LEFT(Q27,1)),BASE!$E$12:$F$23,1,0),100))))</f>
        <v>100</v>
      </c>
      <c r="H27" s="12">
        <f>IFERROR(VLOOKUP((LEFT(R27,4)),BASE!$E$12:$F$23,1,0),IFERROR(VLOOKUP((LEFT(R27,3)),BASE!$E$12:$F$23,1,0),IFERROR(VLOOKUP((LEFT(R27,2)),BASE!$E$12:$F$23,1,0),IFERROR(VLOOKUP((LEFT(R27,1)),BASE!$E$12:$F$23,1,0),100))))</f>
        <v>100</v>
      </c>
      <c r="I27" s="12" t="str">
        <f>IFERROR(VLOOKUP((LEFT(S27,4)),BASE!$E$12:$F$23,1,0),IFERROR(VLOOKUP((LEFT(S27,3)),BASE!$E$12:$F$23,1,0),IFERROR(VLOOKUP((LEFT(S27,2)),BASE!$E$12:$F$23,1,0),IFERROR(VLOOKUP((LEFT(S27,1)),BASE!$E$12:$F$23,1,0),100))))</f>
        <v>n</v>
      </c>
      <c r="J27" s="12" t="str">
        <f>IFERROR(VLOOKUP((LEFT(T27,4)),BASE!$E$12:$F$24,1,0),IFERROR(VLOOKUP((LEFT(T27,3)),BASE!$E$12:$F$24,1,0),IFERROR(VLOOKUP((LEFT(T27,2)),BASE!$E$12:$F$24,1,0),IFERROR(VLOOKUP((LEFT(T27,1)),BASE!$E$12:$F$24,1,0),100))))</f>
        <v>kko</v>
      </c>
      <c r="K27" s="12" t="str">
        <f>IFERROR(VLOOKUP((LEFT(U27,4)),BASE!$E$12:$F$23,1,0),IFERROR(VLOOKUP((LEFT(U27,3)),BASE!$E$12:$F$23,1,0),IFERROR(VLOOKUP((LEFT(U27,2)),BASE!$E$12:$F$23,1,0),IFERROR(VLOOKUP((LEFT(U27,1)),BASE!$E$12:$F$23,1,0),100))))</f>
        <v>kk</v>
      </c>
      <c r="L27" s="14" t="str">
        <f t="shared" ref="L27:T31" si="9">MID(M27,LEN(C27)+1,(LEN(M27)))</f>
        <v/>
      </c>
      <c r="M27" s="14" t="str">
        <f t="shared" ref="M27:M30" si="10">MID(N27,LEN(D27)+1,(LEN(N27)))</f>
        <v/>
      </c>
      <c r="N27" s="14" t="str">
        <f t="shared" ref="N27:N30" si="11">MID(O27,LEN(E27)+1,(LEN(O27)))</f>
        <v/>
      </c>
      <c r="O27" s="14" t="str">
        <f t="shared" ref="O27:O30" si="12">MID(P27,LEN(F27)+1,(LEN(P27)))</f>
        <v/>
      </c>
      <c r="P27" s="14" t="str">
        <f t="shared" ref="P27:P30" si="13">MID(Q27,LEN(G27)+1,(LEN(Q27)))</f>
        <v/>
      </c>
      <c r="Q27" s="14" t="str">
        <f t="shared" ref="Q27:Q30" si="14">MID(R27,LEN(H27)+1,(LEN(R27)))</f>
        <v/>
      </c>
      <c r="R27" s="14" t="str">
        <f t="shared" ref="R27:R30" si="15">MID(S27,LEN(I27)+1,(LEN(S27)))</f>
        <v/>
      </c>
      <c r="S27" s="14" t="str">
        <f t="shared" ref="S27:S30" si="16">MID(T27,LEN(J27)+1,(LEN(T27)))</f>
        <v>n</v>
      </c>
      <c r="T27" s="14" t="str">
        <f t="shared" ref="T27:T30" si="17">MID(U27,LEN(K27)+1,(LEN(U27)))</f>
        <v>kkon</v>
      </c>
      <c r="U27" s="14" t="str">
        <f t="shared" ref="U27:U31" si="18">AO27&amp;AN27&amp;AM27&amp;AL27&amp;AK27&amp;AJ27&amp;AI27&amp;AH27&amp;AG27&amp;AF27</f>
        <v>kkkkon</v>
      </c>
      <c r="V27" s="13">
        <f>IFERROR(VLOOKUP(LEFT(AZ27,2),BASE!$C$96:$E$342,3,0),IFERROR(VLOOKUP(LEFT(AZ27,1),BASE!$C$96:$E$342,3,0),100))</f>
        <v>100</v>
      </c>
      <c r="W27" s="13">
        <f>IFERROR(VLOOKUP(LEFT(BA27,2),BASE!$C$96:$E$342,3,0),IFERROR(VLOOKUP(LEFT(BA27,1),BASE!$C$96:$E$342,3,0),100))</f>
        <v>100</v>
      </c>
      <c r="X27" s="13">
        <f>IFERROR(VLOOKUP(LEFT(BB27,2),BASE!$C$96:$E$342,3,0),IFERROR(VLOOKUP(LEFT(BB27,1),BASE!$C$96:$E$342,3,0),100))</f>
        <v>100</v>
      </c>
      <c r="Y27" s="13">
        <f>IFERROR(VLOOKUP(LEFT(BC27,2),BASE!$C$96:$E$342,3,0),IFERROR(VLOOKUP(LEFT(BC27,1),BASE!$C$96:$E$342,3,0),100))</f>
        <v>100</v>
      </c>
      <c r="Z27" s="13">
        <f>IFERROR(VLOOKUP(LEFT(BD27,2),BASE!$C$96:$E$342,3,0),IFERROR(VLOOKUP(LEFT(BD27,1),BASE!$C$96:$E$342,3,0),100))</f>
        <v>2</v>
      </c>
      <c r="AA27" s="13">
        <f>IFERROR(VLOOKUP(LEFT(BE27,2),BASE!$C$96:$E$342,3,0),IFERROR(VLOOKUP(LEFT(BE27,1),BASE!$C$96:$E$342,3,0),100))</f>
        <v>2</v>
      </c>
      <c r="AB27" s="13">
        <f>IFERROR(VLOOKUP(LEFT(BF27,2),BASE!$C$96:$E$342,3,0),IFERROR(VLOOKUP(LEFT(BF27,1),BASE!$C$96:$E$342,3,0),100))</f>
        <v>1</v>
      </c>
      <c r="AC27" s="13">
        <f>IFERROR(VLOOKUP(LEFT(BG27,2),BASE!$C$96:$E$342,3,0),IFERROR(VLOOKUP(LEFT(BG27,1),BASE!$C$96:$E$342,3,0),100))</f>
        <v>1</v>
      </c>
      <c r="AD27" s="13">
        <f>IFERROR(VLOOKUP(LEFT(BH27,2),BASE!$C$96:$E$342,3,0),IFERROR(VLOOKUP(LEFT(BH27,1),BASE!$C$96:$E$342,3,0),100))</f>
        <v>2</v>
      </c>
      <c r="AE27" s="13">
        <f>IFERROR(VLOOKUP(LEFT(BI27,2),BASE!$C$96:$E$342,3,0),IFERROR(VLOOKUP(LEFT(BI27,1),BASE!$C$96:$E$342,3,0),100))</f>
        <v>2</v>
      </c>
      <c r="AF27" s="187" t="str">
        <f>IF(AND(BS27=BR27,AG27="o"),"A", (IFERROR(VLOOKUP(LEFT(AZ27,2),BASE!$C$346:$D$592,2,0),IFERROR(VLOOKUP(LEFT(AZ27,1),BASE!$C$346:$D$5922,2,0),AZ27))))</f>
        <v/>
      </c>
      <c r="AG27" s="187" t="str">
        <f>IF(AND(BR27=BQ27,AH27="o"),"A", (IFERROR(VLOOKUP(LEFT(BA27,2),BASE!$C$346:$D$592,2,0),IFERROR(VLOOKUP(LEFT(BA27,1),BASE!$C$346:$D$592,2,0),BA27))))</f>
        <v/>
      </c>
      <c r="AH27" s="187" t="str">
        <f>IF(AND(BQ27=BP27,AI27="o"),"A", (IFERROR(VLOOKUP(LEFT(BB27,2),BASE!$C$346:$D$592,2,0),IFERROR(VLOOKUP(LEFT(BB27,1),BASE!$C$346:$D$592,2,0),BB27))))</f>
        <v/>
      </c>
      <c r="AI27" s="187" t="str">
        <f>IF(AND(BP27=BO27,AJ27="o"),"A", (IFERROR(VLOOKUP(LEFT(BC27,2),BASE!$C$346:$D$592,2,0),IFERROR(VLOOKUP(LEFT(BC27,1),BASE!$C$346:$D$592,2,0),BC27))))</f>
        <v/>
      </c>
      <c r="AJ27" s="187" t="str">
        <f>IF(AND(BO27=BN27,AK27="o"),"A", (IFERROR(VLOOKUP(LEFT(BD27,2),BASE!$C$346:$D$592,2,0),IFERROR(VLOOKUP(LEFT(BD27,1),BASE!$C$346:$D$592,2,0),BD27))))</f>
        <v>n</v>
      </c>
      <c r="AK27" s="187" t="str">
        <f>IF(AND(BN27=BM27,AL27="o"),"A", (IFERROR(VLOOKUP(LEFT(BE27,2),BASE!$C$346:$D$592,2,0),IFERROR(VLOOKUP(LEFT(BE27,1),BASE!$C$346:$D$592,2,0),BE27))))</f>
        <v>o</v>
      </c>
      <c r="AL27" s="187" t="str">
        <f>IF(AND(BM27=BL27,AM27="o"),"A", (IFERROR(VLOOKUP(LEFT(BF27,2),BASE!$C$346:$D$592,2,0),IFERROR(VLOOKUP(LEFT(BF27,1),BASE!$C$346:$D$592,2,0),BF27))))</f>
        <v>k</v>
      </c>
      <c r="AM27" s="187" t="str">
        <f>IF(AND(BL27=BK27,AN27="o"),"A",(IFERROR(VLOOKUP(LEFT(BG27,2),BASE!$C$346:$D$592,2,0),IFERROR(VLOOKUP(LEFT(BG27,1),BASE!$C$346:$D$592,2,0),BG27))))</f>
        <v>k</v>
      </c>
      <c r="AN27" s="187" t="str">
        <f>(IFERROR(VLOOKUP(LEFT(BH27,2),BASE!$C$346:$D$592,2,0),IFERROR(VLOOKUP(LEFT(BH27,1),BASE!$C$346:$D$592,2,0),BH27)))</f>
        <v>k</v>
      </c>
      <c r="AO27" s="187" t="str">
        <f>(IFERROR(VLOOKUP(LEFT(BI27,2),BASE!$C$96:$D$342,2,0),IFERROR(VLOOKUP(LEFT(BI27,1),BASE!$C$96:$D$342,2,0),BI27)))</f>
        <v>k</v>
      </c>
      <c r="AP27" s="5">
        <f t="shared" ref="AP27:AX31" si="19">AQ27</f>
        <v>10</v>
      </c>
      <c r="AQ27" s="5">
        <f t="shared" ref="AQ27:AQ30" si="20">AR27</f>
        <v>10</v>
      </c>
      <c r="AR27" s="5">
        <f t="shared" ref="AR27:AR30" si="21">AS27</f>
        <v>10</v>
      </c>
      <c r="AS27" s="5">
        <f t="shared" ref="AS27:AS30" si="22">AT27</f>
        <v>10</v>
      </c>
      <c r="AT27" s="5">
        <f t="shared" ref="AT27:AT30" si="23">AU27</f>
        <v>10</v>
      </c>
      <c r="AU27" s="5">
        <f t="shared" ref="AU27:AU30" si="24">AV27</f>
        <v>10</v>
      </c>
      <c r="AV27" s="5">
        <f t="shared" ref="AV27:AV30" si="25">AW27</f>
        <v>10</v>
      </c>
      <c r="AW27" s="5">
        <f t="shared" ref="AW27:AW30" si="26">AX27</f>
        <v>10</v>
      </c>
      <c r="AX27" s="5">
        <f t="shared" ref="AX27:AX30" si="27">AY27</f>
        <v>10</v>
      </c>
      <c r="AY27" s="5">
        <f t="shared" ref="AY27:AY31" si="28">LEN(BI27)</f>
        <v>10</v>
      </c>
      <c r="AZ27" s="12" t="str">
        <f t="shared" ref="AZ27:BH31" si="29">MID(BA27,W27+1,AQ27)</f>
        <v/>
      </c>
      <c r="BA27" s="12" t="str">
        <f t="shared" ref="BA27:BA30" si="30">MID(BB27,X27+1,AR27)</f>
        <v/>
      </c>
      <c r="BB27" s="12" t="str">
        <f t="shared" ref="BB27:BB30" si="31">MID(BC27,Y27+1,AS27)</f>
        <v/>
      </c>
      <c r="BC27" s="12" t="str">
        <f t="shared" ref="BC27:BC30" si="32">MID(BD27,Z27+1,AT27)</f>
        <v/>
      </c>
      <c r="BD27" s="12" t="str">
        <f t="shared" ref="BD27:BD30" si="33">MID(BE27,AA27+1,AU27)</f>
        <v>கே</v>
      </c>
      <c r="BE27" s="12" t="str">
        <f t="shared" ref="BE27:BE30" si="34">MID(BF27,AB27+1,AV27)</f>
        <v>ற்கே</v>
      </c>
      <c r="BF27" s="12" t="str">
        <f t="shared" ref="BF27:BF30" si="35">MID(BG27,AC27+1,AW27)</f>
        <v>ழற்கே</v>
      </c>
      <c r="BG27" s="12" t="str">
        <f t="shared" ref="BG27:BG30" si="36">MID(BH27,AD27+1,AX27)</f>
        <v>கழற்கே</v>
      </c>
      <c r="BH27" s="43" t="str">
        <f t="shared" ref="BH27:BH30" si="37">MID(BI27,AE27+1,AY27)</f>
        <v>ரைகழற்கே</v>
      </c>
      <c r="BI27" s="57" t="str">
        <f>CF10</f>
        <v>குரைகழற்கே</v>
      </c>
      <c r="BJ27" s="58" t="str">
        <f>IFERROR(VLOOKUP(LEFT(BI27,2),BASE!$C$96:$F$342,1,0),IFERROR(VLOOKUP(LEFT(BI27,1),BASE!$C$96:$F$342,1,0),BI27))</f>
        <v>கு</v>
      </c>
      <c r="BK27" s="58" t="str">
        <f>IFERROR(VLOOKUP(LEFT(BH27,2),BASE!$C$96:$D$342,1,0),IFERROR(VLOOKUP(LEFT(BH27,1),BASE!$C$96:$D$342,1,0),BH27))</f>
        <v>ரை</v>
      </c>
      <c r="BL27" s="58" t="str">
        <f>IFERROR(VLOOKUP(LEFT(BG27,2),BASE!$C$96:$D$342,1,0),IFERROR(VLOOKUP(LEFT(BG27,1),BASE!$C$96:$D$342,1,0),BG27))</f>
        <v>க</v>
      </c>
      <c r="BM27" s="58" t="str">
        <f>IFERROR(VLOOKUP(LEFT(BF27,2),BASE!$C$96:$D$342,1,0),IFERROR(VLOOKUP(LEFT(BF27,1),BASE!$C$96:$D$342,1,0),BF27))</f>
        <v>ழ</v>
      </c>
      <c r="BN27" s="58" t="str">
        <f>IFERROR(VLOOKUP(LEFT(BE27,2),BASE!$C$96:$D$342,1,0),IFERROR(VLOOKUP(LEFT(BE27,1),BASE!$C$96:$D$342,1,0),BE27))</f>
        <v>ற்</v>
      </c>
      <c r="BO27" s="58" t="str">
        <f>IFERROR(VLOOKUP(LEFT(BD27,2),BASE!$C$96:$D$342,1,0),IFERROR(VLOOKUP(LEFT(BD27,1),BASE!$C$96:$D$342,1,0),BD27))</f>
        <v>கே</v>
      </c>
      <c r="BP27" s="58" t="str">
        <f>IFERROR(VLOOKUP(LEFT(BC27,2),BASE!$C$96:$D$342,1,0),IFERROR(VLOOKUP(LEFT(BC27,1),BASE!$C$96:$D$342,1,0),BC27))</f>
        <v/>
      </c>
      <c r="BQ27" s="58" t="str">
        <f>IFERROR(VLOOKUP(LEFT(BB27,2),BASE!$C$96:$D$342,1,0),IFERROR(VLOOKUP(LEFT(BB27,1),BASE!$C$96:$D$342,1,0),BB27))</f>
        <v/>
      </c>
      <c r="BR27" s="58" t="str">
        <f>IFERROR(VLOOKUP(LEFT(BA27,2),BASE!$C$96:$D$342,1,0),IFERROR(VLOOKUP(LEFT(BA27,1),BASE!$C$96:$D$342,1,0),BA27))</f>
        <v/>
      </c>
      <c r="BS27" s="58" t="str">
        <f>IFERROR(VLOOKUP(LEFT(AZ27,2),BASE!$C$96:$D$342,1,0),IFERROR(VLOOKUP(LEFT(AZ27,1),BASE!$C$96:$D$342,1,0),AZ27))</f>
        <v/>
      </c>
      <c r="BT27" s="186" t="str">
        <f>(IFERROR(VLOOKUP(LEFT(BI27,2),BASE!$C$96:$F$342,4,0),IFERROR(VLOOKUP(LEFT(BI27,1),BASE!$C$96:$F$342,4,0),BI27)))</f>
        <v>கு</v>
      </c>
      <c r="BU27" s="186" t="str">
        <f>(IFERROR(VLOOKUP(LEFT(BH27,2),BASE!$C$346:$F$592,4,0),IFERROR(VLOOKUP(LEFT(BH27,1),BASE!$C$346:$F$592,4,0),BH27)))</f>
        <v>கு</v>
      </c>
      <c r="BV27" s="186" t="str">
        <f>(IFERROR(VLOOKUP(LEFT(BG27,2),BASE!$C$346:$F$592,4,0),IFERROR(VLOOKUP(LEFT(BG27,1),BASE!$C$346:$F$592,4,0),BG27)))</f>
        <v>கு</v>
      </c>
      <c r="BW27" s="186" t="str">
        <f>(IFERROR(VLOOKUP(LEFT(BF27,2),BASE!$C$346:$F$592,4,0),IFERROR(VLOOKUP(LEFT(BF27,1),BASE!$C$346:$F$592,4,0),BF27)))</f>
        <v>கு</v>
      </c>
      <c r="BX27" s="186" t="str">
        <f>(IFERROR(VLOOKUP(LEFT(BE27,2),BASE!$C$346:$F$592,4,0),IFERROR(VLOOKUP(LEFT(BE27,1),BASE!$C$346:$F$592,4,0),BE27)))</f>
        <v>ஒ</v>
      </c>
      <c r="BY27" s="186" t="str">
        <f>(IFERROR(VLOOKUP(LEFT(BD27,2),BASE!$C$346:$F$592,4,0),IFERROR(VLOOKUP(LEFT(BD27,1),BASE!$C$346:$F$592,4,0),BD27)))</f>
        <v>நெ</v>
      </c>
      <c r="BZ27" s="186" t="str">
        <f>(IFERROR(VLOOKUP(LEFT(BC27,2),BASE!$C$346:$F$592,4,0),IFERROR(VLOOKUP(LEFT(BC27,1),BASE!$C$346:$F$592,4,0),BC27)))</f>
        <v/>
      </c>
      <c r="CA27" s="186" t="str">
        <f>(IFERROR(VLOOKUP(LEFT(BB27,2),BASE!$C$346:$F$592,4,0),IFERROR(VLOOKUP(LEFT(BB27,1),BASE!$C$346:$F$592,4,0),BB27)))</f>
        <v/>
      </c>
      <c r="CB27" s="186" t="str">
        <f>(IFERROR(VLOOKUP(LEFT(BA27,2),BASE!$C$346:$F$592,4,0),IFERROR(VLOOKUP(LEFT(BA27,1),BASE!$C$346:$F$592,4,0),BA27)))</f>
        <v/>
      </c>
      <c r="CC27" s="186" t="str">
        <f>(IFERROR(VLOOKUP(LEFT(AZ27,2),BASE!$C$346:$F$592,4,0),IFERROR(VLOOKUP(LEFT(AZ27,1),BASE!$C$346:$F$592,4,0),AZ27)))</f>
        <v/>
      </c>
      <c r="CD27" s="58" t="str">
        <f t="shared" ref="CD27:CD31" si="38">BT27&amp;BU27&amp;BV27&amp;BW27&amp;BX27&amp;BY27&amp;BZ27&amp;CA27&amp;CB27&amp;CC27</f>
        <v>குகுகுகுஒநெ</v>
      </c>
      <c r="CE27" s="58" t="str">
        <f>IFERROR(VLOOKUP((LEFT(U27,4)),BASE!$E$12:$F$23,2,0),IFERROR(VLOOKUP((LEFT(U27,3)),BASE!$E$12:$F$23,2,0),IFERROR(VLOOKUP((LEFT(U27,2)),BASE!$E$12:$F$23,2,0),IFERROR(VLOOKUP((LEFT(U27,1)),BASE!$E$12:$F$23,2,0),U27))))</f>
        <v>நிரை</v>
      </c>
      <c r="CF27" s="58" t="str">
        <f>IFERROR(VLOOKUP((LEFT(T27,4)),BASE!$E$12:$F$24,2,0),IFERROR(VLOOKUP((LEFT(T27,3)),BASE!$E$12:$F$24,2,0),IFERROR(VLOOKUP((LEFT(T27,2)),BASE!$E$12:$F$24,2,0),IFERROR(VLOOKUP((LEFT(T27,1)),BASE!$E$12:$F$24,2,0),T27))))</f>
        <v>நிரை</v>
      </c>
      <c r="CG27" s="58" t="str">
        <f>IFERROR(VLOOKUP((LEFT(S27,4)),BASE!$E$12:$F$23,2,0),IFERROR(VLOOKUP((LEFT(S27,3)),BASE!$E$12:$F$23,2,0),IFERROR(VLOOKUP((LEFT(S27,2)),BASE!$E$12:$F$23,2,0),IFERROR(VLOOKUP((LEFT(S27,1)),BASE!$E$12:$F$23,2,0),S27))))</f>
        <v>நேர்</v>
      </c>
      <c r="CH27" s="58" t="str">
        <f>IFERROR(VLOOKUP((LEFT(R27,4)),BASE!$E$12:$F$23,2,0),IFERROR(VLOOKUP((LEFT(R27,3)),BASE!$E$12:$F$23,2,0),IFERROR(VLOOKUP((LEFT(R27,2)),BASE!$E$12:$F$23,2,0),IFERROR(VLOOKUP((LEFT(R27,1)),BASE!$E$12:$F$23,2,0),R27))))</f>
        <v/>
      </c>
      <c r="CI27" s="58" t="str">
        <f>IFERROR(VLOOKUP((LEFT(Q27,4)),BASE!$E$12:$F$23,2,0),IFERROR(VLOOKUP((LEFT(Q27,3)),BASE!$E$12:$F$23,2,0),IFERROR(VLOOKUP((LEFT(Q27,2)),BASE!$E$12:$F$23,2,0),IFERROR(VLOOKUP((LEFT(Q27,1)),BASE!$E$12:$F$23,2,0),Q27))))</f>
        <v/>
      </c>
      <c r="CJ27" s="58" t="str">
        <f>IFERROR(VLOOKUP((LEFT(P27,4)),BASE!$E$12:$F$23,2,0),IFERROR(VLOOKUP((LEFT(P27,3)),BASE!$E$12:$F$23,2,0),IFERROR(VLOOKUP((LEFT(P27,2)),BASE!$E$12:$F$23,2,0),IFERROR(VLOOKUP((LEFT(P27,1)),BASE!$E$12:$F$23,2,0),P27))))</f>
        <v/>
      </c>
      <c r="CK27" s="58" t="str">
        <f>IFERROR(VLOOKUP((LEFT(O27,4)),BASE!$E$12:$F$23,2,0),IFERROR(VLOOKUP((LEFT(O27,3)),BASE!$E$12:$F$23,2,0),IFERROR(VLOOKUP((LEFT(O27,2)),BASE!$E$12:$F$23,2,0),IFERROR(VLOOKUP((LEFT(O27,1)),BASE!$E$12:$F$23,2,0),O27))))</f>
        <v/>
      </c>
      <c r="CL27" s="58" t="str">
        <f>IFERROR(VLOOKUP((LEFT(N27,4)),BASE!$E$12:$F$23,2,0),IFERROR(VLOOKUP((LEFT(N27,3)),BASE!$E$12:$F$23,2,0),IFERROR(VLOOKUP((LEFT(N27,2)),BASE!$E$12:$F$23,2,0),IFERROR(VLOOKUP((LEFT(N27,1)),BASE!$E$12:$F$23,2,0),N27))))</f>
        <v/>
      </c>
      <c r="CM27" s="58" t="str">
        <f>IFERROR(VLOOKUP((LEFT(M27,4)),BASE!$E$12:$F$23,2,0),IFERROR(VLOOKUP((LEFT(M27,3)),BASE!$E$12:$F$23,2,0),IFERROR(VLOOKUP((LEFT(M27,2)),BASE!$E$12:$F$23,2,0),IFERROR(VLOOKUP((LEFT(M27,1)),BASE!$E$12:$F$23,2,0),M27))))</f>
        <v/>
      </c>
      <c r="CN27" s="58" t="str">
        <f>IFERROR(VLOOKUP((LEFT(L27,4)),BASE!$E$12:$F$23,2,0),IFERROR(VLOOKUP((LEFT(L27,3)),BASE!$E$12:$F$23,2,0),IFERROR(VLOOKUP((LEFT(L27,2)),BASE!$E$12:$F$23,2,0),IFERROR(VLOOKUP((LEFT(L27,1)),BASE!$E$12:$F$23,2,0),L27))))</f>
        <v/>
      </c>
      <c r="CO27" s="58" t="str">
        <f t="shared" ref="CO27:CO31" si="39">CE27&amp;CF27&amp;CG27&amp;CH27</f>
        <v>நிரைநிரைநேர்</v>
      </c>
      <c r="CP27" s="58" t="str">
        <f>VLOOKUP(CO27,BASE!$E$25:$F$79,2,0)</f>
        <v>கருவிளங்காய்</v>
      </c>
      <c r="CQ27" s="58" t="str">
        <f>VLOOKUP(CO27,BASE!$E$25:$G$79,3,0)&amp;CE28</f>
        <v>காய்நேர்</v>
      </c>
      <c r="CR27" s="58" t="str">
        <f>VLOOKUP(CQ27,BASE!$E$86:$G$93,2,0)</f>
        <v>காய் முன் நேர்</v>
      </c>
      <c r="CS27" s="58" t="str">
        <f>VLOOKUP(CQ27,BASE!$E$86:$G$93,3,0)</f>
        <v>வெண்சீர் வெண்டளை</v>
      </c>
      <c r="CT27" s="58" t="str">
        <f t="shared" ref="CT27:CT30" si="40">IF((OR(CH27="நிரை",CH27="நேர்")),"மூவசைக்கு மிகக்கூடாது","மூவசைக்கு மிகவில்லை")</f>
        <v>மூவசைக்கு மிகவில்லை</v>
      </c>
      <c r="CU27" s="58" t="str">
        <f t="shared" ref="CU27:CU30" si="41">IF((OR(CS27="இயற்சீர் வெண்டளை",CS27="வெண்சீர் வெண்டளை")),"சரி","தளை தட்டுகிறது")</f>
        <v>சரி</v>
      </c>
      <c r="CV27" s="193"/>
    </row>
    <row r="28" spans="1:100" ht="19.5" customHeight="1" x14ac:dyDescent="0.35">
      <c r="A28" s="119"/>
      <c r="B28" s="12">
        <f>IFERROR(VLOOKUP((LEFT(L28,4)),BASE!$E$12:$F$23,1,0),IFERROR(VLOOKUP((LEFT(L28,3)),BASE!$E$12:$F$23,1,0),IFERROR(VLOOKUP((LEFT(L28,2)),BASE!$E$12:$F$23,1,0),IFERROR(VLOOKUP((LEFT(L28,1)),BASE!$E$12:$F$23,1,0),100))))</f>
        <v>100</v>
      </c>
      <c r="C28" s="12">
        <f>IFERROR(VLOOKUP((LEFT(M28,4)),BASE!$E$12:$F$23,1,0),IFERROR(VLOOKUP((LEFT(M28,3)),BASE!$E$12:$F$23,1,0),IFERROR(VLOOKUP((LEFT(M28,2)),BASE!$E$12:$F$23,1,0),IFERROR(VLOOKUP((LEFT(M28,1)),BASE!$E$12:$F$23,1,0),100))))</f>
        <v>100</v>
      </c>
      <c r="D28" s="12">
        <f>IFERROR(VLOOKUP((LEFT(N28,4)),BASE!$E$12:$F$23,1,0),IFERROR(VLOOKUP((LEFT(N28,3)),BASE!$E$12:$F$23,1,0),IFERROR(VLOOKUP((LEFT(N28,2)),BASE!$E$12:$F$23,1,0),IFERROR(VLOOKUP((LEFT(N28,1)),BASE!$E$12:$F$23,1,0),100))))</f>
        <v>100</v>
      </c>
      <c r="E28" s="12">
        <f>IFERROR(VLOOKUP((LEFT(O28,4)),BASE!$E$12:$F$23,1,0),IFERROR(VLOOKUP((LEFT(O28,3)),BASE!$E$12:$F$23,1,0),IFERROR(VLOOKUP((LEFT(O28,2)),BASE!$E$12:$F$23,1,0),IFERROR(VLOOKUP((LEFT(O28,1)),BASE!$E$12:$F$23,1,0),100))))</f>
        <v>100</v>
      </c>
      <c r="F28" s="12">
        <f>IFERROR(VLOOKUP((LEFT(P28,4)),BASE!$E$12:$F$23,1,0),IFERROR(VLOOKUP((LEFT(P28,3)),BASE!$E$12:$F$23,1,0),IFERROR(VLOOKUP((LEFT(P28,2)),BASE!$E$12:$F$23,1,0),IFERROR(VLOOKUP((LEFT(P28,1)),BASE!$E$12:$F$23,1,0),100))))</f>
        <v>100</v>
      </c>
      <c r="G28" s="12">
        <f>IFERROR(VLOOKUP((LEFT(Q28,4)),BASE!$E$12:$F$23,1,0),IFERROR(VLOOKUP((LEFT(Q28,3)),BASE!$E$12:$F$23,1,0),IFERROR(VLOOKUP((LEFT(Q28,2)),BASE!$E$12:$F$23,1,0),IFERROR(VLOOKUP((LEFT(Q28,1)),BASE!$E$12:$F$23,1,0),100))))</f>
        <v>100</v>
      </c>
      <c r="H28" s="12">
        <f>IFERROR(VLOOKUP((LEFT(R28,4)),BASE!$E$12:$F$23,1,0),IFERROR(VLOOKUP((LEFT(R28,3)),BASE!$E$12:$F$23,1,0),IFERROR(VLOOKUP((LEFT(R28,2)),BASE!$E$12:$F$23,1,0),IFERROR(VLOOKUP((LEFT(R28,1)),BASE!$E$12:$F$23,1,0),100))))</f>
        <v>100</v>
      </c>
      <c r="I28" s="12">
        <f>IFERROR(VLOOKUP((LEFT(S28,4)),BASE!$E$12:$F$23,1,0),IFERROR(VLOOKUP((LEFT(S28,3)),BASE!$E$12:$F$23,1,0),IFERROR(VLOOKUP((LEFT(S28,2)),BASE!$E$12:$F$23,1,0),IFERROR(VLOOKUP((LEFT(S28,1)),BASE!$E$12:$F$23,1,0),100))))</f>
        <v>100</v>
      </c>
      <c r="J28" s="12" t="str">
        <f>IFERROR(VLOOKUP((LEFT(T28,4)),BASE!$E$12:$F$24,1,0),IFERROR(VLOOKUP((LEFT(T28,3)),BASE!$E$12:$F$24,1,0),IFERROR(VLOOKUP((LEFT(T28,2)),BASE!$E$12:$F$24,1,0),IFERROR(VLOOKUP((LEFT(T28,1)),BASE!$E$12:$F$24,1,0),100))))</f>
        <v>k</v>
      </c>
      <c r="K28" s="12" t="str">
        <f>IFERROR(VLOOKUP((LEFT(U28,4)),BASE!$E$12:$F$23,1,0),IFERROR(VLOOKUP((LEFT(U28,3)),BASE!$E$12:$F$23,1,0),IFERROR(VLOOKUP((LEFT(U28,2)),BASE!$E$12:$F$23,1,0),IFERROR(VLOOKUP((LEFT(U28,1)),BASE!$E$12:$F$23,1,0),100))))</f>
        <v>ko</v>
      </c>
      <c r="L28" s="14" t="str">
        <f t="shared" si="9"/>
        <v/>
      </c>
      <c r="M28" s="14" t="str">
        <f t="shared" si="10"/>
        <v/>
      </c>
      <c r="N28" s="14" t="str">
        <f t="shared" si="11"/>
        <v/>
      </c>
      <c r="O28" s="14" t="str">
        <f t="shared" si="12"/>
        <v/>
      </c>
      <c r="P28" s="14" t="str">
        <f t="shared" si="13"/>
        <v/>
      </c>
      <c r="Q28" s="14" t="str">
        <f t="shared" si="14"/>
        <v/>
      </c>
      <c r="R28" s="14" t="str">
        <f t="shared" si="15"/>
        <v/>
      </c>
      <c r="S28" s="14" t="str">
        <f t="shared" si="16"/>
        <v/>
      </c>
      <c r="T28" s="14" t="str">
        <f t="shared" si="17"/>
        <v>k</v>
      </c>
      <c r="U28" s="14" t="str">
        <f t="shared" si="18"/>
        <v>kok</v>
      </c>
      <c r="V28" s="13">
        <f>IFERROR(VLOOKUP(LEFT(AZ28,2),BASE!$C$96:$E$342,3,0),IFERROR(VLOOKUP(LEFT(AZ28,1),BASE!$C$96:$E$342,3,0),100))</f>
        <v>100</v>
      </c>
      <c r="W28" s="13">
        <f>IFERROR(VLOOKUP(LEFT(BA28,2),BASE!$C$96:$E$342,3,0),IFERROR(VLOOKUP(LEFT(BA28,1),BASE!$C$96:$E$342,3,0),100))</f>
        <v>100</v>
      </c>
      <c r="X28" s="13">
        <f>IFERROR(VLOOKUP(LEFT(BB28,2),BASE!$C$96:$E$342,3,0),IFERROR(VLOOKUP(LEFT(BB28,1),BASE!$C$96:$E$342,3,0),100))</f>
        <v>100</v>
      </c>
      <c r="Y28" s="13">
        <f>IFERROR(VLOOKUP(LEFT(BC28,2),BASE!$C$96:$E$342,3,0),IFERROR(VLOOKUP(LEFT(BC28,1),BASE!$C$96:$E$342,3,0),100))</f>
        <v>100</v>
      </c>
      <c r="Z28" s="13">
        <f>IFERROR(VLOOKUP(LEFT(BD28,2),BASE!$C$96:$E$342,3,0),IFERROR(VLOOKUP(LEFT(BD28,1),BASE!$C$96:$E$342,3,0),100))</f>
        <v>100</v>
      </c>
      <c r="AA28" s="13">
        <f>IFERROR(VLOOKUP(LEFT(BE28,2),BASE!$C$96:$E$342,3,0),IFERROR(VLOOKUP(LEFT(BE28,1),BASE!$C$96:$E$342,3,0),100))</f>
        <v>100</v>
      </c>
      <c r="AB28" s="13">
        <f>IFERROR(VLOOKUP(LEFT(BF28,2),BASE!$C$96:$E$342,3,0),IFERROR(VLOOKUP(LEFT(BF28,1),BASE!$C$96:$E$342,3,0),100))</f>
        <v>100</v>
      </c>
      <c r="AC28" s="13">
        <f>IFERROR(VLOOKUP(LEFT(BG28,2),BASE!$C$96:$E$342,3,0),IFERROR(VLOOKUP(LEFT(BG28,1),BASE!$C$96:$E$342,3,0),100))</f>
        <v>2</v>
      </c>
      <c r="AD28" s="13">
        <f>IFERROR(VLOOKUP(LEFT(BH28,2),BASE!$C$96:$E$342,3,0),IFERROR(VLOOKUP(LEFT(BH28,1),BASE!$C$96:$E$342,3,0),100))</f>
        <v>2</v>
      </c>
      <c r="AE28" s="13">
        <f>IFERROR(VLOOKUP(LEFT(BI28,2),BASE!$C$96:$E$342,3,0),IFERROR(VLOOKUP(LEFT(BI28,1),BASE!$C$96:$E$342,3,0),100))</f>
        <v>2</v>
      </c>
      <c r="AF28" s="187" t="str">
        <f>IF(AND(BS28=BR28,AG28="o"),"A", (IFERROR(VLOOKUP(LEFT(AZ28,2),BASE!$C$346:$D$592,2,0),IFERROR(VLOOKUP(LEFT(AZ28,1),BASE!$C$346:$D$5922,2,0),AZ28))))</f>
        <v/>
      </c>
      <c r="AG28" s="187" t="str">
        <f>IF(AND(BR28=BQ28,AH28="o"),"A", (IFERROR(VLOOKUP(LEFT(BA28,2),BASE!$C$346:$D$592,2,0),IFERROR(VLOOKUP(LEFT(BA28,1),BASE!$C$346:$D$592,2,0),BA28))))</f>
        <v/>
      </c>
      <c r="AH28" s="187" t="str">
        <f>IF(AND(BQ28=BP28,AI28="o"),"A", (IFERROR(VLOOKUP(LEFT(BB28,2),BASE!$C$346:$D$592,2,0),IFERROR(VLOOKUP(LEFT(BB28,1),BASE!$C$346:$D$592,2,0),BB28))))</f>
        <v/>
      </c>
      <c r="AI28" s="187" t="str">
        <f>IF(AND(BP28=BO28,AJ28="o"),"A", (IFERROR(VLOOKUP(LEFT(BC28,2),BASE!$C$346:$D$592,2,0),IFERROR(VLOOKUP(LEFT(BC28,1),BASE!$C$346:$D$592,2,0),BC28))))</f>
        <v/>
      </c>
      <c r="AJ28" s="187" t="str">
        <f>IF(AND(BO28=BN28,AK28="o"),"A", (IFERROR(VLOOKUP(LEFT(BD28,2),BASE!$C$346:$D$592,2,0),IFERROR(VLOOKUP(LEFT(BD28,1),BASE!$C$346:$D$592,2,0),BD28))))</f>
        <v/>
      </c>
      <c r="AK28" s="187" t="str">
        <f>IF(AND(BN28=BM28,AL28="o"),"A", (IFERROR(VLOOKUP(LEFT(BE28,2),BASE!$C$346:$D$592,2,0),IFERROR(VLOOKUP(LEFT(BE28,1),BASE!$C$346:$D$592,2,0),BE28))))</f>
        <v/>
      </c>
      <c r="AL28" s="187" t="str">
        <f>IF(AND(BM28=BL28,AM28="o"),"A", (IFERROR(VLOOKUP(LEFT(BF28,2),BASE!$C$346:$D$592,2,0),IFERROR(VLOOKUP(LEFT(BF28,1),BASE!$C$346:$D$592,2,0),BF28))))</f>
        <v/>
      </c>
      <c r="AM28" s="187" t="str">
        <f>IF(AND(BL28=BK28,AN28="o"),"A",(IFERROR(VLOOKUP(LEFT(BG28,2),BASE!$C$346:$D$592,2,0),IFERROR(VLOOKUP(LEFT(BG28,1),BASE!$C$346:$D$592,2,0),BG28))))</f>
        <v>k</v>
      </c>
      <c r="AN28" s="187" t="str">
        <f>(IFERROR(VLOOKUP(LEFT(BH28,2),BASE!$C$346:$D$592,2,0),IFERROR(VLOOKUP(LEFT(BH28,1),BASE!$C$346:$D$592,2,0),BH28)))</f>
        <v>o</v>
      </c>
      <c r="AO28" s="187" t="str">
        <f>(IFERROR(VLOOKUP(LEFT(BI28,2),BASE!$C$96:$D$342,2,0),IFERROR(VLOOKUP(LEFT(BI28,1),BASE!$C$96:$D$342,2,0),BI28)))</f>
        <v>k</v>
      </c>
      <c r="AP28" s="5">
        <f t="shared" si="19"/>
        <v>6</v>
      </c>
      <c r="AQ28" s="5">
        <f t="shared" si="20"/>
        <v>6</v>
      </c>
      <c r="AR28" s="5">
        <f t="shared" si="21"/>
        <v>6</v>
      </c>
      <c r="AS28" s="5">
        <f t="shared" si="22"/>
        <v>6</v>
      </c>
      <c r="AT28" s="5">
        <f t="shared" si="23"/>
        <v>6</v>
      </c>
      <c r="AU28" s="5">
        <f t="shared" si="24"/>
        <v>6</v>
      </c>
      <c r="AV28" s="5">
        <f t="shared" si="25"/>
        <v>6</v>
      </c>
      <c r="AW28" s="5">
        <f t="shared" si="26"/>
        <v>6</v>
      </c>
      <c r="AX28" s="5">
        <f t="shared" si="27"/>
        <v>6</v>
      </c>
      <c r="AY28" s="5">
        <f t="shared" si="28"/>
        <v>6</v>
      </c>
      <c r="AZ28" s="12" t="str">
        <f t="shared" si="29"/>
        <v/>
      </c>
      <c r="BA28" s="12" t="str">
        <f t="shared" si="30"/>
        <v/>
      </c>
      <c r="BB28" s="12" t="str">
        <f t="shared" si="31"/>
        <v/>
      </c>
      <c r="BC28" s="12" t="str">
        <f t="shared" si="32"/>
        <v/>
      </c>
      <c r="BD28" s="12" t="str">
        <f t="shared" si="33"/>
        <v/>
      </c>
      <c r="BE28" s="12" t="str">
        <f t="shared" si="34"/>
        <v/>
      </c>
      <c r="BF28" s="12" t="str">
        <f t="shared" si="35"/>
        <v/>
      </c>
      <c r="BG28" s="12" t="str">
        <f t="shared" si="36"/>
        <v>சி</v>
      </c>
      <c r="BH28" s="43" t="str">
        <f t="shared" si="37"/>
        <v>ச்சி</v>
      </c>
      <c r="BI28" s="57" t="str">
        <f>CG10</f>
        <v>மெச்சி</v>
      </c>
      <c r="BJ28" s="58" t="str">
        <f>IFERROR(VLOOKUP(LEFT(BI28,2),BASE!$C$96:$F$342,1,0),IFERROR(VLOOKUP(LEFT(BI28,1),BASE!$C$96:$F$342,1,0),BI28))</f>
        <v>மெ</v>
      </c>
      <c r="BK28" s="58" t="str">
        <f>IFERROR(VLOOKUP(LEFT(BH28,2),BASE!$C$96:$D$342,1,0),IFERROR(VLOOKUP(LEFT(BH28,1),BASE!$C$96:$D$342,1,0),BH28))</f>
        <v>ச்</v>
      </c>
      <c r="BL28" s="58" t="str">
        <f>IFERROR(VLOOKUP(LEFT(BG28,2),BASE!$C$96:$D$342,1,0),IFERROR(VLOOKUP(LEFT(BG28,1),BASE!$C$96:$D$342,1,0),BG28))</f>
        <v>சி</v>
      </c>
      <c r="BM28" s="58" t="str">
        <f>IFERROR(VLOOKUP(LEFT(BF28,2),BASE!$C$96:$D$342,1,0),IFERROR(VLOOKUP(LEFT(BF28,1),BASE!$C$96:$D$342,1,0),BF28))</f>
        <v/>
      </c>
      <c r="BN28" s="58" t="str">
        <f>IFERROR(VLOOKUP(LEFT(BE28,2),BASE!$C$96:$D$342,1,0),IFERROR(VLOOKUP(LEFT(BE28,1),BASE!$C$96:$D$342,1,0),BE28))</f>
        <v/>
      </c>
      <c r="BO28" s="58" t="str">
        <f>IFERROR(VLOOKUP(LEFT(BD28,2),BASE!$C$96:$D$342,1,0),IFERROR(VLOOKUP(LEFT(BD28,1),BASE!$C$96:$D$342,1,0),BD28))</f>
        <v/>
      </c>
      <c r="BP28" s="58" t="str">
        <f>IFERROR(VLOOKUP(LEFT(BC28,2),BASE!$C$96:$D$342,1,0),IFERROR(VLOOKUP(LEFT(BC28,1),BASE!$C$96:$D$342,1,0),BC28))</f>
        <v/>
      </c>
      <c r="BQ28" s="58" t="str">
        <f>IFERROR(VLOOKUP(LEFT(BB28,2),BASE!$C$96:$D$342,1,0),IFERROR(VLOOKUP(LEFT(BB28,1),BASE!$C$96:$D$342,1,0),BB28))</f>
        <v/>
      </c>
      <c r="BR28" s="58" t="str">
        <f>IFERROR(VLOOKUP(LEFT(BA28,2),BASE!$C$96:$D$342,1,0),IFERROR(VLOOKUP(LEFT(BA28,1),BASE!$C$96:$D$342,1,0),BA28))</f>
        <v/>
      </c>
      <c r="BS28" s="58" t="str">
        <f>IFERROR(VLOOKUP(LEFT(AZ28,2),BASE!$C$96:$D$342,1,0),IFERROR(VLOOKUP(LEFT(AZ28,1),BASE!$C$96:$D$342,1,0),AZ28))</f>
        <v/>
      </c>
      <c r="BT28" s="186" t="str">
        <f>(IFERROR(VLOOKUP(LEFT(BI28,2),BASE!$C$96:$F$342,4,0),IFERROR(VLOOKUP(LEFT(BI28,1),BASE!$C$96:$F$342,4,0),BI28)))</f>
        <v>கு</v>
      </c>
      <c r="BU28" s="186" t="str">
        <f>(IFERROR(VLOOKUP(LEFT(BH28,2),BASE!$C$346:$F$592,4,0),IFERROR(VLOOKUP(LEFT(BH28,1),BASE!$C$346:$F$592,4,0),BH28)))</f>
        <v>ஒ</v>
      </c>
      <c r="BV28" s="186" t="str">
        <f>(IFERROR(VLOOKUP(LEFT(BG28,2),BASE!$C$346:$F$592,4,0),IFERROR(VLOOKUP(LEFT(BG28,1),BASE!$C$346:$F$592,4,0),BG28)))</f>
        <v>கு</v>
      </c>
      <c r="BW28" s="186" t="str">
        <f>(IFERROR(VLOOKUP(LEFT(BF28,2),BASE!$C$346:$F$592,4,0),IFERROR(VLOOKUP(LEFT(BF28,1),BASE!$C$346:$F$592,4,0),BF28)))</f>
        <v/>
      </c>
      <c r="BX28" s="186" t="str">
        <f>(IFERROR(VLOOKUP(LEFT(BE28,2),BASE!$C$346:$F$592,4,0),IFERROR(VLOOKUP(LEFT(BE28,1),BASE!$C$346:$F$592,4,0),BE28)))</f>
        <v/>
      </c>
      <c r="BY28" s="186" t="str">
        <f>(IFERROR(VLOOKUP(LEFT(BD28,2),BASE!$C$346:$F$592,4,0),IFERROR(VLOOKUP(LEFT(BD28,1),BASE!$C$346:$F$592,4,0),BD28)))</f>
        <v/>
      </c>
      <c r="BZ28" s="186" t="str">
        <f>(IFERROR(VLOOKUP(LEFT(BC28,2),BASE!$C$346:$F$592,4,0),IFERROR(VLOOKUP(LEFT(BC28,1),BASE!$C$346:$F$592,4,0),BC28)))</f>
        <v/>
      </c>
      <c r="CA28" s="186" t="str">
        <f>(IFERROR(VLOOKUP(LEFT(BB28,2),BASE!$C$346:$F$592,4,0),IFERROR(VLOOKUP(LEFT(BB28,1),BASE!$C$346:$F$592,4,0),BB28)))</f>
        <v/>
      </c>
      <c r="CB28" s="186" t="str">
        <f>(IFERROR(VLOOKUP(LEFT(BA28,2),BASE!$C$346:$F$592,4,0),IFERROR(VLOOKUP(LEFT(BA28,1),BASE!$C$346:$F$592,4,0),BA28)))</f>
        <v/>
      </c>
      <c r="CC28" s="186" t="str">
        <f>(IFERROR(VLOOKUP(LEFT(AZ28,2),BASE!$C$346:$F$592,4,0),IFERROR(VLOOKUP(LEFT(AZ28,1),BASE!$C$346:$F$592,4,0),AZ28)))</f>
        <v/>
      </c>
      <c r="CD28" s="58" t="str">
        <f t="shared" si="38"/>
        <v>குஒகு</v>
      </c>
      <c r="CE28" s="58" t="str">
        <f>IFERROR(VLOOKUP((LEFT(U28,4)),BASE!$E$12:$F$23,2,0),IFERROR(VLOOKUP((LEFT(U28,3)),BASE!$E$12:$F$23,2,0),IFERROR(VLOOKUP((LEFT(U28,2)),BASE!$E$12:$F$23,2,0),IFERROR(VLOOKUP((LEFT(U28,1)),BASE!$E$12:$F$23,2,0),U28))))</f>
        <v>நேர்</v>
      </c>
      <c r="CF28" s="58" t="str">
        <f>IFERROR(VLOOKUP((LEFT(T28,4)),BASE!$E$12:$F$24,2,0),IFERROR(VLOOKUP((LEFT(T28,3)),BASE!$E$12:$F$24,2,0),IFERROR(VLOOKUP((LEFT(T28,2)),BASE!$E$12:$F$24,2,0),IFERROR(VLOOKUP((LEFT(T28,1)),BASE!$E$12:$F$24,2,0),T28))))</f>
        <v>நேர்</v>
      </c>
      <c r="CG28" s="58" t="str">
        <f>IFERROR(VLOOKUP((LEFT(S28,4)),BASE!$E$12:$F$23,2,0),IFERROR(VLOOKUP((LEFT(S28,3)),BASE!$E$12:$F$23,2,0),IFERROR(VLOOKUP((LEFT(S28,2)),BASE!$E$12:$F$23,2,0),IFERROR(VLOOKUP((LEFT(S28,1)),BASE!$E$12:$F$23,2,0),S28))))</f>
        <v/>
      </c>
      <c r="CH28" s="58" t="str">
        <f>IFERROR(VLOOKUP((LEFT(R28,4)),BASE!$E$12:$F$23,2,0),IFERROR(VLOOKUP((LEFT(R28,3)),BASE!$E$12:$F$23,2,0),IFERROR(VLOOKUP((LEFT(R28,2)),BASE!$E$12:$F$23,2,0),IFERROR(VLOOKUP((LEFT(R28,1)),BASE!$E$12:$F$23,2,0),R28))))</f>
        <v/>
      </c>
      <c r="CI28" s="58" t="str">
        <f>IFERROR(VLOOKUP((LEFT(Q28,4)),BASE!$E$12:$F$23,2,0),IFERROR(VLOOKUP((LEFT(Q28,3)),BASE!$E$12:$F$23,2,0),IFERROR(VLOOKUP((LEFT(Q28,2)),BASE!$E$12:$F$23,2,0),IFERROR(VLOOKUP((LEFT(Q28,1)),BASE!$E$12:$F$23,2,0),Q28))))</f>
        <v/>
      </c>
      <c r="CJ28" s="58" t="str">
        <f>IFERROR(VLOOKUP((LEFT(P28,4)),BASE!$E$12:$F$23,2,0),IFERROR(VLOOKUP((LEFT(P28,3)),BASE!$E$12:$F$23,2,0),IFERROR(VLOOKUP((LEFT(P28,2)),BASE!$E$12:$F$23,2,0),IFERROR(VLOOKUP((LEFT(P28,1)),BASE!$E$12:$F$23,2,0),P28))))</f>
        <v/>
      </c>
      <c r="CK28" s="58" t="str">
        <f>IFERROR(VLOOKUP((LEFT(O28,4)),BASE!$E$12:$F$23,2,0),IFERROR(VLOOKUP((LEFT(O28,3)),BASE!$E$12:$F$23,2,0),IFERROR(VLOOKUP((LEFT(O28,2)),BASE!$E$12:$F$23,2,0),IFERROR(VLOOKUP((LEFT(O28,1)),BASE!$E$12:$F$23,2,0),O28))))</f>
        <v/>
      </c>
      <c r="CL28" s="58" t="str">
        <f>IFERROR(VLOOKUP((LEFT(N28,4)),BASE!$E$12:$F$23,2,0),IFERROR(VLOOKUP((LEFT(N28,3)),BASE!$E$12:$F$23,2,0),IFERROR(VLOOKUP((LEFT(N28,2)),BASE!$E$12:$F$23,2,0),IFERROR(VLOOKUP((LEFT(N28,1)),BASE!$E$12:$F$23,2,0),N28))))</f>
        <v/>
      </c>
      <c r="CM28" s="58" t="str">
        <f>IFERROR(VLOOKUP((LEFT(M28,4)),BASE!$E$12:$F$23,2,0),IFERROR(VLOOKUP((LEFT(M28,3)),BASE!$E$12:$F$23,2,0),IFERROR(VLOOKUP((LEFT(M28,2)),BASE!$E$12:$F$23,2,0),IFERROR(VLOOKUP((LEFT(M28,1)),BASE!$E$12:$F$23,2,0),M28))))</f>
        <v/>
      </c>
      <c r="CN28" s="58" t="str">
        <f>IFERROR(VLOOKUP((LEFT(L28,4)),BASE!$E$12:$F$23,2,0),IFERROR(VLOOKUP((LEFT(L28,3)),BASE!$E$12:$F$23,2,0),IFERROR(VLOOKUP((LEFT(L28,2)),BASE!$E$12:$F$23,2,0),IFERROR(VLOOKUP((LEFT(L28,1)),BASE!$E$12:$F$23,2,0),L28))))</f>
        <v/>
      </c>
      <c r="CO28" s="58" t="str">
        <f t="shared" si="39"/>
        <v>நேர்நேர்</v>
      </c>
      <c r="CP28" s="58" t="str">
        <f>VLOOKUP(CO28,BASE!$E$25:$F$79,2,0)</f>
        <v>தேமா</v>
      </c>
      <c r="CQ28" s="58" t="str">
        <f>VLOOKUP(CO28,BASE!$E$25:$G$79,3,0)&amp;CE29</f>
        <v>மாநிரை</v>
      </c>
      <c r="CR28" s="58" t="str">
        <f>VLOOKUP(CQ28,BASE!$E$86:$G$93,2,0)</f>
        <v>மாமுன் நிரை</v>
      </c>
      <c r="CS28" s="58" t="str">
        <f>VLOOKUP(CQ28,BASE!$E$86:$G$93,3,0)</f>
        <v>இயற்சீர் வெண்டளை</v>
      </c>
      <c r="CT28" s="58" t="str">
        <f t="shared" si="40"/>
        <v>மூவசைக்கு மிகவில்லை</v>
      </c>
      <c r="CU28" s="58" t="str">
        <f t="shared" si="41"/>
        <v>சரி</v>
      </c>
      <c r="CV28" s="193"/>
    </row>
    <row r="29" spans="1:100" ht="19.5" customHeight="1" x14ac:dyDescent="0.35">
      <c r="A29" s="119"/>
      <c r="B29" s="12">
        <f>IFERROR(VLOOKUP((LEFT(L29,4)),BASE!$E$12:$F$23,1,0),IFERROR(VLOOKUP((LEFT(L29,3)),BASE!$E$12:$F$23,1,0),IFERROR(VLOOKUP((LEFT(L29,2)),BASE!$E$12:$F$23,1,0),IFERROR(VLOOKUP((LEFT(L29,1)),BASE!$E$12:$F$23,1,0),100))))</f>
        <v>100</v>
      </c>
      <c r="C29" s="12">
        <f>IFERROR(VLOOKUP((LEFT(M29,4)),BASE!$E$12:$F$23,1,0),IFERROR(VLOOKUP((LEFT(M29,3)),BASE!$E$12:$F$23,1,0),IFERROR(VLOOKUP((LEFT(M29,2)),BASE!$E$12:$F$23,1,0),IFERROR(VLOOKUP((LEFT(M29,1)),BASE!$E$12:$F$23,1,0),100))))</f>
        <v>100</v>
      </c>
      <c r="D29" s="12">
        <f>IFERROR(VLOOKUP((LEFT(N29,4)),BASE!$E$12:$F$23,1,0),IFERROR(VLOOKUP((LEFT(N29,3)),BASE!$E$12:$F$23,1,0),IFERROR(VLOOKUP((LEFT(N29,2)),BASE!$E$12:$F$23,1,0),IFERROR(VLOOKUP((LEFT(N29,1)),BASE!$E$12:$F$23,1,0),100))))</f>
        <v>100</v>
      </c>
      <c r="E29" s="12">
        <f>IFERROR(VLOOKUP((LEFT(O29,4)),BASE!$E$12:$F$23,1,0),IFERROR(VLOOKUP((LEFT(O29,3)),BASE!$E$12:$F$23,1,0),IFERROR(VLOOKUP((LEFT(O29,2)),BASE!$E$12:$F$23,1,0),IFERROR(VLOOKUP((LEFT(O29,1)),BASE!$E$12:$F$23,1,0),100))))</f>
        <v>100</v>
      </c>
      <c r="F29" s="12">
        <f>IFERROR(VLOOKUP((LEFT(P29,4)),BASE!$E$12:$F$23,1,0),IFERROR(VLOOKUP((LEFT(P29,3)),BASE!$E$12:$F$23,1,0),IFERROR(VLOOKUP((LEFT(P29,2)),BASE!$E$12:$F$23,1,0),IFERROR(VLOOKUP((LEFT(P29,1)),BASE!$E$12:$F$23,1,0),100))))</f>
        <v>100</v>
      </c>
      <c r="G29" s="12">
        <f>IFERROR(VLOOKUP((LEFT(Q29,4)),BASE!$E$12:$F$23,1,0),IFERROR(VLOOKUP((LEFT(Q29,3)),BASE!$E$12:$F$23,1,0),IFERROR(VLOOKUP((LEFT(Q29,2)),BASE!$E$12:$F$23,1,0),IFERROR(VLOOKUP((LEFT(Q29,1)),BASE!$E$12:$F$23,1,0),100))))</f>
        <v>100</v>
      </c>
      <c r="H29" s="12">
        <f>IFERROR(VLOOKUP((LEFT(R29,4)),BASE!$E$12:$F$23,1,0),IFERROR(VLOOKUP((LEFT(R29,3)),BASE!$E$12:$F$23,1,0),IFERROR(VLOOKUP((LEFT(R29,2)),BASE!$E$12:$F$23,1,0),IFERROR(VLOOKUP((LEFT(R29,1)),BASE!$E$12:$F$23,1,0),100))))</f>
        <v>100</v>
      </c>
      <c r="I29" s="12">
        <f>IFERROR(VLOOKUP((LEFT(S29,4)),BASE!$E$12:$F$23,1,0),IFERROR(VLOOKUP((LEFT(S29,3)),BASE!$E$12:$F$23,1,0),IFERROR(VLOOKUP((LEFT(S29,2)),BASE!$E$12:$F$23,1,0),IFERROR(VLOOKUP((LEFT(S29,1)),BASE!$E$12:$F$23,1,0),100))))</f>
        <v>100</v>
      </c>
      <c r="J29" s="12" t="str">
        <f>IFERROR(VLOOKUP((LEFT(T29,4)),BASE!$E$12:$F$24,1,0),IFERROR(VLOOKUP((LEFT(T29,3)),BASE!$E$12:$F$24,1,0),IFERROR(VLOOKUP((LEFT(T29,2)),BASE!$E$12:$F$24,1,0),IFERROR(VLOOKUP((LEFT(T29,1)),BASE!$E$12:$F$24,1,0),100))))</f>
        <v>kko</v>
      </c>
      <c r="K29" s="12" t="str">
        <f>IFERROR(VLOOKUP((LEFT(U29,4)),BASE!$E$12:$F$23,1,0),IFERROR(VLOOKUP((LEFT(U29,3)),BASE!$E$12:$F$23,1,0),IFERROR(VLOOKUP((LEFT(U29,2)),BASE!$E$12:$F$23,1,0),IFERROR(VLOOKUP((LEFT(U29,1)),BASE!$E$12:$F$23,1,0),100))))</f>
        <v>kk</v>
      </c>
      <c r="L29" s="14" t="str">
        <f t="shared" si="9"/>
        <v/>
      </c>
      <c r="M29" s="14" t="str">
        <f t="shared" si="10"/>
        <v/>
      </c>
      <c r="N29" s="14" t="str">
        <f t="shared" si="11"/>
        <v/>
      </c>
      <c r="O29" s="14" t="str">
        <f t="shared" si="12"/>
        <v/>
      </c>
      <c r="P29" s="14" t="str">
        <f t="shared" si="13"/>
        <v/>
      </c>
      <c r="Q29" s="14" t="str">
        <f t="shared" si="14"/>
        <v/>
      </c>
      <c r="R29" s="14" t="str">
        <f t="shared" si="15"/>
        <v/>
      </c>
      <c r="S29" s="14" t="str">
        <f t="shared" si="16"/>
        <v/>
      </c>
      <c r="T29" s="14" t="str">
        <f t="shared" si="17"/>
        <v>kko</v>
      </c>
      <c r="U29" s="14" t="str">
        <f t="shared" si="18"/>
        <v>kkkko</v>
      </c>
      <c r="V29" s="13">
        <f>IFERROR(VLOOKUP(LEFT(AZ29,2),BASE!$C$96:$E$342,3,0),IFERROR(VLOOKUP(LEFT(AZ29,1),BASE!$C$96:$E$342,3,0),100))</f>
        <v>100</v>
      </c>
      <c r="W29" s="13">
        <f>IFERROR(VLOOKUP(LEFT(BA29,2),BASE!$C$96:$E$342,3,0),IFERROR(VLOOKUP(LEFT(BA29,1),BASE!$C$96:$E$342,3,0),100))</f>
        <v>100</v>
      </c>
      <c r="X29" s="13">
        <f>IFERROR(VLOOKUP(LEFT(BB29,2),BASE!$C$96:$E$342,3,0),IFERROR(VLOOKUP(LEFT(BB29,1),BASE!$C$96:$E$342,3,0),100))</f>
        <v>100</v>
      </c>
      <c r="Y29" s="13">
        <f>IFERROR(VLOOKUP(LEFT(BC29,2),BASE!$C$96:$E$342,3,0),IFERROR(VLOOKUP(LEFT(BC29,1),BASE!$C$96:$E$342,3,0),100))</f>
        <v>100</v>
      </c>
      <c r="Z29" s="13">
        <f>IFERROR(VLOOKUP(LEFT(BD29,2),BASE!$C$96:$E$342,3,0),IFERROR(VLOOKUP(LEFT(BD29,1),BASE!$C$96:$E$342,3,0),100))</f>
        <v>100</v>
      </c>
      <c r="AA29" s="13">
        <f>IFERROR(VLOOKUP(LEFT(BE29,2),BASE!$C$96:$E$342,3,0),IFERROR(VLOOKUP(LEFT(BE29,1),BASE!$C$96:$E$342,3,0),100))</f>
        <v>2</v>
      </c>
      <c r="AB29" s="13">
        <f>IFERROR(VLOOKUP(LEFT(BF29,2),BASE!$C$96:$E$342,3,0),IFERROR(VLOOKUP(LEFT(BF29,1),BASE!$C$96:$E$342,3,0),100))</f>
        <v>2</v>
      </c>
      <c r="AC29" s="13">
        <f>IFERROR(VLOOKUP(LEFT(BG29,2),BASE!$C$96:$E$342,3,0),IFERROR(VLOOKUP(LEFT(BG29,1),BASE!$C$96:$E$342,3,0),100))</f>
        <v>2</v>
      </c>
      <c r="AD29" s="13">
        <f>IFERROR(VLOOKUP(LEFT(BH29,2),BASE!$C$96:$E$342,3,0),IFERROR(VLOOKUP(LEFT(BH29,1),BASE!$C$96:$E$342,3,0),100))</f>
        <v>2</v>
      </c>
      <c r="AE29" s="13">
        <f>IFERROR(VLOOKUP(LEFT(BI29,2),BASE!$C$96:$E$342,3,0),IFERROR(VLOOKUP(LEFT(BI29,1),BASE!$C$96:$E$342,3,0),100))</f>
        <v>1</v>
      </c>
      <c r="AF29" s="187" t="str">
        <f>IF(AND(BS29=BR29,AG29="o"),"A", (IFERROR(VLOOKUP(LEFT(AZ29,2),BASE!$C$346:$D$592,2,0),IFERROR(VLOOKUP(LEFT(AZ29,1),BASE!$C$346:$D$5922,2,0),AZ29))))</f>
        <v/>
      </c>
      <c r="AG29" s="187" t="str">
        <f>IF(AND(BR29=BQ29,AH29="o"),"A", (IFERROR(VLOOKUP(LEFT(BA29,2),BASE!$C$346:$D$592,2,0),IFERROR(VLOOKUP(LEFT(BA29,1),BASE!$C$346:$D$592,2,0),BA29))))</f>
        <v/>
      </c>
      <c r="AH29" s="187" t="str">
        <f>IF(AND(BQ29=BP29,AI29="o"),"A", (IFERROR(VLOOKUP(LEFT(BB29,2),BASE!$C$346:$D$592,2,0),IFERROR(VLOOKUP(LEFT(BB29,1),BASE!$C$346:$D$592,2,0),BB29))))</f>
        <v/>
      </c>
      <c r="AI29" s="187" t="str">
        <f>IF(AND(BP29=BO29,AJ29="o"),"A", (IFERROR(VLOOKUP(LEFT(BC29,2),BASE!$C$346:$D$592,2,0),IFERROR(VLOOKUP(LEFT(BC29,1),BASE!$C$346:$D$592,2,0),BC29))))</f>
        <v/>
      </c>
      <c r="AJ29" s="187" t="str">
        <f>IF(AND(BO29=BN29,AK29="o"),"A", (IFERROR(VLOOKUP(LEFT(BD29,2),BASE!$C$346:$D$592,2,0),IFERROR(VLOOKUP(LEFT(BD29,1),BASE!$C$346:$D$592,2,0),BD29))))</f>
        <v/>
      </c>
      <c r="AK29" s="187" t="str">
        <f>IF(AND(BN29=BM29,AL29="o"),"A", (IFERROR(VLOOKUP(LEFT(BE29,2),BASE!$C$346:$D$592,2,0),IFERROR(VLOOKUP(LEFT(BE29,1),BASE!$C$346:$D$592,2,0),BE29))))</f>
        <v>o</v>
      </c>
      <c r="AL29" s="187" t="str">
        <f>IF(AND(BM29=BL29,AM29="o"),"A", (IFERROR(VLOOKUP(LEFT(BF29,2),BASE!$C$346:$D$592,2,0),IFERROR(VLOOKUP(LEFT(BF29,1),BASE!$C$346:$D$592,2,0),BF29))))</f>
        <v>k</v>
      </c>
      <c r="AM29" s="187" t="str">
        <f>IF(AND(BL29=BK29,AN29="o"),"A",(IFERROR(VLOOKUP(LEFT(BG29,2),BASE!$C$346:$D$592,2,0),IFERROR(VLOOKUP(LEFT(BG29,1),BASE!$C$346:$D$592,2,0),BG29))))</f>
        <v>k</v>
      </c>
      <c r="AN29" s="187" t="str">
        <f>(IFERROR(VLOOKUP(LEFT(BH29,2),BASE!$C$346:$D$592,2,0),IFERROR(VLOOKUP(LEFT(BH29,1),BASE!$C$346:$D$592,2,0),BH29)))</f>
        <v>k</v>
      </c>
      <c r="AO29" s="187" t="str">
        <f>(IFERROR(VLOOKUP(LEFT(BI29,2),BASE!$C$96:$D$342,2,0),IFERROR(VLOOKUP(LEFT(BI29,1),BASE!$C$96:$D$342,2,0),BI29)))</f>
        <v>k</v>
      </c>
      <c r="AP29" s="5">
        <f t="shared" si="19"/>
        <v>9</v>
      </c>
      <c r="AQ29" s="5">
        <f t="shared" si="20"/>
        <v>9</v>
      </c>
      <c r="AR29" s="5">
        <f t="shared" si="21"/>
        <v>9</v>
      </c>
      <c r="AS29" s="5">
        <f t="shared" si="22"/>
        <v>9</v>
      </c>
      <c r="AT29" s="5">
        <f t="shared" si="23"/>
        <v>9</v>
      </c>
      <c r="AU29" s="5">
        <f t="shared" si="24"/>
        <v>9</v>
      </c>
      <c r="AV29" s="5">
        <f t="shared" si="25"/>
        <v>9</v>
      </c>
      <c r="AW29" s="5">
        <f t="shared" si="26"/>
        <v>9</v>
      </c>
      <c r="AX29" s="5">
        <f t="shared" si="27"/>
        <v>9</v>
      </c>
      <c r="AY29" s="5">
        <f t="shared" si="28"/>
        <v>9</v>
      </c>
      <c r="AZ29" s="12" t="str">
        <f t="shared" si="29"/>
        <v/>
      </c>
      <c r="BA29" s="12" t="str">
        <f t="shared" si="30"/>
        <v/>
      </c>
      <c r="BB29" s="12" t="str">
        <f t="shared" si="31"/>
        <v/>
      </c>
      <c r="BC29" s="12" t="str">
        <f t="shared" si="32"/>
        <v/>
      </c>
      <c r="BD29" s="12" t="str">
        <f t="shared" si="33"/>
        <v/>
      </c>
      <c r="BE29" s="12" t="str">
        <f t="shared" si="34"/>
        <v>ப்</v>
      </c>
      <c r="BF29" s="12" t="str">
        <f t="shared" si="35"/>
        <v>கைப்</v>
      </c>
      <c r="BG29" s="12" t="str">
        <f t="shared" si="36"/>
        <v>மைகைப்</v>
      </c>
      <c r="BH29" s="43" t="str">
        <f t="shared" si="37"/>
        <v>டிமைகைப்</v>
      </c>
      <c r="BI29" s="57" t="str">
        <f>CD12</f>
        <v>அடிமைகைப்</v>
      </c>
      <c r="BJ29" s="58" t="str">
        <f>IFERROR(VLOOKUP(LEFT(BI29,2),BASE!$C$96:$F$342,1,0),IFERROR(VLOOKUP(LEFT(BI29,1),BASE!$C$96:$F$342,1,0),BI29))</f>
        <v>அ</v>
      </c>
      <c r="BK29" s="58" t="str">
        <f>IFERROR(VLOOKUP(LEFT(BH29,2),BASE!$C$96:$D$342,1,0),IFERROR(VLOOKUP(LEFT(BH29,1),BASE!$C$96:$D$342,1,0),BH29))</f>
        <v>டி</v>
      </c>
      <c r="BL29" s="58" t="str">
        <f>IFERROR(VLOOKUP(LEFT(BG29,2),BASE!$C$96:$D$342,1,0),IFERROR(VLOOKUP(LEFT(BG29,1),BASE!$C$96:$D$342,1,0),BG29))</f>
        <v>மை</v>
      </c>
      <c r="BM29" s="58" t="str">
        <f>IFERROR(VLOOKUP(LEFT(BF29,2),BASE!$C$96:$D$342,1,0),IFERROR(VLOOKUP(LEFT(BF29,1),BASE!$C$96:$D$342,1,0),BF29))</f>
        <v>கை</v>
      </c>
      <c r="BN29" s="58" t="str">
        <f>IFERROR(VLOOKUP(LEFT(BE29,2),BASE!$C$96:$D$342,1,0),IFERROR(VLOOKUP(LEFT(BE29,1),BASE!$C$96:$D$342,1,0),BE29))</f>
        <v>ப்</v>
      </c>
      <c r="BO29" s="58" t="str">
        <f>IFERROR(VLOOKUP(LEFT(BD29,2),BASE!$C$96:$D$342,1,0),IFERROR(VLOOKUP(LEFT(BD29,1),BASE!$C$96:$D$342,1,0),BD29))</f>
        <v/>
      </c>
      <c r="BP29" s="58" t="str">
        <f>IFERROR(VLOOKUP(LEFT(BC29,2),BASE!$C$96:$D$342,1,0),IFERROR(VLOOKUP(LEFT(BC29,1),BASE!$C$96:$D$342,1,0),BC29))</f>
        <v/>
      </c>
      <c r="BQ29" s="58" t="str">
        <f>IFERROR(VLOOKUP(LEFT(BB29,2),BASE!$C$96:$D$342,1,0),IFERROR(VLOOKUP(LEFT(BB29,1),BASE!$C$96:$D$342,1,0),BB29))</f>
        <v/>
      </c>
      <c r="BR29" s="58" t="str">
        <f>IFERROR(VLOOKUP(LEFT(BA29,2),BASE!$C$96:$D$342,1,0),IFERROR(VLOOKUP(LEFT(BA29,1),BASE!$C$96:$D$342,1,0),BA29))</f>
        <v/>
      </c>
      <c r="BS29" s="58" t="str">
        <f>IFERROR(VLOOKUP(LEFT(AZ29,2),BASE!$C$96:$D$342,1,0),IFERROR(VLOOKUP(LEFT(AZ29,1),BASE!$C$96:$D$342,1,0),AZ29))</f>
        <v/>
      </c>
      <c r="BT29" s="186" t="str">
        <f>(IFERROR(VLOOKUP(LEFT(BI29,2),BASE!$C$96:$F$342,4,0),IFERROR(VLOOKUP(LEFT(BI29,1),BASE!$C$96:$F$342,4,0),BI29)))</f>
        <v>கு</v>
      </c>
      <c r="BU29" s="186" t="str">
        <f>(IFERROR(VLOOKUP(LEFT(BH29,2),BASE!$C$346:$F$592,4,0),IFERROR(VLOOKUP(LEFT(BH29,1),BASE!$C$346:$F$592,4,0),BH29)))</f>
        <v>கு</v>
      </c>
      <c r="BV29" s="186" t="str">
        <f>(IFERROR(VLOOKUP(LEFT(BG29,2),BASE!$C$346:$F$592,4,0),IFERROR(VLOOKUP(LEFT(BG29,1),BASE!$C$346:$F$592,4,0),BG29)))</f>
        <v>கு</v>
      </c>
      <c r="BW29" s="186" t="str">
        <f>(IFERROR(VLOOKUP(LEFT(BF29,2),BASE!$C$346:$F$592,4,0),IFERROR(VLOOKUP(LEFT(BF29,1),BASE!$C$346:$F$592,4,0),BF29)))</f>
        <v>கு</v>
      </c>
      <c r="BX29" s="186" t="str">
        <f>(IFERROR(VLOOKUP(LEFT(BE29,2),BASE!$C$346:$F$592,4,0),IFERROR(VLOOKUP(LEFT(BE29,1),BASE!$C$346:$F$592,4,0),BE29)))</f>
        <v>ஒ</v>
      </c>
      <c r="BY29" s="186" t="str">
        <f>(IFERROR(VLOOKUP(LEFT(BD29,2),BASE!$C$346:$F$592,4,0),IFERROR(VLOOKUP(LEFT(BD29,1),BASE!$C$346:$F$592,4,0),BD29)))</f>
        <v/>
      </c>
      <c r="BZ29" s="186" t="str">
        <f>(IFERROR(VLOOKUP(LEFT(BC29,2),BASE!$C$346:$F$592,4,0),IFERROR(VLOOKUP(LEFT(BC29,1),BASE!$C$346:$F$592,4,0),BC29)))</f>
        <v/>
      </c>
      <c r="CA29" s="186" t="str">
        <f>(IFERROR(VLOOKUP(LEFT(BB29,2),BASE!$C$346:$F$592,4,0),IFERROR(VLOOKUP(LEFT(BB29,1),BASE!$C$346:$F$592,4,0),BB29)))</f>
        <v/>
      </c>
      <c r="CB29" s="186" t="str">
        <f>(IFERROR(VLOOKUP(LEFT(BA29,2),BASE!$C$346:$F$592,4,0),IFERROR(VLOOKUP(LEFT(BA29,1),BASE!$C$346:$F$592,4,0),BA29)))</f>
        <v/>
      </c>
      <c r="CC29" s="186" t="str">
        <f>(IFERROR(VLOOKUP(LEFT(AZ29,2),BASE!$C$346:$F$592,4,0),IFERROR(VLOOKUP(LEFT(AZ29,1),BASE!$C$346:$F$592,4,0),AZ29)))</f>
        <v/>
      </c>
      <c r="CD29" s="58" t="str">
        <f t="shared" si="38"/>
        <v>குகுகுகுஒ</v>
      </c>
      <c r="CE29" s="58" t="str">
        <f>IFERROR(VLOOKUP((LEFT(U29,4)),BASE!$E$12:$F$23,2,0),IFERROR(VLOOKUP((LEFT(U29,3)),BASE!$E$12:$F$23,2,0),IFERROR(VLOOKUP((LEFT(U29,2)),BASE!$E$12:$F$23,2,0),IFERROR(VLOOKUP((LEFT(U29,1)),BASE!$E$12:$F$23,2,0),U29))))</f>
        <v>நிரை</v>
      </c>
      <c r="CF29" s="58" t="str">
        <f>IFERROR(VLOOKUP((LEFT(T29,4)),BASE!$E$12:$F$24,2,0),IFERROR(VLOOKUP((LEFT(T29,3)),BASE!$E$12:$F$24,2,0),IFERROR(VLOOKUP((LEFT(T29,2)),BASE!$E$12:$F$24,2,0),IFERROR(VLOOKUP((LEFT(T29,1)),BASE!$E$12:$F$24,2,0),T29))))</f>
        <v>நிரை</v>
      </c>
      <c r="CG29" s="58" t="str">
        <f>IFERROR(VLOOKUP((LEFT(S29,4)),BASE!$E$12:$F$23,2,0),IFERROR(VLOOKUP((LEFT(S29,3)),BASE!$E$12:$F$23,2,0),IFERROR(VLOOKUP((LEFT(S29,2)),BASE!$E$12:$F$23,2,0),IFERROR(VLOOKUP((LEFT(S29,1)),BASE!$E$12:$F$23,2,0),S29))))</f>
        <v/>
      </c>
      <c r="CH29" s="58" t="str">
        <f>IFERROR(VLOOKUP((LEFT(R29,4)),BASE!$E$12:$F$23,2,0),IFERROR(VLOOKUP((LEFT(R29,3)),BASE!$E$12:$F$23,2,0),IFERROR(VLOOKUP((LEFT(R29,2)),BASE!$E$12:$F$23,2,0),IFERROR(VLOOKUP((LEFT(R29,1)),BASE!$E$12:$F$23,2,0),R29))))</f>
        <v/>
      </c>
      <c r="CI29" s="58" t="str">
        <f>IFERROR(VLOOKUP((LEFT(Q29,4)),BASE!$E$12:$F$23,2,0),IFERROR(VLOOKUP((LEFT(Q29,3)),BASE!$E$12:$F$23,2,0),IFERROR(VLOOKUP((LEFT(Q29,2)),BASE!$E$12:$F$23,2,0),IFERROR(VLOOKUP((LEFT(Q29,1)),BASE!$E$12:$F$23,2,0),Q29))))</f>
        <v/>
      </c>
      <c r="CJ29" s="58" t="str">
        <f>IFERROR(VLOOKUP((LEFT(P29,4)),BASE!$E$12:$F$23,2,0),IFERROR(VLOOKUP((LEFT(P29,3)),BASE!$E$12:$F$23,2,0),IFERROR(VLOOKUP((LEFT(P29,2)),BASE!$E$12:$F$23,2,0),IFERROR(VLOOKUP((LEFT(P29,1)),BASE!$E$12:$F$23,2,0),P29))))</f>
        <v/>
      </c>
      <c r="CK29" s="58" t="str">
        <f>IFERROR(VLOOKUP((LEFT(O29,4)),BASE!$E$12:$F$23,2,0),IFERROR(VLOOKUP((LEFT(O29,3)),BASE!$E$12:$F$23,2,0),IFERROR(VLOOKUP((LEFT(O29,2)),BASE!$E$12:$F$23,2,0),IFERROR(VLOOKUP((LEFT(O29,1)),BASE!$E$12:$F$23,2,0),O29))))</f>
        <v/>
      </c>
      <c r="CL29" s="58" t="str">
        <f>IFERROR(VLOOKUP((LEFT(N29,4)),BASE!$E$12:$F$23,2,0),IFERROR(VLOOKUP((LEFT(N29,3)),BASE!$E$12:$F$23,2,0),IFERROR(VLOOKUP((LEFT(N29,2)),BASE!$E$12:$F$23,2,0),IFERROR(VLOOKUP((LEFT(N29,1)),BASE!$E$12:$F$23,2,0),N29))))</f>
        <v/>
      </c>
      <c r="CM29" s="58" t="str">
        <f>IFERROR(VLOOKUP((LEFT(M29,4)),BASE!$E$12:$F$23,2,0),IFERROR(VLOOKUP((LEFT(M29,3)),BASE!$E$12:$F$23,2,0),IFERROR(VLOOKUP((LEFT(M29,2)),BASE!$E$12:$F$23,2,0),IFERROR(VLOOKUP((LEFT(M29,1)),BASE!$E$12:$F$23,2,0),M29))))</f>
        <v/>
      </c>
      <c r="CN29" s="58" t="str">
        <f>IFERROR(VLOOKUP((LEFT(L29,4)),BASE!$E$12:$F$23,2,0),IFERROR(VLOOKUP((LEFT(L29,3)),BASE!$E$12:$F$23,2,0),IFERROR(VLOOKUP((LEFT(L29,2)),BASE!$E$12:$F$23,2,0),IFERROR(VLOOKUP((LEFT(L29,1)),BASE!$E$12:$F$23,2,0),L29))))</f>
        <v/>
      </c>
      <c r="CO29" s="58" t="str">
        <f t="shared" si="39"/>
        <v>நிரைநிரை</v>
      </c>
      <c r="CP29" s="58" t="str">
        <f>VLOOKUP(CO29,BASE!$E$25:$F$79,2,0)</f>
        <v>கருவிளம்</v>
      </c>
      <c r="CQ29" s="58" t="str">
        <f>VLOOKUP(CO29,BASE!$E$25:$G$79,3,0)&amp;CE30</f>
        <v>விளம்நேர்</v>
      </c>
      <c r="CR29" s="58" t="str">
        <f>VLOOKUP(CQ29,BASE!$E$86:$G$93,2,0)</f>
        <v>விளமுன் நேர்</v>
      </c>
      <c r="CS29" s="58" t="str">
        <f>VLOOKUP(CQ29,BASE!$E$86:$G$93,3,0)</f>
        <v>இயற்சீர் வெண்டளை</v>
      </c>
      <c r="CT29" s="58" t="str">
        <f t="shared" si="40"/>
        <v>மூவசைக்கு மிகவில்லை</v>
      </c>
      <c r="CU29" s="58" t="str">
        <f t="shared" si="41"/>
        <v>சரி</v>
      </c>
      <c r="CV29" s="193"/>
    </row>
    <row r="30" spans="1:100" ht="19.5" customHeight="1" x14ac:dyDescent="0.35">
      <c r="A30" s="119"/>
      <c r="B30" s="12">
        <f>IFERROR(VLOOKUP((LEFT(L30,4)),BASE!$E$12:$F$23,1,0),IFERROR(VLOOKUP((LEFT(L30,3)),BASE!$E$12:$F$23,1,0),IFERROR(VLOOKUP((LEFT(L30,2)),BASE!$E$12:$F$23,1,0),IFERROR(VLOOKUP((LEFT(L30,1)),BASE!$E$12:$F$23,1,0),100))))</f>
        <v>100</v>
      </c>
      <c r="C30" s="12">
        <f>IFERROR(VLOOKUP((LEFT(M30,4)),BASE!$E$12:$F$23,1,0),IFERROR(VLOOKUP((LEFT(M30,3)),BASE!$E$12:$F$23,1,0),IFERROR(VLOOKUP((LEFT(M30,2)),BASE!$E$12:$F$23,1,0),IFERROR(VLOOKUP((LEFT(M30,1)),BASE!$E$12:$F$23,1,0),100))))</f>
        <v>100</v>
      </c>
      <c r="D30" s="12">
        <f>IFERROR(VLOOKUP((LEFT(N30,4)),BASE!$E$12:$F$23,1,0),IFERROR(VLOOKUP((LEFT(N30,3)),BASE!$E$12:$F$23,1,0),IFERROR(VLOOKUP((LEFT(N30,2)),BASE!$E$12:$F$23,1,0),IFERROR(VLOOKUP((LEFT(N30,1)),BASE!$E$12:$F$23,1,0),100))))</f>
        <v>100</v>
      </c>
      <c r="E30" s="12">
        <f>IFERROR(VLOOKUP((LEFT(O30,4)),BASE!$E$12:$F$23,1,0),IFERROR(VLOOKUP((LEFT(O30,3)),BASE!$E$12:$F$23,1,0),IFERROR(VLOOKUP((LEFT(O30,2)),BASE!$E$12:$F$23,1,0),IFERROR(VLOOKUP((LEFT(O30,1)),BASE!$E$12:$F$23,1,0),100))))</f>
        <v>100</v>
      </c>
      <c r="F30" s="12">
        <f>IFERROR(VLOOKUP((LEFT(P30,4)),BASE!$E$12:$F$23,1,0),IFERROR(VLOOKUP((LEFT(P30,3)),BASE!$E$12:$F$23,1,0),IFERROR(VLOOKUP((LEFT(P30,2)),BASE!$E$12:$F$23,1,0),IFERROR(VLOOKUP((LEFT(P30,1)),BASE!$E$12:$F$23,1,0),100))))</f>
        <v>100</v>
      </c>
      <c r="G30" s="12">
        <f>IFERROR(VLOOKUP((LEFT(Q30,4)),BASE!$E$12:$F$23,1,0),IFERROR(VLOOKUP((LEFT(Q30,3)),BASE!$E$12:$F$23,1,0),IFERROR(VLOOKUP((LEFT(Q30,2)),BASE!$E$12:$F$23,1,0),IFERROR(VLOOKUP((LEFT(Q30,1)),BASE!$E$12:$F$23,1,0),100))))</f>
        <v>100</v>
      </c>
      <c r="H30" s="12">
        <f>IFERROR(VLOOKUP((LEFT(R30,4)),BASE!$E$12:$F$23,1,0),IFERROR(VLOOKUP((LEFT(R30,3)),BASE!$E$12:$F$23,1,0),IFERROR(VLOOKUP((LEFT(R30,2)),BASE!$E$12:$F$23,1,0),IFERROR(VLOOKUP((LEFT(R30,1)),BASE!$E$12:$F$23,1,0),100))))</f>
        <v>100</v>
      </c>
      <c r="I30" s="12">
        <f>IFERROR(VLOOKUP((LEFT(S30,4)),BASE!$E$12:$F$23,1,0),IFERROR(VLOOKUP((LEFT(S30,3)),BASE!$E$12:$F$23,1,0),IFERROR(VLOOKUP((LEFT(S30,2)),BASE!$E$12:$F$23,1,0),IFERROR(VLOOKUP((LEFT(S30,1)),BASE!$E$12:$F$23,1,0),100))))</f>
        <v>100</v>
      </c>
      <c r="J30" s="12" t="str">
        <f>IFERROR(VLOOKUP((LEFT(T30,4)),BASE!$E$12:$F$24,1,0),IFERROR(VLOOKUP((LEFT(T30,3)),BASE!$E$12:$F$24,1,0),IFERROR(VLOOKUP((LEFT(T30,2)),BASE!$E$12:$F$24,1,0),IFERROR(VLOOKUP((LEFT(T30,1)),BASE!$E$12:$F$24,1,0),100))))</f>
        <v>no</v>
      </c>
      <c r="K30" s="12" t="str">
        <f>IFERROR(VLOOKUP((LEFT(U30,4)),BASE!$E$12:$F$23,1,0),IFERROR(VLOOKUP((LEFT(U30,3)),BASE!$E$12:$F$23,1,0),IFERROR(VLOOKUP((LEFT(U30,2)),BASE!$E$12:$F$23,1,0),IFERROR(VLOOKUP((LEFT(U30,1)),BASE!$E$12:$F$23,1,0),100))))</f>
        <v>ko</v>
      </c>
      <c r="L30" s="14" t="str">
        <f t="shared" si="9"/>
        <v/>
      </c>
      <c r="M30" s="14" t="str">
        <f t="shared" si="10"/>
        <v/>
      </c>
      <c r="N30" s="14" t="str">
        <f t="shared" si="11"/>
        <v/>
      </c>
      <c r="O30" s="14" t="str">
        <f t="shared" si="12"/>
        <v/>
      </c>
      <c r="P30" s="14" t="str">
        <f t="shared" si="13"/>
        <v/>
      </c>
      <c r="Q30" s="14" t="str">
        <f t="shared" si="14"/>
        <v/>
      </c>
      <c r="R30" s="14" t="str">
        <f t="shared" si="15"/>
        <v/>
      </c>
      <c r="S30" s="14" t="str">
        <f t="shared" si="16"/>
        <v/>
      </c>
      <c r="T30" s="14" t="str">
        <f t="shared" si="17"/>
        <v>no</v>
      </c>
      <c r="U30" s="14" t="str">
        <f t="shared" si="18"/>
        <v>kono</v>
      </c>
      <c r="V30" s="13">
        <f>IFERROR(VLOOKUP(LEFT(AZ30,2),BASE!$C$96:$E$342,3,0),IFERROR(VLOOKUP(LEFT(AZ30,1),BASE!$C$96:$E$342,3,0),100))</f>
        <v>100</v>
      </c>
      <c r="W30" s="13">
        <f>IFERROR(VLOOKUP(LEFT(BA30,2),BASE!$C$96:$E$342,3,0),IFERROR(VLOOKUP(LEFT(BA30,1),BASE!$C$96:$E$342,3,0),100))</f>
        <v>100</v>
      </c>
      <c r="X30" s="13">
        <f>IFERROR(VLOOKUP(LEFT(BB30,2),BASE!$C$96:$E$342,3,0),IFERROR(VLOOKUP(LEFT(BB30,1),BASE!$C$96:$E$342,3,0),100))</f>
        <v>100</v>
      </c>
      <c r="Y30" s="13">
        <f>IFERROR(VLOOKUP(LEFT(BC30,2),BASE!$C$96:$E$342,3,0),IFERROR(VLOOKUP(LEFT(BC30,1),BASE!$C$96:$E$342,3,0),100))</f>
        <v>100</v>
      </c>
      <c r="Z30" s="13">
        <f>IFERROR(VLOOKUP(LEFT(BD30,2),BASE!$C$96:$E$342,3,0),IFERROR(VLOOKUP(LEFT(BD30,1),BASE!$C$96:$E$342,3,0),100))</f>
        <v>100</v>
      </c>
      <c r="AA30" s="13">
        <f>IFERROR(VLOOKUP(LEFT(BE30,2),BASE!$C$96:$E$342,3,0),IFERROR(VLOOKUP(LEFT(BE30,1),BASE!$C$96:$E$342,3,0),100))</f>
        <v>100</v>
      </c>
      <c r="AB30" s="13">
        <f>IFERROR(VLOOKUP(LEFT(BF30,2),BASE!$C$96:$E$342,3,0),IFERROR(VLOOKUP(LEFT(BF30,1),BASE!$C$96:$E$342,3,0),100))</f>
        <v>2</v>
      </c>
      <c r="AC30" s="13">
        <f>IFERROR(VLOOKUP(LEFT(BG30,2),BASE!$C$96:$E$342,3,0),IFERROR(VLOOKUP(LEFT(BG30,1),BASE!$C$96:$E$342,3,0),100))</f>
        <v>2</v>
      </c>
      <c r="AD30" s="13">
        <f>IFERROR(VLOOKUP(LEFT(BH30,2),BASE!$C$96:$E$342,3,0),IFERROR(VLOOKUP(LEFT(BH30,1),BASE!$C$96:$E$342,3,0),100))</f>
        <v>2</v>
      </c>
      <c r="AE30" s="13">
        <f>IFERROR(VLOOKUP(LEFT(BI30,2),BASE!$C$96:$E$342,3,0),IFERROR(VLOOKUP(LEFT(BI30,1),BASE!$C$96:$E$342,3,0),100))</f>
        <v>2</v>
      </c>
      <c r="AF30" s="187" t="str">
        <f>IF(AND(BS30=BR30,AG30="o"),"A", (IFERROR(VLOOKUP(LEFT(AZ30,2),BASE!$C$346:$D$592,2,0),IFERROR(VLOOKUP(LEFT(AZ30,1),BASE!$C$346:$D$5922,2,0),AZ30))))</f>
        <v/>
      </c>
      <c r="AG30" s="187" t="str">
        <f>IF(AND(BR30=BQ30,AH30="o"),"A", (IFERROR(VLOOKUP(LEFT(BA30,2),BASE!$C$346:$D$592,2,0),IFERROR(VLOOKUP(LEFT(BA30,1),BASE!$C$346:$D$592,2,0),BA30))))</f>
        <v/>
      </c>
      <c r="AH30" s="187" t="str">
        <f>IF(AND(BQ30=BP30,AI30="o"),"A", (IFERROR(VLOOKUP(LEFT(BB30,2),BASE!$C$346:$D$592,2,0),IFERROR(VLOOKUP(LEFT(BB30,1),BASE!$C$346:$D$592,2,0),BB30))))</f>
        <v/>
      </c>
      <c r="AI30" s="187" t="str">
        <f>IF(AND(BP30=BO30,AJ30="o"),"A", (IFERROR(VLOOKUP(LEFT(BC30,2),BASE!$C$346:$D$592,2,0),IFERROR(VLOOKUP(LEFT(BC30,1),BASE!$C$346:$D$592,2,0),BC30))))</f>
        <v/>
      </c>
      <c r="AJ30" s="187" t="str">
        <f>IF(AND(BO30=BN30,AK30="o"),"A", (IFERROR(VLOOKUP(LEFT(BD30,2),BASE!$C$346:$D$592,2,0),IFERROR(VLOOKUP(LEFT(BD30,1),BASE!$C$346:$D$592,2,0),BD30))))</f>
        <v/>
      </c>
      <c r="AK30" s="187" t="str">
        <f>IF(AND(BN30=BM30,AL30="o"),"A", (IFERROR(VLOOKUP(LEFT(BE30,2),BASE!$C$346:$D$592,2,0),IFERROR(VLOOKUP(LEFT(BE30,1),BASE!$C$346:$D$592,2,0),BE30))))</f>
        <v/>
      </c>
      <c r="AL30" s="187" t="str">
        <f>IF(AND(BM30=BL30,AM30="o"),"A", (IFERROR(VLOOKUP(LEFT(BF30,2),BASE!$C$346:$D$592,2,0),IFERROR(VLOOKUP(LEFT(BF30,1),BASE!$C$346:$D$592,2,0),BF30))))</f>
        <v>o</v>
      </c>
      <c r="AM30" s="187" t="str">
        <f>IF(AND(BL30=BK30,AN30="o"),"A",(IFERROR(VLOOKUP(LEFT(BG30,2),BASE!$C$346:$D$592,2,0),IFERROR(VLOOKUP(LEFT(BG30,1),BASE!$C$346:$D$592,2,0),BG30))))</f>
        <v>n</v>
      </c>
      <c r="AN30" s="187" t="str">
        <f>(IFERROR(VLOOKUP(LEFT(BH30,2),BASE!$C$346:$D$592,2,0),IFERROR(VLOOKUP(LEFT(BH30,1),BASE!$C$346:$D$592,2,0),BH30)))</f>
        <v>o</v>
      </c>
      <c r="AO30" s="187" t="str">
        <f>(IFERROR(VLOOKUP(LEFT(BI30,2),BASE!$C$96:$D$342,2,0),IFERROR(VLOOKUP(LEFT(BI30,1),BASE!$C$96:$D$342,2,0),BI30)))</f>
        <v>k</v>
      </c>
      <c r="AP30" s="5">
        <f t="shared" si="19"/>
        <v>8</v>
      </c>
      <c r="AQ30" s="5">
        <f t="shared" si="20"/>
        <v>8</v>
      </c>
      <c r="AR30" s="5">
        <f t="shared" si="21"/>
        <v>8</v>
      </c>
      <c r="AS30" s="5">
        <f t="shared" si="22"/>
        <v>8</v>
      </c>
      <c r="AT30" s="5">
        <f t="shared" si="23"/>
        <v>8</v>
      </c>
      <c r="AU30" s="5">
        <f t="shared" si="24"/>
        <v>8</v>
      </c>
      <c r="AV30" s="5">
        <f t="shared" si="25"/>
        <v>8</v>
      </c>
      <c r="AW30" s="5">
        <f t="shared" si="26"/>
        <v>8</v>
      </c>
      <c r="AX30" s="5">
        <f t="shared" si="27"/>
        <v>8</v>
      </c>
      <c r="AY30" s="5">
        <f t="shared" si="28"/>
        <v>8</v>
      </c>
      <c r="AZ30" s="12" t="str">
        <f t="shared" si="29"/>
        <v/>
      </c>
      <c r="BA30" s="12" t="str">
        <f t="shared" si="30"/>
        <v/>
      </c>
      <c r="BB30" s="12" t="str">
        <f t="shared" si="31"/>
        <v/>
      </c>
      <c r="BC30" s="12" t="str">
        <f t="shared" si="32"/>
        <v/>
      </c>
      <c r="BD30" s="12" t="str">
        <f t="shared" si="33"/>
        <v/>
      </c>
      <c r="BE30" s="12" t="str">
        <f t="shared" si="34"/>
        <v/>
      </c>
      <c r="BF30" s="12" t="str">
        <f t="shared" si="35"/>
        <v>ன்</v>
      </c>
      <c r="BG30" s="12" t="str">
        <f t="shared" si="36"/>
        <v>றேன்</v>
      </c>
      <c r="BH30" s="43" t="str">
        <f t="shared" si="37"/>
        <v>ற்றேன்</v>
      </c>
      <c r="BI30" s="57" t="str">
        <f>CE12</f>
        <v>பெற்றேன்</v>
      </c>
      <c r="BJ30" s="58" t="str">
        <f>IFERROR(VLOOKUP(LEFT(BI30,2),BASE!$C$96:$F$342,1,0),IFERROR(VLOOKUP(LEFT(BI30,1),BASE!$C$96:$F$342,1,0),BI30))</f>
        <v>பெ</v>
      </c>
      <c r="BK30" s="58" t="str">
        <f>IFERROR(VLOOKUP(LEFT(BH30,2),BASE!$C$96:$D$342,1,0),IFERROR(VLOOKUP(LEFT(BH30,1),BASE!$C$96:$D$342,1,0),BH30))</f>
        <v>ற்</v>
      </c>
      <c r="BL30" s="58" t="str">
        <f>IFERROR(VLOOKUP(LEFT(BG30,2),BASE!$C$96:$D$342,1,0),IFERROR(VLOOKUP(LEFT(BG30,1),BASE!$C$96:$D$342,1,0),BG30))</f>
        <v>றே</v>
      </c>
      <c r="BM30" s="58" t="str">
        <f>IFERROR(VLOOKUP(LEFT(BF30,2),BASE!$C$96:$D$342,1,0),IFERROR(VLOOKUP(LEFT(BF30,1),BASE!$C$96:$D$342,1,0),BF30))</f>
        <v>ன்</v>
      </c>
      <c r="BN30" s="58" t="str">
        <f>IFERROR(VLOOKUP(LEFT(BE30,2),BASE!$C$96:$D$342,1,0),IFERROR(VLOOKUP(LEFT(BE30,1),BASE!$C$96:$D$342,1,0),BE30))</f>
        <v/>
      </c>
      <c r="BO30" s="58" t="str">
        <f>IFERROR(VLOOKUP(LEFT(BD30,2),BASE!$C$96:$D$342,1,0),IFERROR(VLOOKUP(LEFT(BD30,1),BASE!$C$96:$D$342,1,0),BD30))</f>
        <v/>
      </c>
      <c r="BP30" s="58" t="str">
        <f>IFERROR(VLOOKUP(LEFT(BC30,2),BASE!$C$96:$D$342,1,0),IFERROR(VLOOKUP(LEFT(BC30,1),BASE!$C$96:$D$342,1,0),BC30))</f>
        <v/>
      </c>
      <c r="BQ30" s="58" t="str">
        <f>IFERROR(VLOOKUP(LEFT(BB30,2),BASE!$C$96:$D$342,1,0),IFERROR(VLOOKUP(LEFT(BB30,1),BASE!$C$96:$D$342,1,0),BB30))</f>
        <v/>
      </c>
      <c r="BR30" s="58" t="str">
        <f>IFERROR(VLOOKUP(LEFT(BA30,2),BASE!$C$96:$D$342,1,0),IFERROR(VLOOKUP(LEFT(BA30,1),BASE!$C$96:$D$342,1,0),BA30))</f>
        <v/>
      </c>
      <c r="BS30" s="58" t="str">
        <f>IFERROR(VLOOKUP(LEFT(AZ30,2),BASE!$C$96:$D$342,1,0),IFERROR(VLOOKUP(LEFT(AZ30,1),BASE!$C$96:$D$342,1,0),AZ30))</f>
        <v/>
      </c>
      <c r="BT30" s="186" t="str">
        <f>(IFERROR(VLOOKUP(LEFT(BI30,2),BASE!$C$96:$F$342,4,0),IFERROR(VLOOKUP(LEFT(BI30,1),BASE!$C$96:$F$342,4,0),BI30)))</f>
        <v>கு</v>
      </c>
      <c r="BU30" s="186" t="str">
        <f>(IFERROR(VLOOKUP(LEFT(BH30,2),BASE!$C$346:$F$592,4,0),IFERROR(VLOOKUP(LEFT(BH30,1),BASE!$C$346:$F$592,4,0),BH30)))</f>
        <v>ஒ</v>
      </c>
      <c r="BV30" s="186" t="str">
        <f>(IFERROR(VLOOKUP(LEFT(BG30,2),BASE!$C$346:$F$592,4,0),IFERROR(VLOOKUP(LEFT(BG30,1),BASE!$C$346:$F$592,4,0),BG30)))</f>
        <v>நெ</v>
      </c>
      <c r="BW30" s="186" t="str">
        <f>(IFERROR(VLOOKUP(LEFT(BF30,2),BASE!$C$346:$F$592,4,0),IFERROR(VLOOKUP(LEFT(BF30,1),BASE!$C$346:$F$592,4,0),BF30)))</f>
        <v>ஒ</v>
      </c>
      <c r="BX30" s="186" t="str">
        <f>(IFERROR(VLOOKUP(LEFT(BE30,2),BASE!$C$346:$F$592,4,0),IFERROR(VLOOKUP(LEFT(BE30,1),BASE!$C$346:$F$592,4,0),BE30)))</f>
        <v/>
      </c>
      <c r="BY30" s="186" t="str">
        <f>(IFERROR(VLOOKUP(LEFT(BD30,2),BASE!$C$346:$F$592,4,0),IFERROR(VLOOKUP(LEFT(BD30,1),BASE!$C$346:$F$592,4,0),BD30)))</f>
        <v/>
      </c>
      <c r="BZ30" s="186" t="str">
        <f>(IFERROR(VLOOKUP(LEFT(BC30,2),BASE!$C$346:$F$592,4,0),IFERROR(VLOOKUP(LEFT(BC30,1),BASE!$C$346:$F$592,4,0),BC30)))</f>
        <v/>
      </c>
      <c r="CA30" s="186" t="str">
        <f>(IFERROR(VLOOKUP(LEFT(BB30,2),BASE!$C$346:$F$592,4,0),IFERROR(VLOOKUP(LEFT(BB30,1),BASE!$C$346:$F$592,4,0),BB30)))</f>
        <v/>
      </c>
      <c r="CB30" s="186" t="str">
        <f>(IFERROR(VLOOKUP(LEFT(BA30,2),BASE!$C$346:$F$592,4,0),IFERROR(VLOOKUP(LEFT(BA30,1),BASE!$C$346:$F$592,4,0),BA30)))</f>
        <v/>
      </c>
      <c r="CC30" s="186" t="str">
        <f>(IFERROR(VLOOKUP(LEFT(AZ30,2),BASE!$C$346:$F$592,4,0),IFERROR(VLOOKUP(LEFT(AZ30,1),BASE!$C$346:$F$592,4,0),AZ30)))</f>
        <v/>
      </c>
      <c r="CD30" s="58" t="str">
        <f t="shared" si="38"/>
        <v>குஒநெஒ</v>
      </c>
      <c r="CE30" s="58" t="str">
        <f>IFERROR(VLOOKUP((LEFT(U30,4)),BASE!$E$12:$F$23,2,0),IFERROR(VLOOKUP((LEFT(U30,3)),BASE!$E$12:$F$23,2,0),IFERROR(VLOOKUP((LEFT(U30,2)),BASE!$E$12:$F$23,2,0),IFERROR(VLOOKUP((LEFT(U30,1)),BASE!$E$12:$F$23,2,0),U30))))</f>
        <v>நேர்</v>
      </c>
      <c r="CF30" s="58" t="str">
        <f>IFERROR(VLOOKUP((LEFT(T30,4)),BASE!$E$12:$F$24,2,0),IFERROR(VLOOKUP((LEFT(T30,3)),BASE!$E$12:$F$24,2,0),IFERROR(VLOOKUP((LEFT(T30,2)),BASE!$E$12:$F$24,2,0),IFERROR(VLOOKUP((LEFT(T30,1)),BASE!$E$12:$F$24,2,0),T30))))</f>
        <v>நேர்</v>
      </c>
      <c r="CG30" s="58" t="str">
        <f>IFERROR(VLOOKUP((LEFT(S30,4)),BASE!$E$12:$F$23,2,0),IFERROR(VLOOKUP((LEFT(S30,3)),BASE!$E$12:$F$23,2,0),IFERROR(VLOOKUP((LEFT(S30,2)),BASE!$E$12:$F$23,2,0),IFERROR(VLOOKUP((LEFT(S30,1)),BASE!$E$12:$F$23,2,0),S30))))</f>
        <v/>
      </c>
      <c r="CH30" s="58" t="str">
        <f>IFERROR(VLOOKUP((LEFT(R30,4)),BASE!$E$12:$F$23,2,0),IFERROR(VLOOKUP((LEFT(R30,3)),BASE!$E$12:$F$23,2,0),IFERROR(VLOOKUP((LEFT(R30,2)),BASE!$E$12:$F$23,2,0),IFERROR(VLOOKUP((LEFT(R30,1)),BASE!$E$12:$F$23,2,0),R30))))</f>
        <v/>
      </c>
      <c r="CI30" s="58" t="str">
        <f>IFERROR(VLOOKUP((LEFT(Q30,4)),BASE!$E$12:$F$23,2,0),IFERROR(VLOOKUP((LEFT(Q30,3)),BASE!$E$12:$F$23,2,0),IFERROR(VLOOKUP((LEFT(Q30,2)),BASE!$E$12:$F$23,2,0),IFERROR(VLOOKUP((LEFT(Q30,1)),BASE!$E$12:$F$23,2,0),Q30))))</f>
        <v/>
      </c>
      <c r="CJ30" s="58" t="str">
        <f>IFERROR(VLOOKUP((LEFT(P30,4)),BASE!$E$12:$F$23,2,0),IFERROR(VLOOKUP((LEFT(P30,3)),BASE!$E$12:$F$23,2,0),IFERROR(VLOOKUP((LEFT(P30,2)),BASE!$E$12:$F$23,2,0),IFERROR(VLOOKUP((LEFT(P30,1)),BASE!$E$12:$F$23,2,0),P30))))</f>
        <v/>
      </c>
      <c r="CK30" s="58" t="str">
        <f>IFERROR(VLOOKUP((LEFT(O30,4)),BASE!$E$12:$F$23,2,0),IFERROR(VLOOKUP((LEFT(O30,3)),BASE!$E$12:$F$23,2,0),IFERROR(VLOOKUP((LEFT(O30,2)),BASE!$E$12:$F$23,2,0),IFERROR(VLOOKUP((LEFT(O30,1)),BASE!$E$12:$F$23,2,0),O30))))</f>
        <v/>
      </c>
      <c r="CL30" s="58" t="str">
        <f>IFERROR(VLOOKUP((LEFT(N30,4)),BASE!$E$12:$F$23,2,0),IFERROR(VLOOKUP((LEFT(N30,3)),BASE!$E$12:$F$23,2,0),IFERROR(VLOOKUP((LEFT(N30,2)),BASE!$E$12:$F$23,2,0),IFERROR(VLOOKUP((LEFT(N30,1)),BASE!$E$12:$F$23,2,0),N30))))</f>
        <v/>
      </c>
      <c r="CM30" s="58" t="str">
        <f>IFERROR(VLOOKUP((LEFT(M30,4)),BASE!$E$12:$F$23,2,0),IFERROR(VLOOKUP((LEFT(M30,3)),BASE!$E$12:$F$23,2,0),IFERROR(VLOOKUP((LEFT(M30,2)),BASE!$E$12:$F$23,2,0),IFERROR(VLOOKUP((LEFT(M30,1)),BASE!$E$12:$F$23,2,0),M30))))</f>
        <v/>
      </c>
      <c r="CN30" s="58" t="str">
        <f>IFERROR(VLOOKUP((LEFT(L30,4)),BASE!$E$12:$F$23,2,0),IFERROR(VLOOKUP((LEFT(L30,3)),BASE!$E$12:$F$23,2,0),IFERROR(VLOOKUP((LEFT(L30,2)),BASE!$E$12:$F$23,2,0),IFERROR(VLOOKUP((LEFT(L30,1)),BASE!$E$12:$F$23,2,0),L30))))</f>
        <v/>
      </c>
      <c r="CO30" s="58" t="str">
        <f t="shared" si="39"/>
        <v>நேர்நேர்</v>
      </c>
      <c r="CP30" s="58" t="str">
        <f>VLOOKUP(CO30,BASE!$E$25:$F$79,2,0)</f>
        <v>தேமா</v>
      </c>
      <c r="CQ30" s="58" t="str">
        <f>VLOOKUP(CO30,BASE!$E$25:$G$79,3,0)&amp;CE31</f>
        <v>மாநிரை</v>
      </c>
      <c r="CR30" s="58" t="str">
        <f>VLOOKUP(CQ30,BASE!$E$86:$G$93,2,0)</f>
        <v>மாமுன் நிரை</v>
      </c>
      <c r="CS30" s="58" t="str">
        <f>VLOOKUP(CQ30,BASE!$E$86:$G$93,3,0)</f>
        <v>இயற்சீர் வெண்டளை</v>
      </c>
      <c r="CT30" s="58" t="str">
        <f t="shared" si="40"/>
        <v>மூவசைக்கு மிகவில்லை</v>
      </c>
      <c r="CU30" s="58" t="str">
        <f t="shared" si="41"/>
        <v>சரி</v>
      </c>
      <c r="CV30" s="193"/>
    </row>
    <row r="31" spans="1:100" ht="19.5" customHeight="1" x14ac:dyDescent="0.35">
      <c r="A31" s="119"/>
      <c r="B31" s="12">
        <f>IFERROR(VLOOKUP((LEFT(L31,4)),BASE!$E$12:$F$23,1,0),IFERROR(VLOOKUP((LEFT(L31,3)),BASE!$E$12:$F$23,1,0),IFERROR(VLOOKUP((LEFT(L31,2)),BASE!$E$12:$F$23,1,0),IFERROR(VLOOKUP((LEFT(L31,1)),BASE!$E$12:$F$23,1,0),100))))</f>
        <v>100</v>
      </c>
      <c r="C31" s="12">
        <f>IFERROR(VLOOKUP((LEFT(M31,4)),BASE!$E$12:$F$23,1,0),IFERROR(VLOOKUP((LEFT(M31,3)),BASE!$E$12:$F$23,1,0),IFERROR(VLOOKUP((LEFT(M31,2)),BASE!$E$12:$F$23,1,0),IFERROR(VLOOKUP((LEFT(M31,1)),BASE!$E$12:$F$23,1,0),100))))</f>
        <v>100</v>
      </c>
      <c r="D31" s="12">
        <f>IFERROR(VLOOKUP((LEFT(N31,4)),BASE!$E$12:$F$23,1,0),IFERROR(VLOOKUP((LEFT(N31,3)),BASE!$E$12:$F$23,1,0),IFERROR(VLOOKUP((LEFT(N31,2)),BASE!$E$12:$F$23,1,0),IFERROR(VLOOKUP((LEFT(N31,1)),BASE!$E$12:$F$23,1,0),100))))</f>
        <v>100</v>
      </c>
      <c r="E31" s="12">
        <f>IFERROR(VLOOKUP((LEFT(O31,4)),BASE!$E$12:$F$23,1,0),IFERROR(VLOOKUP((LEFT(O31,3)),BASE!$E$12:$F$23,1,0),IFERROR(VLOOKUP((LEFT(O31,2)),BASE!$E$12:$F$23,1,0),IFERROR(VLOOKUP((LEFT(O31,1)),BASE!$E$12:$F$23,1,0),100))))</f>
        <v>100</v>
      </c>
      <c r="F31" s="12">
        <f>IFERROR(VLOOKUP((LEFT(P31,4)),BASE!$E$12:$F$23,1,0),IFERROR(VLOOKUP((LEFT(P31,3)),BASE!$E$12:$F$23,1,0),IFERROR(VLOOKUP((LEFT(P31,2)),BASE!$E$12:$F$23,1,0),IFERROR(VLOOKUP((LEFT(P31,1)),BASE!$E$12:$F$23,1,0),100))))</f>
        <v>100</v>
      </c>
      <c r="G31" s="12">
        <f>IFERROR(VLOOKUP((LEFT(Q31,4)),BASE!$E$12:$F$23,1,0),IFERROR(VLOOKUP((LEFT(Q31,3)),BASE!$E$12:$F$23,1,0),IFERROR(VLOOKUP((LEFT(Q31,2)),BASE!$E$12:$F$23,1,0),IFERROR(VLOOKUP((LEFT(Q31,1)),BASE!$E$12:$F$23,1,0),100))))</f>
        <v>100</v>
      </c>
      <c r="H31" s="12">
        <f>IFERROR(VLOOKUP((LEFT(R31,4)),BASE!$E$12:$F$23,1,0),IFERROR(VLOOKUP((LEFT(R31,3)),BASE!$E$12:$F$23,1,0),IFERROR(VLOOKUP((LEFT(R31,2)),BASE!$E$12:$F$23,1,0),IFERROR(VLOOKUP((LEFT(R31,1)),BASE!$E$12:$F$23,1,0),100))))</f>
        <v>100</v>
      </c>
      <c r="I31" s="12">
        <f>IFERROR(VLOOKUP((LEFT(S31,4)),BASE!$E$12:$F$23,1,0),IFERROR(VLOOKUP((LEFT(S31,3)),BASE!$E$12:$F$23,1,0),IFERROR(VLOOKUP((LEFT(S31,2)),BASE!$E$12:$F$23,1,0),IFERROR(VLOOKUP((LEFT(S31,1)),BASE!$E$12:$F$23,1,0),100))))</f>
        <v>100</v>
      </c>
      <c r="J31" s="12" t="str">
        <f>IFERROR(VLOOKUP((LEFT(T31,4)),BASE!$E$12:$F$24,1,0),IFERROR(VLOOKUP((LEFT(T31,3)),BASE!$E$12:$F$24,1,0),IFERROR(VLOOKUP((LEFT(T31,2)),BASE!$E$12:$F$24,1,0),IFERROR(VLOOKUP((LEFT(T31,1)),BASE!$E$12:$F$24,1,0),100))))</f>
        <v>k</v>
      </c>
      <c r="K31" s="12" t="str">
        <f>IFERROR(VLOOKUP((LEFT(U31,4)),BASE!$E$12:$F$23,1,0),IFERROR(VLOOKUP((LEFT(U31,3)),BASE!$E$12:$F$23,1,0),IFERROR(VLOOKUP((LEFT(U31,2)),BASE!$E$12:$F$23,1,0),IFERROR(VLOOKUP((LEFT(U31,1)),BASE!$E$12:$F$23,1,0),100))))</f>
        <v>kko</v>
      </c>
      <c r="L31" s="14" t="str">
        <f t="shared" si="9"/>
        <v/>
      </c>
      <c r="M31" s="14" t="str">
        <f t="shared" si="9"/>
        <v/>
      </c>
      <c r="N31" s="14" t="str">
        <f t="shared" si="9"/>
        <v/>
      </c>
      <c r="O31" s="14" t="str">
        <f t="shared" si="9"/>
        <v/>
      </c>
      <c r="P31" s="14" t="str">
        <f t="shared" si="9"/>
        <v/>
      </c>
      <c r="Q31" s="14" t="str">
        <f t="shared" si="9"/>
        <v/>
      </c>
      <c r="R31" s="14" t="str">
        <f t="shared" si="9"/>
        <v/>
      </c>
      <c r="S31" s="14" t="str">
        <f t="shared" si="9"/>
        <v/>
      </c>
      <c r="T31" s="14" t="str">
        <f t="shared" si="9"/>
        <v>k</v>
      </c>
      <c r="U31" s="14" t="str">
        <f t="shared" si="18"/>
        <v>kkok</v>
      </c>
      <c r="V31" s="13">
        <f>IFERROR(VLOOKUP(LEFT(AZ31,2),BASE!$C$96:$E$342,3,0),IFERROR(VLOOKUP(LEFT(AZ31,1),BASE!$C$96:$E$342,3,0),100))</f>
        <v>100</v>
      </c>
      <c r="W31" s="13">
        <f>IFERROR(VLOOKUP(LEFT(BA31,2),BASE!$C$96:$E$342,3,0),IFERROR(VLOOKUP(LEFT(BA31,1),BASE!$C$96:$E$342,3,0),100))</f>
        <v>100</v>
      </c>
      <c r="X31" s="13">
        <f>IFERROR(VLOOKUP(LEFT(BB31,2),BASE!$C$96:$E$342,3,0),IFERROR(VLOOKUP(LEFT(BB31,1),BASE!$C$96:$E$342,3,0),100))</f>
        <v>100</v>
      </c>
      <c r="Y31" s="13">
        <f>IFERROR(VLOOKUP(LEFT(BC31,2),BASE!$C$96:$E$342,3,0),IFERROR(VLOOKUP(LEFT(BC31,1),BASE!$C$96:$E$342,3,0),100))</f>
        <v>100</v>
      </c>
      <c r="Z31" s="13">
        <f>IFERROR(VLOOKUP(LEFT(BD31,2),BASE!$C$96:$E$342,3,0),IFERROR(VLOOKUP(LEFT(BD31,1),BASE!$C$96:$E$342,3,0),100))</f>
        <v>100</v>
      </c>
      <c r="AA31" s="13">
        <f>IFERROR(VLOOKUP(LEFT(BE31,2),BASE!$C$96:$E$342,3,0),IFERROR(VLOOKUP(LEFT(BE31,1),BASE!$C$96:$E$342,3,0),100))</f>
        <v>100</v>
      </c>
      <c r="AB31" s="13">
        <f>IFERROR(VLOOKUP(LEFT(BF31,2),BASE!$C$96:$E$342,3,0),IFERROR(VLOOKUP(LEFT(BF31,1),BASE!$C$96:$E$342,3,0),100))</f>
        <v>2</v>
      </c>
      <c r="AC31" s="13">
        <f>IFERROR(VLOOKUP(LEFT(BG31,2),BASE!$C$96:$E$342,3,0),IFERROR(VLOOKUP(LEFT(BG31,1),BASE!$C$96:$E$342,3,0),100))</f>
        <v>2</v>
      </c>
      <c r="AD31" s="13">
        <f>IFERROR(VLOOKUP(LEFT(BH31,2),BASE!$C$96:$E$342,3,0),IFERROR(VLOOKUP(LEFT(BH31,1),BASE!$C$96:$E$342,3,0),100))</f>
        <v>2</v>
      </c>
      <c r="AE31" s="13">
        <f>IFERROR(VLOOKUP(LEFT(BI31,2),BASE!$C$96:$E$342,3,0),IFERROR(VLOOKUP(LEFT(BI31,1),BASE!$C$96:$E$342,3,0),100))</f>
        <v>1</v>
      </c>
      <c r="AF31" s="187" t="str">
        <f>IF(AND(BS31=BR31,AG31="o"),"A", (IFERROR(VLOOKUP(LEFT(AZ31,2),BASE!$C$346:$D$592,2,0),IFERROR(VLOOKUP(LEFT(AZ31,1),BASE!$C$346:$D$5922,2,0),AZ31))))</f>
        <v/>
      </c>
      <c r="AG31" s="187" t="str">
        <f>IF(AND(BR31=BQ31,AH31="o"),"A", (IFERROR(VLOOKUP(LEFT(BA31,2),BASE!$C$346:$D$592,2,0),IFERROR(VLOOKUP(LEFT(BA31,1),BASE!$C$346:$D$592,2,0),BA31))))</f>
        <v/>
      </c>
      <c r="AH31" s="187" t="str">
        <f>IF(AND(BQ31=BP31,AI31="o"),"A", (IFERROR(VLOOKUP(LEFT(BB31,2),BASE!$C$346:$D$592,2,0),IFERROR(VLOOKUP(LEFT(BB31,1),BASE!$C$346:$D$592,2,0),BB31))))</f>
        <v/>
      </c>
      <c r="AI31" s="187" t="str">
        <f>IF(AND(BP31=BO31,AJ31="o"),"A", (IFERROR(VLOOKUP(LEFT(BC31,2),BASE!$C$346:$D$592,2,0),IFERROR(VLOOKUP(LEFT(BC31,1),BASE!$C$346:$D$592,2,0),BC31))))</f>
        <v/>
      </c>
      <c r="AJ31" s="187" t="str">
        <f>IF(AND(BO31=BN31,AK31="o"),"A", (IFERROR(VLOOKUP(LEFT(BD31,2),BASE!$C$346:$D$592,2,0),IFERROR(VLOOKUP(LEFT(BD31,1),BASE!$C$346:$D$592,2,0),BD31))))</f>
        <v/>
      </c>
      <c r="AK31" s="187" t="str">
        <f>IF(AND(BN31=BM31,AL31="o"),"A", (IFERROR(VLOOKUP(LEFT(BE31,2),BASE!$C$346:$D$592,2,0),IFERROR(VLOOKUP(LEFT(BE31,1),BASE!$C$346:$D$592,2,0),BE31))))</f>
        <v/>
      </c>
      <c r="AL31" s="187" t="str">
        <f>IF(AND(BM31=BL31,AM31="o"),"A", (IFERROR(VLOOKUP(LEFT(BF31,2),BASE!$C$346:$D$592,2,0),IFERROR(VLOOKUP(LEFT(BF31,1),BASE!$C$346:$D$592,2,0),BF31))))</f>
        <v>k</v>
      </c>
      <c r="AM31" s="187" t="str">
        <f>IF(AND(BL31=BK31,AN31="o"),"A",(IFERROR(VLOOKUP(LEFT(BG31,2),BASE!$C$346:$D$592,2,0),IFERROR(VLOOKUP(LEFT(BG31,1),BASE!$C$346:$D$592,2,0),BG31))))</f>
        <v>o</v>
      </c>
      <c r="AN31" s="187" t="str">
        <f>(IFERROR(VLOOKUP(LEFT(BH31,2),BASE!$C$346:$D$592,2,0),IFERROR(VLOOKUP(LEFT(BH31,1),BASE!$C$346:$D$592,2,0),BH31)))</f>
        <v>k</v>
      </c>
      <c r="AO31" s="187" t="str">
        <f>(IFERROR(VLOOKUP(LEFT(BI31,2),BASE!$C$96:$D$342,2,0),IFERROR(VLOOKUP(LEFT(BI31,1),BASE!$C$96:$D$342,2,0),BI31)))</f>
        <v>k</v>
      </c>
      <c r="AP31" s="5">
        <f t="shared" si="19"/>
        <v>7</v>
      </c>
      <c r="AQ31" s="5">
        <f t="shared" si="19"/>
        <v>7</v>
      </c>
      <c r="AR31" s="5">
        <f t="shared" si="19"/>
        <v>7</v>
      </c>
      <c r="AS31" s="5">
        <f t="shared" si="19"/>
        <v>7</v>
      </c>
      <c r="AT31" s="5">
        <f t="shared" si="19"/>
        <v>7</v>
      </c>
      <c r="AU31" s="5">
        <f t="shared" si="19"/>
        <v>7</v>
      </c>
      <c r="AV31" s="5">
        <f t="shared" si="19"/>
        <v>7</v>
      </c>
      <c r="AW31" s="5">
        <f t="shared" si="19"/>
        <v>7</v>
      </c>
      <c r="AX31" s="5">
        <f t="shared" si="19"/>
        <v>7</v>
      </c>
      <c r="AY31" s="5">
        <f t="shared" si="28"/>
        <v>7</v>
      </c>
      <c r="AZ31" s="12" t="str">
        <f t="shared" si="29"/>
        <v/>
      </c>
      <c r="BA31" s="12" t="str">
        <f t="shared" si="29"/>
        <v/>
      </c>
      <c r="BB31" s="12" t="str">
        <f t="shared" si="29"/>
        <v/>
      </c>
      <c r="BC31" s="12" t="str">
        <f t="shared" si="29"/>
        <v/>
      </c>
      <c r="BD31" s="12" t="str">
        <f t="shared" si="29"/>
        <v/>
      </c>
      <c r="BE31" s="12" t="str">
        <f t="shared" si="29"/>
        <v/>
      </c>
      <c r="BF31" s="12" t="str">
        <f t="shared" si="29"/>
        <v>து</v>
      </c>
      <c r="BG31" s="12" t="str">
        <f t="shared" si="29"/>
        <v>ந்து</v>
      </c>
      <c r="BH31" s="43" t="str">
        <f t="shared" si="29"/>
        <v>றிந்து</v>
      </c>
      <c r="BI31" s="57" t="str">
        <f>CF12</f>
        <v>அறிந்து</v>
      </c>
      <c r="BJ31" s="58" t="str">
        <f>IFERROR(VLOOKUP(LEFT(BI31,2),BASE!$C$96:$F$342,1,0),IFERROR(VLOOKUP(LEFT(BI31,1),BASE!$C$96:$F$342,1,0),BI31))</f>
        <v>அ</v>
      </c>
      <c r="BK31" s="58" t="str">
        <f>IFERROR(VLOOKUP(LEFT(BH31,2),BASE!$C$96:$D$342,1,0),IFERROR(VLOOKUP(LEFT(BH31,1),BASE!$C$96:$D$342,1,0),BH31))</f>
        <v>றி</v>
      </c>
      <c r="BL31" s="58" t="str">
        <f>IFERROR(VLOOKUP(LEFT(BG31,2),BASE!$C$96:$D$342,1,0),IFERROR(VLOOKUP(LEFT(BG31,1),BASE!$C$96:$D$342,1,0),BG31))</f>
        <v>ந்</v>
      </c>
      <c r="BM31" s="58" t="str">
        <f>IFERROR(VLOOKUP(LEFT(BF31,2),BASE!$C$96:$D$342,1,0),IFERROR(VLOOKUP(LEFT(BF31,1),BASE!$C$96:$D$342,1,0),BF31))</f>
        <v>து</v>
      </c>
      <c r="BN31" s="58" t="str">
        <f>IFERROR(VLOOKUP(LEFT(BE31,2),BASE!$C$96:$D$342,1,0),IFERROR(VLOOKUP(LEFT(BE31,1),BASE!$C$96:$D$342,1,0),BE31))</f>
        <v/>
      </c>
      <c r="BO31" s="58" t="str">
        <f>IFERROR(VLOOKUP(LEFT(BD31,2),BASE!$C$96:$D$342,1,0),IFERROR(VLOOKUP(LEFT(BD31,1),BASE!$C$96:$D$342,1,0),BD31))</f>
        <v/>
      </c>
      <c r="BP31" s="58" t="str">
        <f>IFERROR(VLOOKUP(LEFT(BC31,2),BASE!$C$96:$D$342,1,0),IFERROR(VLOOKUP(LEFT(BC31,1),BASE!$C$96:$D$342,1,0),BC31))</f>
        <v/>
      </c>
      <c r="BQ31" s="58" t="str">
        <f>IFERROR(VLOOKUP(LEFT(BB31,2),BASE!$C$96:$D$342,1,0),IFERROR(VLOOKUP(LEFT(BB31,1),BASE!$C$96:$D$342,1,0),BB31))</f>
        <v/>
      </c>
      <c r="BR31" s="58" t="str">
        <f>IFERROR(VLOOKUP(LEFT(BA31,2),BASE!$C$96:$D$342,1,0),IFERROR(VLOOKUP(LEFT(BA31,1),BASE!$C$96:$D$342,1,0),BA31))</f>
        <v/>
      </c>
      <c r="BS31" s="58" t="str">
        <f>IFERROR(VLOOKUP(LEFT(AZ31,2),BASE!$C$96:$D$342,1,0),IFERROR(VLOOKUP(LEFT(AZ31,1),BASE!$C$96:$D$342,1,0),AZ31))</f>
        <v/>
      </c>
      <c r="BT31" s="186" t="str">
        <f>(IFERROR(VLOOKUP(LEFT(BI31,2),BASE!$C$96:$F$342,4,0),IFERROR(VLOOKUP(LEFT(BI31,1),BASE!$C$96:$F$342,4,0),BI31)))</f>
        <v>கு</v>
      </c>
      <c r="BU31" s="186" t="str">
        <f>(IFERROR(VLOOKUP(LEFT(BH31,2),BASE!$C$346:$F$592,4,0),IFERROR(VLOOKUP(LEFT(BH31,1),BASE!$C$346:$F$592,4,0),BH31)))</f>
        <v>கு</v>
      </c>
      <c r="BV31" s="186" t="str">
        <f>(IFERROR(VLOOKUP(LEFT(BG31,2),BASE!$C$346:$F$592,4,0),IFERROR(VLOOKUP(LEFT(BG31,1),BASE!$C$346:$F$592,4,0),BG31)))</f>
        <v>ஒ</v>
      </c>
      <c r="BW31" s="186" t="str">
        <f>(IFERROR(VLOOKUP(LEFT(BF31,2),BASE!$C$346:$F$592,4,0),IFERROR(VLOOKUP(LEFT(BF31,1),BASE!$C$346:$F$592,4,0),BF31)))</f>
        <v>கு</v>
      </c>
      <c r="BX31" s="186" t="str">
        <f>(IFERROR(VLOOKUP(LEFT(BE31,2),BASE!$C$346:$F$592,4,0),IFERROR(VLOOKUP(LEFT(BE31,1),BASE!$C$346:$F$592,4,0),BE31)))</f>
        <v/>
      </c>
      <c r="BY31" s="186" t="str">
        <f>(IFERROR(VLOOKUP(LEFT(BD31,2),BASE!$C$346:$F$592,4,0),IFERROR(VLOOKUP(LEFT(BD31,1),BASE!$C$346:$F$592,4,0),BD31)))</f>
        <v/>
      </c>
      <c r="BZ31" s="186" t="str">
        <f>(IFERROR(VLOOKUP(LEFT(BC31,2),BASE!$C$346:$F$592,4,0),IFERROR(VLOOKUP(LEFT(BC31,1),BASE!$C$346:$F$592,4,0),BC31)))</f>
        <v/>
      </c>
      <c r="CA31" s="186" t="str">
        <f>(IFERROR(VLOOKUP(LEFT(BB31,2),BASE!$C$346:$F$592,4,0),IFERROR(VLOOKUP(LEFT(BB31,1),BASE!$C$346:$F$592,4,0),BB31)))</f>
        <v/>
      </c>
      <c r="CB31" s="186" t="str">
        <f>(IFERROR(VLOOKUP(LEFT(BA31,2),BASE!$C$346:$F$592,4,0),IFERROR(VLOOKUP(LEFT(BA31,1),BASE!$C$346:$F$592,4,0),BA31)))</f>
        <v/>
      </c>
      <c r="CC31" s="186" t="str">
        <f>(IFERROR(VLOOKUP(LEFT(AZ31,2),BASE!$C$346:$F$592,4,0),IFERROR(VLOOKUP(LEFT(AZ31,1),BASE!$C$346:$F$592,4,0),AZ31)))</f>
        <v/>
      </c>
      <c r="CD31" s="58" t="str">
        <f t="shared" si="38"/>
        <v>குகுஒகு</v>
      </c>
      <c r="CE31" s="58" t="str">
        <f>IFERROR(VLOOKUP((LEFT(U31,4)),BASE!$E$12:$F$23,2,0),IFERROR(VLOOKUP((LEFT(U31,3)),BASE!$E$12:$F$23,2,0),IFERROR(VLOOKUP((LEFT(U31,2)),BASE!$E$12:$F$23,2,0),IFERROR(VLOOKUP((LEFT(U31,1)),BASE!$E$12:$F$23,2,0),U31))))</f>
        <v>நிரை</v>
      </c>
      <c r="CF31" s="58" t="str">
        <f>IFERROR(VLOOKUP((LEFT(T31,4)),BASE!$E$12:$F$24,2,0),IFERROR(VLOOKUP((LEFT(T31,3)),BASE!$E$12:$F$24,2,0),IFERROR(VLOOKUP((LEFT(T31,2)),BASE!$E$12:$F$24,2,0),IFERROR(VLOOKUP((LEFT(T31,1)),BASE!$E$12:$F$24,2,0),T31))))</f>
        <v>நேர்</v>
      </c>
      <c r="CG31" s="58" t="str">
        <f>IFERROR(VLOOKUP((LEFT(S31,4)),BASE!$E$12:$F$23,2,0),IFERROR(VLOOKUP((LEFT(S31,3)),BASE!$E$12:$F$23,2,0),IFERROR(VLOOKUP((LEFT(S31,2)),BASE!$E$12:$F$23,2,0),IFERROR(VLOOKUP((LEFT(S31,1)),BASE!$E$12:$F$23,2,0),S31))))</f>
        <v/>
      </c>
      <c r="CH31" s="58" t="str">
        <f>IFERROR(VLOOKUP((LEFT(R31,4)),BASE!$E$12:$F$23,2,0),IFERROR(VLOOKUP((LEFT(R31,3)),BASE!$E$12:$F$23,2,0),IFERROR(VLOOKUP((LEFT(R31,2)),BASE!$E$12:$F$23,2,0),IFERROR(VLOOKUP((LEFT(R31,1)),BASE!$E$12:$F$23,2,0),R31))))</f>
        <v/>
      </c>
      <c r="CI31" s="58" t="str">
        <f>IFERROR(VLOOKUP((LEFT(Q31,4)),BASE!$E$12:$F$23,2,0),IFERROR(VLOOKUP((LEFT(Q31,3)),BASE!$E$12:$F$23,2,0),IFERROR(VLOOKUP((LEFT(Q31,2)),BASE!$E$12:$F$23,2,0),IFERROR(VLOOKUP((LEFT(Q31,1)),BASE!$E$12:$F$23,2,0),Q31))))</f>
        <v/>
      </c>
      <c r="CJ31" s="58" t="str">
        <f>IFERROR(VLOOKUP((LEFT(P31,4)),BASE!$E$12:$F$23,2,0),IFERROR(VLOOKUP((LEFT(P31,3)),BASE!$E$12:$F$23,2,0),IFERROR(VLOOKUP((LEFT(P31,2)),BASE!$E$12:$F$23,2,0),IFERROR(VLOOKUP((LEFT(P31,1)),BASE!$E$12:$F$23,2,0),P31))))</f>
        <v/>
      </c>
      <c r="CK31" s="58" t="str">
        <f>IFERROR(VLOOKUP((LEFT(O31,4)),BASE!$E$12:$F$23,2,0),IFERROR(VLOOKUP((LEFT(O31,3)),BASE!$E$12:$F$23,2,0),IFERROR(VLOOKUP((LEFT(O31,2)),BASE!$E$12:$F$23,2,0),IFERROR(VLOOKUP((LEFT(O31,1)),BASE!$E$12:$F$23,2,0),O31))))</f>
        <v/>
      </c>
      <c r="CL31" s="58" t="str">
        <f>IFERROR(VLOOKUP((LEFT(N31,4)),BASE!$E$12:$F$23,2,0),IFERROR(VLOOKUP((LEFT(N31,3)),BASE!$E$12:$F$23,2,0),IFERROR(VLOOKUP((LEFT(N31,2)),BASE!$E$12:$F$23,2,0),IFERROR(VLOOKUP((LEFT(N31,1)),BASE!$E$12:$F$23,2,0),N31))))</f>
        <v/>
      </c>
      <c r="CM31" s="58" t="str">
        <f>IFERROR(VLOOKUP((LEFT(M31,4)),BASE!$E$12:$F$23,2,0),IFERROR(VLOOKUP((LEFT(M31,3)),BASE!$E$12:$F$23,2,0),IFERROR(VLOOKUP((LEFT(M31,2)),BASE!$E$12:$F$23,2,0),IFERROR(VLOOKUP((LEFT(M31,1)),BASE!$E$12:$F$23,2,0),M31))))</f>
        <v/>
      </c>
      <c r="CN31" s="58" t="str">
        <f>IFERROR(VLOOKUP((LEFT(L31,4)),BASE!$E$12:$F$23,2,0),IFERROR(VLOOKUP((LEFT(L31,3)),BASE!$E$12:$F$23,2,0),IFERROR(VLOOKUP((LEFT(L31,2)),BASE!$E$12:$F$23,2,0),IFERROR(VLOOKUP((LEFT(L31,1)),BASE!$E$12:$F$23,2,0),L31))))</f>
        <v/>
      </c>
      <c r="CO31" s="58" t="str">
        <f t="shared" si="39"/>
        <v>நிரைநேர்</v>
      </c>
      <c r="CP31" s="58" t="str">
        <f>VLOOKUP(CO31,BASE!E81:F84,2,0)</f>
        <v>பிறப்பு</v>
      </c>
      <c r="CQ31" s="58"/>
      <c r="CR31" s="58"/>
      <c r="CS31" s="58"/>
      <c r="CT31" s="58" t="str">
        <f>IF((OR(CG31="நிரை",CG31="நேர்")),"இரு அசைகட்கு மிகக்கூடாது","ஈரசைக்கு மிகவில்லை")</f>
        <v>ஈரசைக்கு மிகவில்லை</v>
      </c>
      <c r="CU31" s="58" t="str">
        <f>IFERROR((IF((OR(CP31="நாள்",CP31="மலர்",CP31="காசு",CP31="பிறப்பு")),"சரி","தளை தட்டுகிறது")),"பிழை")</f>
        <v>சரி</v>
      </c>
      <c r="CV31" s="193"/>
    </row>
    <row r="32" spans="1:100" s="82" customFormat="1" ht="19.5" customHeight="1" x14ac:dyDescent="0.35">
      <c r="A32" s="1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12"/>
      <c r="BA32" s="12"/>
      <c r="BB32" s="12"/>
      <c r="BC32" s="12"/>
      <c r="BD32" s="12"/>
      <c r="BE32" s="12"/>
      <c r="BF32" s="12"/>
      <c r="BG32" s="12"/>
      <c r="BH32" s="43"/>
      <c r="BI32" s="48"/>
      <c r="BJ32" s="31"/>
      <c r="BK32" s="31"/>
      <c r="BL32" s="31"/>
      <c r="BM32" s="31"/>
      <c r="BN32" s="31"/>
      <c r="BO32" s="31"/>
      <c r="BP32" s="31"/>
      <c r="BQ32" s="31"/>
      <c r="BR32" s="31"/>
      <c r="BS32" s="31"/>
      <c r="BT32" s="31"/>
      <c r="BU32" s="31"/>
      <c r="BV32" s="31"/>
      <c r="BW32" s="31"/>
      <c r="BX32" s="31"/>
      <c r="BY32" s="31"/>
      <c r="BZ32" s="31"/>
      <c r="CA32" s="31"/>
      <c r="CB32" s="31"/>
      <c r="CC32" s="31"/>
      <c r="CD32" s="31"/>
      <c r="CE32" s="31"/>
      <c r="CF32" s="31"/>
      <c r="CG32" s="31"/>
      <c r="CH32" s="31"/>
      <c r="CI32" s="31"/>
      <c r="CJ32" s="31"/>
      <c r="CK32" s="31"/>
      <c r="CL32" s="31"/>
      <c r="CM32" s="31"/>
      <c r="CN32" s="31"/>
      <c r="CO32" s="31"/>
      <c r="CP32" s="31"/>
      <c r="CQ32" s="31"/>
      <c r="CR32" s="31"/>
      <c r="CS32" s="31"/>
      <c r="CT32" s="31"/>
      <c r="CU32" s="31"/>
      <c r="CV32" s="49"/>
    </row>
    <row r="33" spans="1:100" s="82" customFormat="1" ht="19.5" customHeight="1" x14ac:dyDescent="0.35">
      <c r="A33" s="1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12"/>
      <c r="BA33" s="12"/>
      <c r="BB33" s="12"/>
      <c r="BC33" s="12"/>
      <c r="BD33" s="12"/>
      <c r="BE33" s="12"/>
      <c r="BF33" s="12"/>
      <c r="BG33" s="12"/>
      <c r="BH33" s="43"/>
      <c r="BI33" s="48"/>
      <c r="BJ33" s="31"/>
      <c r="BK33" s="31"/>
      <c r="BL33" s="31"/>
      <c r="BM33" s="31"/>
      <c r="BN33" s="31"/>
      <c r="BO33" s="31"/>
      <c r="BP33" s="31"/>
      <c r="BQ33" s="31"/>
      <c r="BR33" s="31"/>
      <c r="BS33" s="31"/>
      <c r="BT33" s="31"/>
      <c r="BU33" s="31"/>
      <c r="BV33" s="31"/>
      <c r="BW33" s="31"/>
      <c r="BX33" s="31"/>
      <c r="BY33" s="31"/>
      <c r="BZ33" s="31"/>
      <c r="CA33" s="31"/>
      <c r="CB33" s="31"/>
      <c r="CC33" s="31"/>
      <c r="CD33" s="31"/>
      <c r="CE33" s="31"/>
      <c r="CF33" s="31"/>
      <c r="CG33" s="31"/>
      <c r="CH33" s="31"/>
      <c r="CI33" s="31"/>
      <c r="CJ33" s="31"/>
      <c r="CK33" s="31"/>
      <c r="CL33" s="31"/>
      <c r="CM33" s="31"/>
      <c r="CN33" s="31"/>
      <c r="CO33" s="31"/>
      <c r="CP33" s="31"/>
      <c r="CQ33" s="31"/>
      <c r="CR33" s="31"/>
      <c r="CS33" s="31"/>
      <c r="CT33" s="31"/>
      <c r="CU33" s="31"/>
      <c r="CV33" s="49"/>
    </row>
    <row r="34" spans="1:100" s="82" customFormat="1" ht="19.5" customHeight="1" thickBot="1" x14ac:dyDescent="0.4">
      <c r="A34" s="1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12"/>
      <c r="BA34" s="12"/>
      <c r="BB34" s="12"/>
      <c r="BC34" s="12"/>
      <c r="BD34" s="12"/>
      <c r="BE34" s="12"/>
      <c r="BF34" s="12"/>
      <c r="BG34" s="12"/>
      <c r="BH34" s="43"/>
      <c r="BI34" s="54"/>
      <c r="BJ34" s="55"/>
      <c r="BK34" s="55"/>
      <c r="BL34" s="55"/>
      <c r="BM34" s="55"/>
      <c r="BN34" s="55"/>
      <c r="BO34" s="55"/>
      <c r="BP34" s="55"/>
      <c r="BQ34" s="55"/>
      <c r="BR34" s="55"/>
      <c r="BS34" s="55"/>
      <c r="BT34" s="55"/>
      <c r="BU34" s="55"/>
      <c r="BV34" s="55"/>
      <c r="BW34" s="55"/>
      <c r="BX34" s="55"/>
      <c r="BY34" s="55"/>
      <c r="BZ34" s="55"/>
      <c r="CA34" s="55"/>
      <c r="CB34" s="55"/>
      <c r="CC34" s="55"/>
      <c r="CD34" s="55"/>
      <c r="CE34" s="55"/>
      <c r="CF34" s="55"/>
      <c r="CG34" s="55"/>
      <c r="CH34" s="55"/>
      <c r="CI34" s="55"/>
      <c r="CJ34" s="55"/>
      <c r="CK34" s="55"/>
      <c r="CL34" s="55"/>
      <c r="CM34" s="55"/>
      <c r="CN34" s="55"/>
      <c r="CO34" s="55"/>
      <c r="CP34" s="55"/>
      <c r="CQ34" s="55"/>
      <c r="CR34" s="55"/>
      <c r="CS34" s="55"/>
      <c r="CT34" s="55"/>
      <c r="CU34" s="55"/>
      <c r="CV34" s="56"/>
    </row>
    <row r="35" spans="1:100" s="82" customFormat="1" ht="19.5" customHeight="1" x14ac:dyDescent="0.35">
      <c r="B35" s="80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1"/>
    </row>
    <row r="36" spans="1:100" s="82" customFormat="1" ht="19.5" customHeight="1" x14ac:dyDescent="0.35"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</row>
    <row r="37" spans="1:100" s="82" customFormat="1" ht="19.5" customHeight="1" x14ac:dyDescent="0.35">
      <c r="B37" s="80"/>
      <c r="C37" s="80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</row>
    <row r="38" spans="1:100" s="82" customFormat="1" ht="19.5" customHeight="1" x14ac:dyDescent="0.35">
      <c r="B38" s="80"/>
      <c r="C38" s="80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</row>
    <row r="39" spans="1:100" s="82" customFormat="1" ht="19.5" customHeight="1" x14ac:dyDescent="0.35">
      <c r="B39" s="80"/>
      <c r="C39" s="80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</row>
    <row r="40" spans="1:100" s="82" customFormat="1" ht="19.5" customHeight="1" x14ac:dyDescent="0.35">
      <c r="B40" s="80"/>
      <c r="C40" s="80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</row>
    <row r="41" spans="1:100" s="82" customFormat="1" ht="19.5" customHeight="1" x14ac:dyDescent="0.35">
      <c r="B41" s="80"/>
      <c r="C41" s="80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</row>
    <row r="42" spans="1:100" s="82" customFormat="1" ht="19.5" customHeight="1" x14ac:dyDescent="0.35">
      <c r="B42" s="80"/>
      <c r="C42" s="80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  <c r="O42" s="80"/>
      <c r="P42" s="80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</row>
    <row r="43" spans="1:100" s="82" customFormat="1" ht="19.5" customHeight="1" x14ac:dyDescent="0.35"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</row>
    <row r="44" spans="1:100" s="82" customFormat="1" ht="19.5" customHeight="1" x14ac:dyDescent="0.35">
      <c r="B44" s="80"/>
      <c r="C44" s="80"/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</row>
    <row r="45" spans="1:100" s="82" customFormat="1" ht="19.5" customHeight="1" x14ac:dyDescent="0.35">
      <c r="B45" s="80"/>
      <c r="C45" s="80"/>
      <c r="D45" s="80"/>
      <c r="E45" s="80"/>
      <c r="F45" s="80"/>
      <c r="G45" s="80"/>
      <c r="H45" s="80"/>
      <c r="I45" s="80"/>
      <c r="J45" s="80"/>
      <c r="K45" s="80"/>
      <c r="L45" s="80"/>
      <c r="M45" s="80"/>
      <c r="N45" s="80"/>
      <c r="O45" s="80"/>
      <c r="P45" s="80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</row>
    <row r="46" spans="1:100" s="82" customFormat="1" ht="19.5" customHeight="1" x14ac:dyDescent="0.35">
      <c r="B46" s="80"/>
      <c r="C46" s="80"/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</row>
    <row r="47" spans="1:100" s="82" customFormat="1" ht="19.5" customHeight="1" x14ac:dyDescent="0.35">
      <c r="B47" s="80"/>
      <c r="C47" s="80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</row>
    <row r="48" spans="1:100" s="82" customFormat="1" ht="15.75" customHeight="1" x14ac:dyDescent="0.35">
      <c r="B48" s="80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3"/>
    </row>
    <row r="49" spans="60:92" s="82" customFormat="1" ht="29.25" customHeight="1" x14ac:dyDescent="0.35">
      <c r="BH49" s="84"/>
      <c r="BI49" s="85"/>
      <c r="BJ49" s="86"/>
      <c r="BK49" s="86"/>
      <c r="BL49" s="86"/>
      <c r="BM49" s="86"/>
      <c r="BN49" s="84"/>
      <c r="BO49" s="84"/>
      <c r="BP49" s="84"/>
      <c r="BQ49" s="84"/>
      <c r="BR49" s="84"/>
      <c r="BS49" s="84"/>
      <c r="BT49" s="84"/>
      <c r="BU49" s="84"/>
      <c r="BV49" s="84"/>
      <c r="BW49" s="84"/>
      <c r="BX49" s="84"/>
      <c r="BY49" s="84"/>
      <c r="BZ49" s="84"/>
      <c r="CA49" s="84"/>
      <c r="CB49" s="84"/>
      <c r="CC49" s="84"/>
      <c r="CD49" s="84"/>
      <c r="CE49" s="84"/>
      <c r="CF49" s="84"/>
      <c r="CG49" s="84"/>
      <c r="CH49" s="84"/>
      <c r="CI49" s="84"/>
      <c r="CJ49" s="84"/>
      <c r="CK49" s="84"/>
      <c r="CL49" s="84"/>
      <c r="CM49" s="84"/>
      <c r="CN49" s="84"/>
    </row>
    <row r="50" spans="60:92" s="82" customFormat="1" ht="15.75" customHeight="1" x14ac:dyDescent="0.35">
      <c r="BH50" s="84"/>
      <c r="BI50" s="85"/>
      <c r="BJ50" s="86"/>
      <c r="BK50" s="86"/>
      <c r="BL50" s="86"/>
      <c r="BM50" s="86"/>
      <c r="BN50" s="84"/>
      <c r="BO50" s="84"/>
      <c r="BP50" s="84"/>
      <c r="BQ50" s="84"/>
      <c r="BR50" s="84"/>
      <c r="BS50" s="84"/>
      <c r="BT50" s="84"/>
      <c r="BU50" s="84"/>
      <c r="BV50" s="84"/>
      <c r="BW50" s="84"/>
      <c r="BX50" s="84"/>
      <c r="BY50" s="84"/>
      <c r="BZ50" s="84"/>
      <c r="CA50" s="84"/>
      <c r="CB50" s="84"/>
      <c r="CC50" s="84"/>
      <c r="CD50" s="84"/>
      <c r="CE50" s="84"/>
      <c r="CF50" s="84"/>
      <c r="CG50" s="84"/>
      <c r="CH50" s="84"/>
      <c r="CI50" s="84"/>
      <c r="CJ50" s="84"/>
      <c r="CK50" s="84"/>
      <c r="CL50" s="84"/>
      <c r="CM50" s="84"/>
      <c r="CN50" s="84"/>
    </row>
    <row r="51" spans="60:92" s="82" customFormat="1" ht="18" x14ac:dyDescent="0.35">
      <c r="BH51" s="84"/>
      <c r="BI51" s="85"/>
      <c r="BJ51" s="86"/>
      <c r="BK51" s="86"/>
      <c r="BL51" s="86"/>
      <c r="BM51" s="86"/>
      <c r="BN51" s="84"/>
      <c r="BO51" s="84"/>
      <c r="BP51" s="84"/>
      <c r="BQ51" s="84"/>
      <c r="BR51" s="84"/>
      <c r="BS51" s="84"/>
      <c r="BT51" s="84"/>
      <c r="BU51" s="84"/>
      <c r="BV51" s="84"/>
      <c r="BW51" s="84"/>
      <c r="BX51" s="84"/>
      <c r="BY51" s="84"/>
      <c r="BZ51" s="84"/>
      <c r="CA51" s="84"/>
      <c r="CB51" s="84"/>
      <c r="CC51" s="84"/>
      <c r="CD51" s="84"/>
      <c r="CE51" s="84"/>
      <c r="CF51" s="84"/>
      <c r="CG51" s="84"/>
      <c r="CH51" s="84"/>
      <c r="CI51" s="84"/>
      <c r="CJ51" s="84"/>
      <c r="CK51" s="84"/>
      <c r="CL51" s="84"/>
      <c r="CM51" s="84"/>
      <c r="CN51" s="84"/>
    </row>
    <row r="52" spans="60:92" s="82" customFormat="1" ht="18" x14ac:dyDescent="0.35">
      <c r="BH52" s="84"/>
      <c r="BI52" s="85"/>
      <c r="BJ52" s="86"/>
      <c r="BK52" s="86"/>
      <c r="BL52" s="86"/>
      <c r="BM52" s="86"/>
      <c r="BN52" s="84"/>
      <c r="BO52" s="84"/>
      <c r="BP52" s="84"/>
      <c r="BQ52" s="84"/>
      <c r="BR52" s="84"/>
      <c r="BS52" s="84"/>
      <c r="BT52" s="84"/>
      <c r="BU52" s="84"/>
      <c r="BV52" s="84"/>
      <c r="BW52" s="84"/>
      <c r="BX52" s="84"/>
      <c r="BY52" s="84"/>
      <c r="BZ52" s="84"/>
      <c r="CA52" s="84"/>
      <c r="CB52" s="84"/>
      <c r="CC52" s="84"/>
      <c r="CD52" s="84"/>
      <c r="CE52" s="84"/>
      <c r="CF52" s="84"/>
      <c r="CG52" s="84"/>
      <c r="CH52" s="84"/>
      <c r="CI52" s="84"/>
      <c r="CJ52" s="84"/>
      <c r="CK52" s="84"/>
      <c r="CL52" s="84"/>
      <c r="CM52" s="84"/>
      <c r="CN52" s="84"/>
    </row>
    <row r="53" spans="60:92" s="82" customFormat="1" ht="18" x14ac:dyDescent="0.35">
      <c r="BH53" s="84"/>
      <c r="BI53" s="85"/>
      <c r="BJ53" s="86"/>
      <c r="BK53" s="86"/>
      <c r="BL53" s="86"/>
      <c r="BM53" s="86"/>
      <c r="BN53" s="84"/>
      <c r="BO53" s="84"/>
      <c r="BP53" s="84"/>
      <c r="BQ53" s="84"/>
      <c r="BR53" s="84"/>
      <c r="BS53" s="84"/>
      <c r="BT53" s="84"/>
      <c r="BU53" s="84"/>
      <c r="BV53" s="84"/>
      <c r="BW53" s="84"/>
      <c r="BX53" s="84"/>
      <c r="BY53" s="84"/>
      <c r="BZ53" s="84"/>
      <c r="CA53" s="84"/>
      <c r="CB53" s="84"/>
      <c r="CC53" s="84"/>
      <c r="CD53" s="84"/>
      <c r="CE53" s="84"/>
      <c r="CF53" s="84"/>
      <c r="CG53" s="84"/>
      <c r="CH53" s="84"/>
      <c r="CI53" s="84"/>
      <c r="CJ53" s="84"/>
      <c r="CK53" s="84"/>
      <c r="CL53" s="84"/>
      <c r="CM53" s="84"/>
      <c r="CN53" s="84"/>
    </row>
    <row r="54" spans="60:92" ht="15.75" customHeight="1" x14ac:dyDescent="0.35">
      <c r="BH54"/>
      <c r="BI54" s="16"/>
      <c r="BJ54" s="10"/>
      <c r="BK54" s="10"/>
      <c r="BL54" s="10"/>
      <c r="BM54" s="10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</row>
    <row r="55" spans="60:92" ht="15.75" customHeight="1" x14ac:dyDescent="0.35">
      <c r="BH55"/>
      <c r="BI55" s="16"/>
      <c r="BJ55" s="10"/>
      <c r="BK55" s="10"/>
      <c r="BL55" s="10"/>
      <c r="BM55" s="10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</row>
    <row r="56" spans="60:92" ht="15.75" customHeight="1" x14ac:dyDescent="0.35">
      <c r="BH56"/>
      <c r="BI56" s="1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</row>
    <row r="57" spans="60:92" ht="15.75" customHeight="1" x14ac:dyDescent="0.35">
      <c r="BH57"/>
      <c r="BI57" s="16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</row>
    <row r="58" spans="60:92" ht="15.75" customHeight="1" x14ac:dyDescent="0.35">
      <c r="BH58"/>
      <c r="BI58" s="16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</row>
    <row r="59" spans="60:92" ht="15.75" customHeight="1" x14ac:dyDescent="0.35">
      <c r="BH59"/>
      <c r="BI59" s="16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</row>
    <row r="60" spans="60:92" ht="15.75" customHeight="1" x14ac:dyDescent="0.35">
      <c r="BH60"/>
      <c r="BI60" s="16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</row>
    <row r="61" spans="60:92" ht="15.75" customHeight="1" x14ac:dyDescent="0.35">
      <c r="BH61"/>
      <c r="BI61" s="16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</row>
    <row r="62" spans="60:92" ht="15.75" customHeight="1" x14ac:dyDescent="0.35">
      <c r="BH62"/>
      <c r="BI62" s="16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</row>
    <row r="63" spans="60:92" ht="15.75" customHeight="1" x14ac:dyDescent="0.35">
      <c r="BH63"/>
      <c r="BI63" s="16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</row>
    <row r="64" spans="60:92" ht="15.75" customHeight="1" x14ac:dyDescent="0.35">
      <c r="BH64"/>
      <c r="BI64" s="16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</row>
    <row r="65" spans="60:92" ht="15.75" customHeight="1" x14ac:dyDescent="0.35">
      <c r="BH65"/>
      <c r="BI65" s="16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</row>
    <row r="66" spans="60:92" ht="15.75" customHeight="1" x14ac:dyDescent="0.35">
      <c r="BH66"/>
      <c r="BI66" s="1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</row>
    <row r="67" spans="60:92" ht="15.75" customHeight="1" x14ac:dyDescent="0.35">
      <c r="BH67"/>
      <c r="BI67" s="16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</row>
    <row r="68" spans="60:92" ht="15.75" customHeight="1" x14ac:dyDescent="0.35">
      <c r="BH68"/>
      <c r="BI68" s="16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</row>
    <row r="69" spans="60:92" ht="15.75" customHeight="1" x14ac:dyDescent="0.35">
      <c r="BH69"/>
      <c r="BI69" s="16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</row>
    <row r="70" spans="60:92" ht="15.75" customHeight="1" x14ac:dyDescent="0.35">
      <c r="BH70"/>
      <c r="BI70" s="16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</row>
    <row r="71" spans="60:92" ht="15.75" customHeight="1" x14ac:dyDescent="0.35">
      <c r="BH71"/>
      <c r="BI71" s="16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</row>
    <row r="72" spans="60:92" ht="15.75" customHeight="1" x14ac:dyDescent="0.35">
      <c r="BH72"/>
      <c r="BI72" s="16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</row>
    <row r="73" spans="60:92" ht="15.75" customHeight="1" x14ac:dyDescent="0.35">
      <c r="BH73"/>
      <c r="BI73" s="16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</row>
    <row r="74" spans="60:92" ht="15.75" customHeight="1" x14ac:dyDescent="0.35">
      <c r="BH74"/>
      <c r="BI74" s="16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</row>
    <row r="75" spans="60:92" ht="15.75" customHeight="1" x14ac:dyDescent="0.35">
      <c r="BH75"/>
      <c r="BI75" s="16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</row>
    <row r="76" spans="60:92" ht="15.75" customHeight="1" x14ac:dyDescent="0.35">
      <c r="BH76"/>
      <c r="BI76" s="1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</row>
    <row r="77" spans="60:92" ht="15.75" customHeight="1" x14ac:dyDescent="0.35">
      <c r="BH77"/>
      <c r="BI77" s="16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</row>
    <row r="78" spans="60:92" ht="15.75" customHeight="1" x14ac:dyDescent="0.35">
      <c r="BH78"/>
      <c r="BI78" s="16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</row>
    <row r="79" spans="60:92" ht="15.75" customHeight="1" x14ac:dyDescent="0.35">
      <c r="BH79"/>
      <c r="BI79" s="16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</row>
    <row r="80" spans="60:92" ht="15.75" customHeight="1" x14ac:dyDescent="0.35">
      <c r="BH80"/>
      <c r="BI80" s="16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</row>
    <row r="81" spans="60:92" ht="15.75" customHeight="1" x14ac:dyDescent="0.35">
      <c r="BH81"/>
      <c r="BI81" s="16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</row>
    <row r="82" spans="60:92" ht="15.75" customHeight="1" x14ac:dyDescent="0.35">
      <c r="BH82"/>
      <c r="BI82" s="16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</row>
    <row r="83" spans="60:92" ht="15.75" customHeight="1" x14ac:dyDescent="0.35">
      <c r="BH83"/>
      <c r="BI83" s="16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</row>
    <row r="84" spans="60:92" ht="15.75" customHeight="1" x14ac:dyDescent="0.35">
      <c r="BH84"/>
      <c r="BI84" s="16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</row>
    <row r="85" spans="60:92" ht="15.75" customHeight="1" x14ac:dyDescent="0.35">
      <c r="BH85"/>
      <c r="BI85" s="16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</row>
    <row r="86" spans="60:92" ht="15.75" customHeight="1" x14ac:dyDescent="0.35">
      <c r="BH86"/>
      <c r="BI86" s="1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</row>
    <row r="87" spans="60:92" ht="15.75" customHeight="1" x14ac:dyDescent="0.35">
      <c r="BH87"/>
      <c r="BI87" s="16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</row>
    <row r="88" spans="60:92" ht="15.75" customHeight="1" x14ac:dyDescent="0.35">
      <c r="BH88"/>
      <c r="BI88" s="16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</row>
    <row r="89" spans="60:92" ht="15.75" customHeight="1" x14ac:dyDescent="0.35">
      <c r="BH89"/>
      <c r="BI89" s="16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</row>
    <row r="90" spans="60:92" ht="15.75" customHeight="1" x14ac:dyDescent="0.35">
      <c r="BH90"/>
      <c r="BI90" s="16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</row>
    <row r="91" spans="60:92" ht="15.75" customHeight="1" x14ac:dyDescent="0.35">
      <c r="BH91"/>
      <c r="BI91" s="16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</row>
    <row r="92" spans="60:92" ht="15.75" customHeight="1" x14ac:dyDescent="0.35">
      <c r="BH92"/>
      <c r="BI92" s="16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</row>
    <row r="93" spans="60:92" ht="15.75" customHeight="1" x14ac:dyDescent="0.35">
      <c r="BH93"/>
      <c r="BI93" s="16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</row>
    <row r="94" spans="60:92" ht="15.75" customHeight="1" x14ac:dyDescent="0.35">
      <c r="BH94"/>
      <c r="BI94" s="16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</row>
    <row r="95" spans="60:92" ht="15.75" customHeight="1" x14ac:dyDescent="0.35">
      <c r="BH95"/>
      <c r="BI95" s="16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</row>
    <row r="96" spans="60:92" ht="15.75" customHeight="1" x14ac:dyDescent="0.35">
      <c r="BH96"/>
      <c r="BI96" s="1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</row>
    <row r="97" spans="63:64" ht="15.75" customHeight="1" x14ac:dyDescent="0.45">
      <c r="BK97" s="2"/>
      <c r="BL97" s="2"/>
    </row>
    <row r="98" spans="63:64" ht="15.75" customHeight="1" x14ac:dyDescent="0.45">
      <c r="BK98" s="2"/>
      <c r="BL98" s="2"/>
    </row>
    <row r="99" spans="63:64" ht="15.75" customHeight="1" x14ac:dyDescent="0.45">
      <c r="BK99" s="2"/>
      <c r="BL99" s="2"/>
    </row>
    <row r="100" spans="63:64" ht="15.75" customHeight="1" x14ac:dyDescent="0.45">
      <c r="BK100" s="2"/>
      <c r="BL100" s="2"/>
    </row>
    <row r="101" spans="63:64" ht="15.75" customHeight="1" x14ac:dyDescent="0.45">
      <c r="BK101" s="2"/>
      <c r="BL101" s="2"/>
    </row>
    <row r="102" spans="63:64" ht="15.75" customHeight="1" x14ac:dyDescent="0.45">
      <c r="BK102" s="2"/>
      <c r="BL102" s="2"/>
    </row>
    <row r="103" spans="63:64" ht="15.75" customHeight="1" x14ac:dyDescent="0.45">
      <c r="BK103" s="2"/>
      <c r="BL103" s="2"/>
    </row>
    <row r="104" spans="63:64" ht="15.75" customHeight="1" x14ac:dyDescent="0.45">
      <c r="BK104" s="2"/>
      <c r="BL104" s="2"/>
    </row>
    <row r="105" spans="63:64" ht="15.75" customHeight="1" x14ac:dyDescent="0.45">
      <c r="BK105" s="2"/>
      <c r="BL105" s="2"/>
    </row>
    <row r="106" spans="63:64" ht="15.75" customHeight="1" x14ac:dyDescent="0.45">
      <c r="BK106" s="2"/>
      <c r="BL106" s="2"/>
    </row>
    <row r="107" spans="63:64" ht="15.75" customHeight="1" x14ac:dyDescent="0.45">
      <c r="BK107" s="2"/>
      <c r="BL107" s="2"/>
    </row>
    <row r="108" spans="63:64" ht="15.75" customHeight="1" x14ac:dyDescent="0.45">
      <c r="BK108" s="2"/>
      <c r="BL108" s="2"/>
    </row>
    <row r="109" spans="63:64" ht="15.75" customHeight="1" x14ac:dyDescent="0.45">
      <c r="BK109" s="2"/>
      <c r="BL109" s="2"/>
    </row>
    <row r="110" spans="63:64" ht="15.75" customHeight="1" x14ac:dyDescent="0.45">
      <c r="BK110" s="2"/>
      <c r="BL110" s="2"/>
    </row>
    <row r="111" spans="63:64" ht="15.75" customHeight="1" x14ac:dyDescent="0.45">
      <c r="BK111" s="2"/>
      <c r="BL111" s="2"/>
    </row>
    <row r="112" spans="63:64" ht="15.75" customHeight="1" x14ac:dyDescent="0.45">
      <c r="BK112" s="2"/>
      <c r="BL112" s="2"/>
    </row>
    <row r="113" spans="63:64" ht="15.75" customHeight="1" x14ac:dyDescent="0.45">
      <c r="BK113" s="2"/>
      <c r="BL113" s="2"/>
    </row>
    <row r="114" spans="63:64" ht="15.75" customHeight="1" x14ac:dyDescent="0.45">
      <c r="BK114" s="2"/>
      <c r="BL114" s="2"/>
    </row>
    <row r="115" spans="63:64" ht="15.75" customHeight="1" x14ac:dyDescent="0.45">
      <c r="BK115" s="2"/>
      <c r="BL115" s="2"/>
    </row>
    <row r="116" spans="63:64" ht="15.75" customHeight="1" x14ac:dyDescent="0.45">
      <c r="BK116" s="2"/>
      <c r="BL116" s="2"/>
    </row>
    <row r="117" spans="63:64" ht="15.75" customHeight="1" x14ac:dyDescent="0.45">
      <c r="BK117" s="2"/>
      <c r="BL117" s="2"/>
    </row>
    <row r="118" spans="63:64" ht="15.75" customHeight="1" x14ac:dyDescent="0.45">
      <c r="BK118" s="2"/>
      <c r="BL118" s="2"/>
    </row>
    <row r="119" spans="63:64" ht="15.75" customHeight="1" x14ac:dyDescent="0.45">
      <c r="BK119" s="2"/>
      <c r="BL119" s="2"/>
    </row>
    <row r="120" spans="63:64" ht="15.75" customHeight="1" x14ac:dyDescent="0.45">
      <c r="BK120" s="2"/>
      <c r="BL120" s="2"/>
    </row>
    <row r="121" spans="63:64" ht="15.75" customHeight="1" x14ac:dyDescent="0.45">
      <c r="BK121" s="2"/>
      <c r="BL121" s="2"/>
    </row>
    <row r="122" spans="63:64" ht="15.75" customHeight="1" x14ac:dyDescent="0.45">
      <c r="BK122" s="2"/>
      <c r="BL122" s="2"/>
    </row>
    <row r="123" spans="63:64" ht="15.75" customHeight="1" x14ac:dyDescent="0.45">
      <c r="BK123" s="2"/>
      <c r="BL123" s="2"/>
    </row>
    <row r="124" spans="63:64" ht="15.75" customHeight="1" x14ac:dyDescent="0.45">
      <c r="BK124" s="2"/>
      <c r="BL124" s="2"/>
    </row>
    <row r="125" spans="63:64" ht="15.75" customHeight="1" x14ac:dyDescent="0.45">
      <c r="BK125" s="2"/>
      <c r="BL125" s="2"/>
    </row>
    <row r="126" spans="63:64" ht="15.75" customHeight="1" x14ac:dyDescent="0.45">
      <c r="BK126" s="2"/>
      <c r="BL126" s="2"/>
    </row>
    <row r="127" spans="63:64" ht="15.75" customHeight="1" x14ac:dyDescent="0.45">
      <c r="BK127" s="2"/>
      <c r="BL127" s="2"/>
    </row>
    <row r="128" spans="63:64" ht="15.75" customHeight="1" x14ac:dyDescent="0.45">
      <c r="BK128" s="2"/>
      <c r="BL128" s="2"/>
    </row>
    <row r="129" spans="63:64" ht="15.75" customHeight="1" x14ac:dyDescent="0.45">
      <c r="BK129" s="2"/>
      <c r="BL129" s="2"/>
    </row>
    <row r="130" spans="63:64" ht="15.75" customHeight="1" x14ac:dyDescent="0.45">
      <c r="BK130" s="2"/>
      <c r="BL130" s="2"/>
    </row>
    <row r="131" spans="63:64" ht="15.75" customHeight="1" x14ac:dyDescent="0.45">
      <c r="BK131" s="2"/>
      <c r="BL131" s="2"/>
    </row>
    <row r="132" spans="63:64" ht="15.75" customHeight="1" x14ac:dyDescent="0.45">
      <c r="BK132" s="2"/>
      <c r="BL132" s="2"/>
    </row>
    <row r="133" spans="63:64" ht="15.75" customHeight="1" x14ac:dyDescent="0.45">
      <c r="BK133" s="2"/>
      <c r="BL133" s="2"/>
    </row>
    <row r="134" spans="63:64" ht="15.75" customHeight="1" x14ac:dyDescent="0.45">
      <c r="BK134" s="2"/>
      <c r="BL134" s="2"/>
    </row>
    <row r="135" spans="63:64" ht="15.75" customHeight="1" x14ac:dyDescent="0.45">
      <c r="BK135" s="2"/>
      <c r="BL135" s="2"/>
    </row>
    <row r="136" spans="63:64" ht="15.75" customHeight="1" x14ac:dyDescent="0.45">
      <c r="BK136" s="2"/>
      <c r="BL136" s="2"/>
    </row>
    <row r="137" spans="63:64" ht="15.75" customHeight="1" x14ac:dyDescent="0.45">
      <c r="BK137" s="2"/>
      <c r="BL137" s="2"/>
    </row>
    <row r="138" spans="63:64" ht="15.75" customHeight="1" x14ac:dyDescent="0.45">
      <c r="BK138" s="2"/>
      <c r="BL138" s="2"/>
    </row>
    <row r="139" spans="63:64" ht="15.75" customHeight="1" x14ac:dyDescent="0.45">
      <c r="BK139" s="2"/>
      <c r="BL139" s="2"/>
    </row>
    <row r="140" spans="63:64" ht="15.75" customHeight="1" x14ac:dyDescent="0.45">
      <c r="BK140" s="2"/>
      <c r="BL140" s="2"/>
    </row>
    <row r="141" spans="63:64" ht="15.75" customHeight="1" x14ac:dyDescent="0.45">
      <c r="BK141" s="2"/>
      <c r="BL141" s="2"/>
    </row>
    <row r="142" spans="63:64" ht="15.75" customHeight="1" x14ac:dyDescent="0.45">
      <c r="BK142" s="2"/>
      <c r="BL142" s="2"/>
    </row>
    <row r="143" spans="63:64" ht="15.75" customHeight="1" x14ac:dyDescent="0.45">
      <c r="BK143" s="2"/>
      <c r="BL143" s="2"/>
    </row>
    <row r="144" spans="63:64" ht="15.75" customHeight="1" x14ac:dyDescent="0.45">
      <c r="BK144" s="2"/>
      <c r="BL144" s="2"/>
    </row>
    <row r="145" spans="63:64" ht="15.75" customHeight="1" x14ac:dyDescent="0.45">
      <c r="BK145" s="2"/>
      <c r="BL145" s="2"/>
    </row>
    <row r="146" spans="63:64" ht="15.75" customHeight="1" x14ac:dyDescent="0.45">
      <c r="BK146" s="2"/>
      <c r="BL146" s="2"/>
    </row>
    <row r="147" spans="63:64" ht="15.75" customHeight="1" x14ac:dyDescent="0.45">
      <c r="BK147" s="2"/>
      <c r="BL147" s="2"/>
    </row>
    <row r="148" spans="63:64" ht="15.75" customHeight="1" x14ac:dyDescent="0.45">
      <c r="BK148" s="2"/>
      <c r="BL148" s="2"/>
    </row>
    <row r="149" spans="63:64" ht="15.75" customHeight="1" x14ac:dyDescent="0.45">
      <c r="BK149" s="2"/>
      <c r="BL149" s="2"/>
    </row>
    <row r="150" spans="63:64" ht="15.75" customHeight="1" x14ac:dyDescent="0.45">
      <c r="BK150" s="2"/>
      <c r="BL150" s="2"/>
    </row>
    <row r="151" spans="63:64" ht="15.75" customHeight="1" x14ac:dyDescent="0.45">
      <c r="BK151" s="2"/>
      <c r="BL151" s="2"/>
    </row>
    <row r="152" spans="63:64" ht="15.75" customHeight="1" x14ac:dyDescent="0.45">
      <c r="BK152" s="2"/>
      <c r="BL152" s="2"/>
    </row>
    <row r="153" spans="63:64" ht="15.75" customHeight="1" x14ac:dyDescent="0.45">
      <c r="BK153" s="2"/>
      <c r="BL153" s="2"/>
    </row>
    <row r="154" spans="63:64" ht="15.75" customHeight="1" x14ac:dyDescent="0.45">
      <c r="BK154" s="2"/>
      <c r="BL154" s="2"/>
    </row>
    <row r="155" spans="63:64" ht="15.75" customHeight="1" x14ac:dyDescent="0.45">
      <c r="BK155" s="2"/>
      <c r="BL155" s="2"/>
    </row>
    <row r="156" spans="63:64" ht="15.75" customHeight="1" x14ac:dyDescent="0.45">
      <c r="BK156" s="2"/>
      <c r="BL156" s="2"/>
    </row>
    <row r="157" spans="63:64" ht="15.75" customHeight="1" x14ac:dyDescent="0.45">
      <c r="BK157" s="2"/>
      <c r="BL157" s="2"/>
    </row>
    <row r="158" spans="63:64" ht="15.75" customHeight="1" x14ac:dyDescent="0.45">
      <c r="BK158" s="2"/>
      <c r="BL158" s="2"/>
    </row>
    <row r="159" spans="63:64" ht="15.75" customHeight="1" x14ac:dyDescent="0.45">
      <c r="BK159" s="2"/>
      <c r="BL159" s="2"/>
    </row>
    <row r="160" spans="63:64" ht="15.75" customHeight="1" x14ac:dyDescent="0.45">
      <c r="BK160" s="2"/>
      <c r="BL160" s="2"/>
    </row>
    <row r="161" spans="63:64" ht="15.75" customHeight="1" x14ac:dyDescent="0.45">
      <c r="BK161" s="2"/>
      <c r="BL161" s="2"/>
    </row>
    <row r="162" spans="63:64" ht="15.75" customHeight="1" x14ac:dyDescent="0.45">
      <c r="BK162" s="2"/>
      <c r="BL162" s="2"/>
    </row>
    <row r="163" spans="63:64" ht="15.75" customHeight="1" x14ac:dyDescent="0.45">
      <c r="BK163" s="2"/>
      <c r="BL163" s="2"/>
    </row>
    <row r="164" spans="63:64" ht="15.75" customHeight="1" x14ac:dyDescent="0.45">
      <c r="BK164" s="2"/>
      <c r="BL164" s="2"/>
    </row>
    <row r="165" spans="63:64" ht="15.75" customHeight="1" x14ac:dyDescent="0.45">
      <c r="BK165" s="2"/>
      <c r="BL165" s="2"/>
    </row>
    <row r="166" spans="63:64" ht="15.75" customHeight="1" x14ac:dyDescent="0.45">
      <c r="BK166" s="2"/>
      <c r="BL166" s="2"/>
    </row>
    <row r="167" spans="63:64" ht="15.75" customHeight="1" x14ac:dyDescent="0.45">
      <c r="BK167" s="2"/>
      <c r="BL167" s="2"/>
    </row>
    <row r="168" spans="63:64" ht="15.75" customHeight="1" x14ac:dyDescent="0.45">
      <c r="BK168" s="2"/>
      <c r="BL168" s="2"/>
    </row>
    <row r="169" spans="63:64" ht="15.75" customHeight="1" x14ac:dyDescent="0.45">
      <c r="BK169" s="2"/>
      <c r="BL169" s="2"/>
    </row>
    <row r="170" spans="63:64" ht="15.75" customHeight="1" x14ac:dyDescent="0.45">
      <c r="BK170" s="2"/>
      <c r="BL170" s="2"/>
    </row>
    <row r="171" spans="63:64" ht="15.75" customHeight="1" x14ac:dyDescent="0.45">
      <c r="BK171" s="2"/>
      <c r="BL171" s="2"/>
    </row>
    <row r="172" spans="63:64" ht="15.75" customHeight="1" x14ac:dyDescent="0.45">
      <c r="BK172" s="2"/>
      <c r="BL172" s="2"/>
    </row>
    <row r="173" spans="63:64" ht="15.75" customHeight="1" x14ac:dyDescent="0.45">
      <c r="BK173" s="2"/>
      <c r="BL173" s="2"/>
    </row>
    <row r="174" spans="63:64" ht="15.75" customHeight="1" x14ac:dyDescent="0.45">
      <c r="BK174" s="2"/>
      <c r="BL174" s="2"/>
    </row>
    <row r="175" spans="63:64" ht="15.75" customHeight="1" x14ac:dyDescent="0.45">
      <c r="BK175" s="2"/>
      <c r="BL175" s="2"/>
    </row>
    <row r="176" spans="63:64" ht="15.75" customHeight="1" x14ac:dyDescent="0.45">
      <c r="BK176" s="2"/>
      <c r="BL176" s="2"/>
    </row>
    <row r="177" spans="63:64" ht="15.75" customHeight="1" x14ac:dyDescent="0.45">
      <c r="BK177" s="2"/>
      <c r="BL177" s="2"/>
    </row>
    <row r="178" spans="63:64" ht="15.75" customHeight="1" x14ac:dyDescent="0.45">
      <c r="BK178" s="2"/>
      <c r="BL178" s="2"/>
    </row>
    <row r="179" spans="63:64" ht="15.75" customHeight="1" x14ac:dyDescent="0.45">
      <c r="BK179" s="2"/>
      <c r="BL179" s="2"/>
    </row>
    <row r="180" spans="63:64" ht="15.75" customHeight="1" x14ac:dyDescent="0.45">
      <c r="BK180" s="2"/>
      <c r="BL180" s="2"/>
    </row>
    <row r="181" spans="63:64" ht="15.75" customHeight="1" x14ac:dyDescent="0.45">
      <c r="BK181" s="2"/>
      <c r="BL181" s="2"/>
    </row>
    <row r="182" spans="63:64" ht="15.75" customHeight="1" x14ac:dyDescent="0.45">
      <c r="BK182" s="2"/>
      <c r="BL182" s="2"/>
    </row>
    <row r="183" spans="63:64" ht="15.75" customHeight="1" x14ac:dyDescent="0.45">
      <c r="BK183" s="2"/>
      <c r="BL183" s="2"/>
    </row>
    <row r="184" spans="63:64" ht="15.75" customHeight="1" x14ac:dyDescent="0.45">
      <c r="BK184" s="2"/>
      <c r="BL184" s="2"/>
    </row>
    <row r="185" spans="63:64" ht="15.75" customHeight="1" x14ac:dyDescent="0.45">
      <c r="BK185" s="2"/>
      <c r="BL185" s="2"/>
    </row>
    <row r="186" spans="63:64" ht="15.75" customHeight="1" x14ac:dyDescent="0.45">
      <c r="BK186" s="2"/>
      <c r="BL186" s="2"/>
    </row>
    <row r="187" spans="63:64" ht="15.75" customHeight="1" x14ac:dyDescent="0.45">
      <c r="BK187" s="2"/>
      <c r="BL187" s="2"/>
    </row>
    <row r="188" spans="63:64" ht="15.75" customHeight="1" x14ac:dyDescent="0.45">
      <c r="BK188" s="2"/>
      <c r="BL188" s="2"/>
    </row>
    <row r="189" spans="63:64" ht="15.75" customHeight="1" x14ac:dyDescent="0.45">
      <c r="BK189" s="2"/>
      <c r="BL189" s="2"/>
    </row>
    <row r="190" spans="63:64" ht="15.75" customHeight="1" x14ac:dyDescent="0.45">
      <c r="BK190" s="2"/>
      <c r="BL190" s="2"/>
    </row>
    <row r="191" spans="63:64" ht="15.75" customHeight="1" x14ac:dyDescent="0.45">
      <c r="BK191" s="2"/>
      <c r="BL191" s="2"/>
    </row>
    <row r="192" spans="63:64" ht="15.75" customHeight="1" x14ac:dyDescent="0.45">
      <c r="BK192" s="2"/>
      <c r="BL192" s="2"/>
    </row>
    <row r="193" spans="63:64" ht="15.75" customHeight="1" x14ac:dyDescent="0.45">
      <c r="BK193" s="2"/>
      <c r="BL193" s="2"/>
    </row>
    <row r="194" spans="63:64" ht="15.75" customHeight="1" x14ac:dyDescent="0.45">
      <c r="BK194" s="2"/>
      <c r="BL194" s="2"/>
    </row>
    <row r="195" spans="63:64" ht="15.75" customHeight="1" x14ac:dyDescent="0.45">
      <c r="BK195" s="2"/>
      <c r="BL195" s="2"/>
    </row>
    <row r="196" spans="63:64" ht="15.75" customHeight="1" x14ac:dyDescent="0.45">
      <c r="BK196" s="2"/>
      <c r="BL196" s="2"/>
    </row>
    <row r="197" spans="63:64" ht="15.75" customHeight="1" x14ac:dyDescent="0.45">
      <c r="BK197" s="2"/>
      <c r="BL197" s="2"/>
    </row>
    <row r="198" spans="63:64" ht="15.75" customHeight="1" x14ac:dyDescent="0.45">
      <c r="BK198" s="2"/>
      <c r="BL198" s="2"/>
    </row>
    <row r="199" spans="63:64" ht="15.75" customHeight="1" x14ac:dyDescent="0.45">
      <c r="BK199" s="2"/>
      <c r="BL199" s="2"/>
    </row>
    <row r="200" spans="63:64" ht="15.75" customHeight="1" x14ac:dyDescent="0.45">
      <c r="BK200" s="2"/>
      <c r="BL200" s="2"/>
    </row>
    <row r="201" spans="63:64" ht="15.75" customHeight="1" x14ac:dyDescent="0.45">
      <c r="BK201" s="2"/>
      <c r="BL201" s="2"/>
    </row>
    <row r="202" spans="63:64" ht="15.75" customHeight="1" x14ac:dyDescent="0.45">
      <c r="BK202" s="2"/>
      <c r="BL202" s="2"/>
    </row>
    <row r="203" spans="63:64" ht="15.75" customHeight="1" x14ac:dyDescent="0.45">
      <c r="BK203" s="2"/>
      <c r="BL203" s="2"/>
    </row>
    <row r="204" spans="63:64" ht="15.75" customHeight="1" x14ac:dyDescent="0.45">
      <c r="BK204" s="2"/>
      <c r="BL204" s="2"/>
    </row>
    <row r="205" spans="63:64" ht="15.75" customHeight="1" x14ac:dyDescent="0.45">
      <c r="BK205" s="2"/>
      <c r="BL205" s="2"/>
    </row>
    <row r="206" spans="63:64" ht="15.75" customHeight="1" x14ac:dyDescent="0.45">
      <c r="BK206" s="2"/>
      <c r="BL206" s="2"/>
    </row>
    <row r="207" spans="63:64" ht="15.75" customHeight="1" x14ac:dyDescent="0.45">
      <c r="BK207" s="2"/>
      <c r="BL207" s="2"/>
    </row>
    <row r="208" spans="63:64" ht="15.75" customHeight="1" x14ac:dyDescent="0.45">
      <c r="BK208" s="2"/>
      <c r="BL208" s="2"/>
    </row>
    <row r="209" spans="63:64" ht="15.75" customHeight="1" x14ac:dyDescent="0.45">
      <c r="BK209" s="2"/>
      <c r="BL209" s="2"/>
    </row>
    <row r="210" spans="63:64" ht="15.75" customHeight="1" x14ac:dyDescent="0.45">
      <c r="BK210" s="2"/>
      <c r="BL210" s="2"/>
    </row>
    <row r="211" spans="63:64" ht="15.75" customHeight="1" x14ac:dyDescent="0.45">
      <c r="BK211" s="2"/>
      <c r="BL211" s="2"/>
    </row>
    <row r="212" spans="63:64" ht="15.75" customHeight="1" x14ac:dyDescent="0.45">
      <c r="BK212" s="2"/>
      <c r="BL212" s="2"/>
    </row>
    <row r="213" spans="63:64" ht="15.75" customHeight="1" x14ac:dyDescent="0.45">
      <c r="BK213" s="2"/>
      <c r="BL213" s="2"/>
    </row>
    <row r="214" spans="63:64" ht="15.75" customHeight="1" x14ac:dyDescent="0.45">
      <c r="BK214" s="2"/>
      <c r="BL214" s="2"/>
    </row>
    <row r="215" spans="63:64" ht="15.75" customHeight="1" x14ac:dyDescent="0.45">
      <c r="BK215" s="2"/>
      <c r="BL215" s="2"/>
    </row>
    <row r="216" spans="63:64" ht="15.75" customHeight="1" x14ac:dyDescent="0.45">
      <c r="BK216" s="2"/>
      <c r="BL216" s="2"/>
    </row>
    <row r="217" spans="63:64" ht="15.75" customHeight="1" x14ac:dyDescent="0.45">
      <c r="BK217" s="2"/>
      <c r="BL217" s="2"/>
    </row>
    <row r="218" spans="63:64" ht="15.75" customHeight="1" x14ac:dyDescent="0.45">
      <c r="BK218" s="2"/>
      <c r="BL218" s="2"/>
    </row>
    <row r="219" spans="63:64" ht="15.75" customHeight="1" x14ac:dyDescent="0.45">
      <c r="BK219" s="2"/>
      <c r="BL219" s="2"/>
    </row>
    <row r="220" spans="63:64" ht="15.75" customHeight="1" x14ac:dyDescent="0.45">
      <c r="BK220" s="2"/>
      <c r="BL220" s="2"/>
    </row>
    <row r="221" spans="63:64" ht="15.75" customHeight="1" x14ac:dyDescent="0.45">
      <c r="BK221" s="2"/>
      <c r="BL221" s="2"/>
    </row>
    <row r="222" spans="63:64" ht="15.75" customHeight="1" x14ac:dyDescent="0.45">
      <c r="BK222" s="2"/>
      <c r="BL222" s="2"/>
    </row>
    <row r="223" spans="63:64" ht="15.75" customHeight="1" x14ac:dyDescent="0.45">
      <c r="BK223" s="2"/>
      <c r="BL223" s="2"/>
    </row>
    <row r="224" spans="63:64" ht="15.75" customHeight="1" x14ac:dyDescent="0.45">
      <c r="BK224" s="2"/>
      <c r="BL224" s="2"/>
    </row>
    <row r="225" spans="63:64" ht="15.75" customHeight="1" x14ac:dyDescent="0.45">
      <c r="BK225" s="2"/>
      <c r="BL225" s="2"/>
    </row>
    <row r="226" spans="63:64" ht="15.75" customHeight="1" x14ac:dyDescent="0.45">
      <c r="BK226" s="2"/>
      <c r="BL226" s="2"/>
    </row>
    <row r="227" spans="63:64" ht="15.75" customHeight="1" x14ac:dyDescent="0.45">
      <c r="BK227" s="2"/>
      <c r="BL227" s="2"/>
    </row>
    <row r="228" spans="63:64" ht="15.75" customHeight="1" x14ac:dyDescent="0.45">
      <c r="BK228" s="2"/>
      <c r="BL228" s="2"/>
    </row>
    <row r="229" spans="63:64" ht="15.75" customHeight="1" x14ac:dyDescent="0.45">
      <c r="BK229" s="2"/>
      <c r="BL229" s="2"/>
    </row>
    <row r="230" spans="63:64" ht="15.75" customHeight="1" x14ac:dyDescent="0.45">
      <c r="BK230" s="2"/>
      <c r="BL230" s="2"/>
    </row>
    <row r="231" spans="63:64" ht="15.75" customHeight="1" x14ac:dyDescent="0.45">
      <c r="BK231" s="2"/>
      <c r="BL231" s="2"/>
    </row>
    <row r="232" spans="63:64" ht="15.75" customHeight="1" x14ac:dyDescent="0.45">
      <c r="BK232" s="2"/>
      <c r="BL232" s="2"/>
    </row>
    <row r="233" spans="63:64" ht="15.75" customHeight="1" x14ac:dyDescent="0.45">
      <c r="BK233" s="2"/>
      <c r="BL233" s="2"/>
    </row>
    <row r="234" spans="63:64" ht="15.75" customHeight="1" x14ac:dyDescent="0.45">
      <c r="BK234" s="2"/>
      <c r="BL234" s="2"/>
    </row>
    <row r="235" spans="63:64" ht="15.75" customHeight="1" x14ac:dyDescent="0.45">
      <c r="BK235" s="2"/>
      <c r="BL235" s="2"/>
    </row>
    <row r="236" spans="63:64" ht="15.75" customHeight="1" x14ac:dyDescent="0.45">
      <c r="BK236" s="2"/>
      <c r="BL236" s="2"/>
    </row>
    <row r="237" spans="63:64" ht="15.75" customHeight="1" x14ac:dyDescent="0.45">
      <c r="BK237" s="2"/>
      <c r="BL237" s="2"/>
    </row>
    <row r="238" spans="63:64" ht="15.75" customHeight="1" x14ac:dyDescent="0.45">
      <c r="BK238" s="2"/>
      <c r="BL238" s="2"/>
    </row>
    <row r="239" spans="63:64" ht="15.75" customHeight="1" x14ac:dyDescent="0.45">
      <c r="BK239" s="2"/>
      <c r="BL239" s="2"/>
    </row>
    <row r="240" spans="63:64" ht="15.75" customHeight="1" x14ac:dyDescent="0.45">
      <c r="BK240" s="2"/>
      <c r="BL240" s="2"/>
    </row>
    <row r="241" spans="63:64" ht="15.75" customHeight="1" x14ac:dyDescent="0.45">
      <c r="BK241" s="2"/>
      <c r="BL241" s="2"/>
    </row>
    <row r="242" spans="63:64" ht="15.75" customHeight="1" x14ac:dyDescent="0.45">
      <c r="BK242" s="2"/>
      <c r="BL242" s="2"/>
    </row>
    <row r="243" spans="63:64" ht="15.75" customHeight="1" x14ac:dyDescent="0.45">
      <c r="BK243" s="2"/>
      <c r="BL243" s="2"/>
    </row>
    <row r="244" spans="63:64" ht="15.75" customHeight="1" x14ac:dyDescent="0.45">
      <c r="BK244" s="2"/>
      <c r="BL244" s="2"/>
    </row>
    <row r="245" spans="63:64" x14ac:dyDescent="0.45">
      <c r="BK245" s="2"/>
      <c r="BL245" s="2"/>
    </row>
    <row r="246" spans="63:64" ht="15.75" customHeight="1" x14ac:dyDescent="0.45">
      <c r="BK246" s="2"/>
      <c r="BL246" s="2"/>
    </row>
    <row r="247" spans="63:64" ht="15.75" customHeight="1" x14ac:dyDescent="0.45">
      <c r="BK247" s="2"/>
      <c r="BL247" s="2"/>
    </row>
    <row r="248" spans="63:64" ht="15.75" customHeight="1" x14ac:dyDescent="0.45"/>
    <row r="249" spans="63:64" ht="15.75" customHeight="1" x14ac:dyDescent="0.45"/>
    <row r="250" spans="63:64" ht="15.75" customHeight="1" x14ac:dyDescent="0.45"/>
    <row r="251" spans="63:64" ht="15.75" customHeight="1" x14ac:dyDescent="0.45"/>
    <row r="252" spans="63:64" ht="15.75" customHeight="1" x14ac:dyDescent="0.45"/>
    <row r="253" spans="63:64" ht="15.75" customHeight="1" x14ac:dyDescent="0.45"/>
    <row r="254" spans="63:64" ht="15.75" customHeight="1" x14ac:dyDescent="0.45"/>
    <row r="255" spans="63:64" ht="15.75" customHeight="1" x14ac:dyDescent="0.45"/>
    <row r="256" spans="63:64" ht="15.75" customHeight="1" x14ac:dyDescent="0.45"/>
    <row r="257" ht="15.75" customHeight="1" x14ac:dyDescent="0.45"/>
    <row r="258" ht="15.75" customHeight="1" x14ac:dyDescent="0.45"/>
    <row r="259" ht="15.75" customHeight="1" x14ac:dyDescent="0.45"/>
    <row r="260" ht="15.75" customHeight="1" x14ac:dyDescent="0.45"/>
    <row r="261" ht="15.75" customHeight="1" x14ac:dyDescent="0.45"/>
    <row r="262" ht="15.75" customHeight="1" x14ac:dyDescent="0.45"/>
    <row r="263" ht="15.75" customHeight="1" x14ac:dyDescent="0.45"/>
    <row r="264" ht="23.25" customHeight="1" x14ac:dyDescent="0.45"/>
    <row r="265" ht="15" customHeight="1" x14ac:dyDescent="0.45"/>
    <row r="266" ht="15.75" customHeight="1" x14ac:dyDescent="0.45"/>
    <row r="267" ht="15" customHeight="1" x14ac:dyDescent="0.45"/>
    <row r="268" ht="15.75" customHeight="1" x14ac:dyDescent="0.45"/>
    <row r="269" ht="15" customHeight="1" x14ac:dyDescent="0.45"/>
    <row r="270" ht="15.75" customHeight="1" x14ac:dyDescent="0.45"/>
    <row r="271" ht="15" customHeight="1" x14ac:dyDescent="0.45"/>
    <row r="272" ht="15.75" customHeight="1" x14ac:dyDescent="0.45"/>
    <row r="273" ht="15" customHeight="1" x14ac:dyDescent="0.45"/>
    <row r="274" ht="15.75" customHeight="1" x14ac:dyDescent="0.45"/>
    <row r="275" ht="15" customHeight="1" x14ac:dyDescent="0.45"/>
    <row r="276" ht="15.75" customHeight="1" x14ac:dyDescent="0.45"/>
    <row r="277" ht="15" customHeight="1" x14ac:dyDescent="0.45"/>
    <row r="278" ht="15.75" customHeight="1" x14ac:dyDescent="0.45"/>
    <row r="279" ht="15" customHeight="1" x14ac:dyDescent="0.45"/>
    <row r="280" ht="15.75" customHeight="1" x14ac:dyDescent="0.45"/>
    <row r="281" ht="15" customHeight="1" x14ac:dyDescent="0.45"/>
    <row r="282" ht="15.75" customHeight="1" x14ac:dyDescent="0.45"/>
    <row r="283" ht="15" customHeight="1" x14ac:dyDescent="0.45"/>
    <row r="284" ht="15.75" customHeight="1" x14ac:dyDescent="0.45"/>
    <row r="285" ht="15" customHeight="1" x14ac:dyDescent="0.45"/>
    <row r="286" ht="15.75" customHeight="1" x14ac:dyDescent="0.45"/>
    <row r="287" ht="15" customHeight="1" x14ac:dyDescent="0.45"/>
    <row r="288" ht="15.75" customHeight="1" x14ac:dyDescent="0.45"/>
    <row r="289" ht="15" customHeight="1" x14ac:dyDescent="0.45"/>
    <row r="290" ht="15.75" customHeight="1" x14ac:dyDescent="0.45"/>
    <row r="291" ht="15" customHeight="1" x14ac:dyDescent="0.45"/>
    <row r="292" ht="15.75" customHeight="1" x14ac:dyDescent="0.45"/>
    <row r="293" ht="15" customHeight="1" x14ac:dyDescent="0.45"/>
    <row r="294" ht="15.75" customHeight="1" x14ac:dyDescent="0.45"/>
    <row r="295" ht="15" customHeight="1" x14ac:dyDescent="0.45"/>
    <row r="296" ht="15.75" customHeight="1" x14ac:dyDescent="0.45"/>
  </sheetData>
  <mergeCells count="1">
    <mergeCell ref="CR6:CR9"/>
  </mergeCells>
  <conditionalFormatting sqref="CR6 CR10">
    <cfRule type="containsText" dxfId="141" priority="75" operator="containsText" text="பிழை">
      <formula>NOT(ISERROR(SEARCH("பிழை",CR6)))</formula>
    </cfRule>
    <cfRule type="cellIs" dxfId="140" priority="76" operator="equal">
      <formula>"சரி"</formula>
    </cfRule>
  </conditionalFormatting>
  <conditionalFormatting sqref="CR6">
    <cfRule type="cellIs" dxfId="139" priority="72" operator="equal">
      <formula>"சரி"</formula>
    </cfRule>
    <cfRule type="containsText" dxfId="138" priority="71" operator="containsText" text="பிழை">
      <formula>NOT(ISERROR(SEARCH("பிழை",CR6)))</formula>
    </cfRule>
  </conditionalFormatting>
  <conditionalFormatting sqref="CU17">
    <cfRule type="containsText" dxfId="137" priority="66" operator="containsText" text="சரி">
      <formula>NOT(ISERROR(SEARCH("சரி",CU17)))</formula>
    </cfRule>
    <cfRule type="notContainsText" dxfId="136" priority="65" operator="notContains" text="சரி">
      <formula>ISERROR(SEARCH("சரி",CU17))</formula>
    </cfRule>
  </conditionalFormatting>
  <conditionalFormatting sqref="CU17:CU18">
    <cfRule type="containsText" dxfId="135" priority="62" operator="containsText" text="சரி">
      <formula>NOT(ISERROR(SEARCH("சரி",CU17)))</formula>
    </cfRule>
    <cfRule type="notContainsText" dxfId="134" priority="61" operator="notContains" text="சரி">
      <formula>ISERROR(SEARCH("சரி",CU17))</formula>
    </cfRule>
  </conditionalFormatting>
  <conditionalFormatting sqref="CU17:CU26">
    <cfRule type="notContainsText" dxfId="133" priority="67" operator="notContains" text="சரி">
      <formula>ISERROR(SEARCH("சரி",CU17))</formula>
    </cfRule>
    <cfRule type="containsText" dxfId="132" priority="70" operator="containsText" text="சரி">
      <formula>NOT(ISERROR(SEARCH("சரி",CU17)))</formula>
    </cfRule>
    <cfRule type="notContainsText" dxfId="131" priority="69" operator="notContains" text="சரி">
      <formula>ISERROR(SEARCH("சரி",CU17))</formula>
    </cfRule>
    <cfRule type="containsText" dxfId="130" priority="68" operator="containsText" text="சரி">
      <formula>NOT(ISERROR(SEARCH("சரி",CU17)))</formula>
    </cfRule>
  </conditionalFormatting>
  <conditionalFormatting sqref="CU17:CU31">
    <cfRule type="containsText" dxfId="129" priority="74" operator="containsText" text="சரி">
      <formula>NOT(ISERROR(SEARCH("சரி",CU17)))</formula>
    </cfRule>
    <cfRule type="notContainsText" dxfId="128" priority="73" operator="notContains" text="சரி">
      <formula>ISERROR(SEARCH("சரி",CU17))</formula>
    </cfRule>
  </conditionalFormatting>
  <conditionalFormatting sqref="CU18">
    <cfRule type="containsText" dxfId="127" priority="60" operator="containsText" text="சரி">
      <formula>NOT(ISERROR(SEARCH("சரி",CU18)))</formula>
    </cfRule>
    <cfRule type="notContainsText" dxfId="126" priority="59" operator="notContains" text="சரி">
      <formula>ISERROR(SEARCH("சரி",CU18))</formula>
    </cfRule>
  </conditionalFormatting>
  <conditionalFormatting sqref="CU18:CU19">
    <cfRule type="containsText" dxfId="125" priority="58" operator="containsText" text="சரி">
      <formula>NOT(ISERROR(SEARCH("சரி",CU18)))</formula>
    </cfRule>
    <cfRule type="notContainsText" dxfId="124" priority="57" operator="notContains" text="சரி">
      <formula>ISERROR(SEARCH("சரி",CU18))</formula>
    </cfRule>
    <cfRule type="containsText" dxfId="123" priority="56" operator="containsText" text="சரி">
      <formula>NOT(ISERROR(SEARCH("சரி",CU18)))</formula>
    </cfRule>
    <cfRule type="notContainsText" dxfId="122" priority="55" operator="notContains" text="சரி">
      <formula>ISERROR(SEARCH("சரி",CU18))</formula>
    </cfRule>
  </conditionalFormatting>
  <conditionalFormatting sqref="CU18:CU20">
    <cfRule type="containsText" dxfId="121" priority="54" operator="containsText" text="சரி">
      <formula>NOT(ISERROR(SEARCH("சரி",CU18)))</formula>
    </cfRule>
    <cfRule type="notContainsText" dxfId="120" priority="53" operator="notContains" text="சரி">
      <formula>ISERROR(SEARCH("சரி",CU18))</formula>
    </cfRule>
    <cfRule type="containsText" dxfId="119" priority="52" operator="containsText" text="சரி">
      <formula>NOT(ISERROR(SEARCH("சரி",CU18)))</formula>
    </cfRule>
    <cfRule type="notContainsText" dxfId="118" priority="51" operator="notContains" text="சரி">
      <formula>ISERROR(SEARCH("சரி",CU18))</formula>
    </cfRule>
  </conditionalFormatting>
  <conditionalFormatting sqref="CU18:CU21">
    <cfRule type="notContainsText" dxfId="117" priority="49" operator="notContains" text="சரி">
      <formula>ISERROR(SEARCH("சரி",CU18))</formula>
    </cfRule>
    <cfRule type="notContainsText" dxfId="116" priority="47" operator="notContains" text="சரி">
      <formula>ISERROR(SEARCH("சரி",CU18))</formula>
    </cfRule>
    <cfRule type="containsText" dxfId="115" priority="48" operator="containsText" text="சரி">
      <formula>NOT(ISERROR(SEARCH("சரி",CU18)))</formula>
    </cfRule>
    <cfRule type="containsText" dxfId="114" priority="50" operator="containsText" text="சரி">
      <formula>NOT(ISERROR(SEARCH("சரி",CU18)))</formula>
    </cfRule>
  </conditionalFormatting>
  <conditionalFormatting sqref="CU18:CU22">
    <cfRule type="containsText" dxfId="113" priority="46" operator="containsText" text="சரி">
      <formula>NOT(ISERROR(SEARCH("சரி",CU18)))</formula>
    </cfRule>
    <cfRule type="notContainsText" dxfId="112" priority="45" operator="notContains" text="சரி">
      <formula>ISERROR(SEARCH("சரி",CU18))</formula>
    </cfRule>
    <cfRule type="containsText" dxfId="111" priority="44" operator="containsText" text="சரி">
      <formula>NOT(ISERROR(SEARCH("சரி",CU18)))</formula>
    </cfRule>
    <cfRule type="notContainsText" dxfId="110" priority="43" operator="notContains" text="சரி">
      <formula>ISERROR(SEARCH("சரி",CU18))</formula>
    </cfRule>
  </conditionalFormatting>
  <conditionalFormatting sqref="CU18:CU23">
    <cfRule type="notContainsText" dxfId="109" priority="41" operator="notContains" text="சரி">
      <formula>ISERROR(SEARCH("சரி",CU18))</formula>
    </cfRule>
    <cfRule type="containsText" dxfId="108" priority="42" operator="containsText" text="சரி">
      <formula>NOT(ISERROR(SEARCH("சரி",CU18)))</formula>
    </cfRule>
    <cfRule type="notContainsText" dxfId="107" priority="39" operator="notContains" text="சரி">
      <formula>ISERROR(SEARCH("சரி",CU18))</formula>
    </cfRule>
    <cfRule type="containsText" dxfId="106" priority="40" operator="containsText" text="சரி">
      <formula>NOT(ISERROR(SEARCH("சரி",CU18)))</formula>
    </cfRule>
  </conditionalFormatting>
  <conditionalFormatting sqref="CU18:CU24">
    <cfRule type="containsText" dxfId="105" priority="38" operator="containsText" text="சரி">
      <formula>NOT(ISERROR(SEARCH("சரி",CU18)))</formula>
    </cfRule>
    <cfRule type="notContainsText" dxfId="104" priority="37" operator="notContains" text="சரி">
      <formula>ISERROR(SEARCH("சரி",CU18))</formula>
    </cfRule>
    <cfRule type="containsText" dxfId="103" priority="36" operator="containsText" text="சரி">
      <formula>NOT(ISERROR(SEARCH("சரி",CU18)))</formula>
    </cfRule>
    <cfRule type="notContainsText" dxfId="102" priority="35" operator="notContains" text="சரி">
      <formula>ISERROR(SEARCH("சரி",CU18))</formula>
    </cfRule>
  </conditionalFormatting>
  <conditionalFormatting sqref="CU18:CU25">
    <cfRule type="containsText" dxfId="101" priority="34" operator="containsText" text="சரி">
      <formula>NOT(ISERROR(SEARCH("சரி",CU18)))</formula>
    </cfRule>
    <cfRule type="notContainsText" dxfId="100" priority="33" operator="notContains" text="சரி">
      <formula>ISERROR(SEARCH("சரி",CU18))</formula>
    </cfRule>
    <cfRule type="containsText" dxfId="99" priority="32" operator="containsText" text="சரி">
      <formula>NOT(ISERROR(SEARCH("சரி",CU18)))</formula>
    </cfRule>
    <cfRule type="notContainsText" dxfId="98" priority="31" operator="notContains" text="சரி">
      <formula>ISERROR(SEARCH("சரி",CU18))</formula>
    </cfRule>
  </conditionalFormatting>
  <conditionalFormatting sqref="CU18:CU26">
    <cfRule type="containsText" dxfId="97" priority="30" operator="containsText" text="சரி">
      <formula>NOT(ISERROR(SEARCH("சரி",CU18)))</formula>
    </cfRule>
    <cfRule type="notContainsText" dxfId="96" priority="29" operator="notContains" text="சரி">
      <formula>ISERROR(SEARCH("சரி",CU18))</formula>
    </cfRule>
  </conditionalFormatting>
  <conditionalFormatting sqref="CU18:CU30">
    <cfRule type="containsText" dxfId="95" priority="26" operator="containsText" text="சரி">
      <formula>NOT(ISERROR(SEARCH("சரி",CU18)))</formula>
    </cfRule>
    <cfRule type="notContainsText" dxfId="94" priority="25" operator="notContains" text="சரி">
      <formula>ISERROR(SEARCH("சரி",CU18))</formula>
    </cfRule>
  </conditionalFormatting>
  <conditionalFormatting sqref="CU27">
    <cfRule type="notContainsText" dxfId="93" priority="19" operator="notContains" text="சரி">
      <formula>ISERROR(SEARCH("சரி",CU27))</formula>
    </cfRule>
    <cfRule type="containsText" dxfId="92" priority="20" operator="containsText" text="சரி">
      <formula>NOT(ISERROR(SEARCH("சரி",CU27)))</formula>
    </cfRule>
    <cfRule type="notContainsText" dxfId="91" priority="21" operator="notContains" text="சரி">
      <formula>ISERROR(SEARCH("சரி",CU27))</formula>
    </cfRule>
    <cfRule type="containsText" dxfId="90" priority="22" operator="containsText" text="சரி">
      <formula>NOT(ISERROR(SEARCH("சரி",CU27)))</formula>
    </cfRule>
  </conditionalFormatting>
  <conditionalFormatting sqref="CU27:CU28">
    <cfRule type="notContainsText" dxfId="89" priority="15" operator="notContains" text="சரி">
      <formula>ISERROR(SEARCH("சரி",CU27))</formula>
    </cfRule>
    <cfRule type="containsText" dxfId="88" priority="16" operator="containsText" text="சரி">
      <formula>NOT(ISERROR(SEARCH("சரி",CU27)))</formula>
    </cfRule>
    <cfRule type="notContainsText" dxfId="87" priority="17" operator="notContains" text="சரி">
      <formula>ISERROR(SEARCH("சரி",CU27))</formula>
    </cfRule>
    <cfRule type="containsText" dxfId="86" priority="18" operator="containsText" text="சரி">
      <formula>NOT(ISERROR(SEARCH("சரி",CU27)))</formula>
    </cfRule>
  </conditionalFormatting>
  <conditionalFormatting sqref="CU27:CU29">
    <cfRule type="containsText" dxfId="85" priority="14" operator="containsText" text="சரி">
      <formula>NOT(ISERROR(SEARCH("சரி",CU27)))</formula>
    </cfRule>
    <cfRule type="notContainsText" dxfId="84" priority="13" operator="notContains" text="சரி">
      <formula>ISERROR(SEARCH("சரி",CU27))</formula>
    </cfRule>
    <cfRule type="containsText" dxfId="83" priority="12" operator="containsText" text="சரி">
      <formula>NOT(ISERROR(SEARCH("சரி",CU27)))</formula>
    </cfRule>
    <cfRule type="notContainsText" dxfId="82" priority="11" operator="notContains" text="சரி">
      <formula>ISERROR(SEARCH("சரி",CU27))</formula>
    </cfRule>
  </conditionalFormatting>
  <conditionalFormatting sqref="CU27:CU30">
    <cfRule type="notContainsText" dxfId="81" priority="23" operator="notContains" text="சரி">
      <formula>ISERROR(SEARCH("சரி",CU27))</formula>
    </cfRule>
    <cfRule type="containsText" dxfId="80" priority="10" operator="containsText" text="சரி">
      <formula>NOT(ISERROR(SEARCH("சரி",CU27)))</formula>
    </cfRule>
    <cfRule type="containsText" dxfId="79" priority="24" operator="containsText" text="சரி">
      <formula>NOT(ISERROR(SEARCH("சரி",CU27)))</formula>
    </cfRule>
    <cfRule type="notContainsText" dxfId="78" priority="9" operator="notContains" text="சரி">
      <formula>ISERROR(SEARCH("சரி",CU27))</formula>
    </cfRule>
  </conditionalFormatting>
  <conditionalFormatting sqref="CU27:CU31">
    <cfRule type="notContainsText" dxfId="77" priority="5" operator="notContains" text="சரி">
      <formula>ISERROR(SEARCH("சரி",CU27))</formula>
    </cfRule>
    <cfRule type="containsText" dxfId="76" priority="6" operator="containsText" text="சரி">
      <formula>NOT(ISERROR(SEARCH("சரி",CU27)))</formula>
    </cfRule>
  </conditionalFormatting>
  <conditionalFormatting sqref="CU31">
    <cfRule type="containsText" dxfId="75" priority="4" operator="containsText" text="சரி">
      <formula>NOT(ISERROR(SEARCH("சரி",CU31)))</formula>
    </cfRule>
    <cfRule type="notContainsText" dxfId="74" priority="3" operator="notContains" text="சரி">
      <formula>ISERROR(SEARCH("சரி",CU31))</formula>
    </cfRule>
    <cfRule type="containsText" dxfId="73" priority="2" operator="containsText" text="சரி">
      <formula>NOT(ISERROR(SEARCH("சரி",CU31)))</formula>
    </cfRule>
    <cfRule type="notContainsText" dxfId="72" priority="1" operator="notContains" text="சரி">
      <formula>ISERROR(SEARCH("சரி",CU31))</formula>
    </cfRule>
  </conditionalFormatting>
  <pageMargins left="0.7" right="0.7" top="0.75" bottom="0.75" header="0.3" footer="0.3"/>
  <pageSetup scale="63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B050"/>
    <pageSetUpPr fitToPage="1"/>
  </sheetPr>
  <dimension ref="A1:DQ301"/>
  <sheetViews>
    <sheetView topLeftCell="BI1" zoomScale="85" zoomScaleNormal="85" zoomScaleSheetLayoutView="85" workbookViewId="0">
      <selection activeCell="CJ9" sqref="CJ9"/>
    </sheetView>
  </sheetViews>
  <sheetFormatPr defaultColWidth="9.109375" defaultRowHeight="20.399999999999999" x14ac:dyDescent="0.45"/>
  <cols>
    <col min="1" max="22" width="8.109375" style="1" hidden="1" customWidth="1"/>
    <col min="23" max="27" width="5.109375" style="1" hidden="1" customWidth="1"/>
    <col min="28" max="31" width="2.5546875" style="1" hidden="1" customWidth="1"/>
    <col min="32" max="37" width="8.109375" style="1" hidden="1" customWidth="1"/>
    <col min="38" max="38" width="2.5546875" style="1" hidden="1" customWidth="1"/>
    <col min="39" max="39" width="2.44140625" style="1" hidden="1" customWidth="1"/>
    <col min="40" max="40" width="2.5546875" style="1" hidden="1" customWidth="1"/>
    <col min="41" max="41" width="2.44140625" style="1" hidden="1" customWidth="1"/>
    <col min="42" max="51" width="2.5546875" style="1" hidden="1" customWidth="1"/>
    <col min="52" max="56" width="8.109375" style="1" hidden="1" customWidth="1"/>
    <col min="57" max="57" width="11.109375" style="1" hidden="1" customWidth="1"/>
    <col min="58" max="60" width="9.109375" style="1" hidden="1" customWidth="1"/>
    <col min="61" max="61" width="25.6640625" style="17" bestFit="1" customWidth="1"/>
    <col min="62" max="63" width="4" style="1" hidden="1" customWidth="1"/>
    <col min="64" max="64" width="4.5546875" style="1" hidden="1" customWidth="1"/>
    <col min="65" max="65" width="3" style="1" hidden="1" customWidth="1"/>
    <col min="66" max="71" width="2.6640625" style="1" hidden="1" customWidth="1"/>
    <col min="72" max="81" width="4.33203125" style="1" hidden="1" customWidth="1"/>
    <col min="82" max="82" width="15" style="1" bestFit="1" customWidth="1"/>
    <col min="83" max="83" width="16.44140625" style="1" bestFit="1" customWidth="1"/>
    <col min="84" max="84" width="15.33203125" style="1" bestFit="1" customWidth="1"/>
    <col min="85" max="85" width="18.33203125" style="1" bestFit="1" customWidth="1"/>
    <col min="86" max="86" width="7.6640625" style="1" customWidth="1"/>
    <col min="87" max="92" width="4.44140625" style="1" customWidth="1"/>
    <col min="93" max="93" width="21.5546875" style="1" customWidth="1"/>
    <col min="94" max="94" width="18" style="1" customWidth="1"/>
    <col min="95" max="95" width="9.109375" style="1" hidden="1" customWidth="1"/>
    <col min="96" max="96" width="19.44140625" style="1" customWidth="1"/>
    <col min="97" max="97" width="23.88671875" style="1" bestFit="1" customWidth="1"/>
    <col min="98" max="98" width="26" style="1" bestFit="1" customWidth="1"/>
    <col min="99" max="99" width="15.6640625" style="1" customWidth="1"/>
    <col min="100" max="100" width="9.109375" style="82" customWidth="1"/>
    <col min="101" max="101" width="9.109375" style="82"/>
    <col min="102" max="102" width="10.88671875" style="82" bestFit="1" customWidth="1"/>
    <col min="103" max="120" width="9.109375" style="82"/>
    <col min="121" max="16384" width="9.109375" style="1"/>
  </cols>
  <sheetData>
    <row r="1" spans="1:121" ht="32.4" x14ac:dyDescent="0.7">
      <c r="A1" s="117"/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8"/>
      <c r="V1" s="118"/>
      <c r="W1" s="118"/>
      <c r="X1" s="118"/>
      <c r="Y1" s="118"/>
      <c r="Z1" s="118"/>
      <c r="AA1" s="118"/>
      <c r="AB1" s="118"/>
      <c r="AC1" s="118"/>
      <c r="AD1" s="118"/>
      <c r="AE1" s="118"/>
      <c r="AF1" s="118"/>
      <c r="AG1" s="118"/>
      <c r="AH1" s="118"/>
      <c r="AI1" s="118"/>
      <c r="AJ1" s="118"/>
      <c r="AK1" s="118"/>
      <c r="AL1" s="118"/>
      <c r="AM1" s="118"/>
      <c r="AN1" s="118"/>
      <c r="AO1" s="118"/>
      <c r="AP1" s="118"/>
      <c r="AQ1" s="118"/>
      <c r="AR1" s="118"/>
      <c r="AS1" s="118"/>
      <c r="AT1" s="118"/>
      <c r="AU1" s="118"/>
      <c r="AV1" s="118"/>
      <c r="AW1" s="118"/>
      <c r="AX1" s="118"/>
      <c r="AY1" s="118"/>
      <c r="AZ1" s="118"/>
      <c r="BA1" s="118"/>
      <c r="BB1" s="118"/>
      <c r="BC1" s="118"/>
      <c r="BD1" s="118"/>
      <c r="BE1" s="118"/>
      <c r="BF1" s="118"/>
      <c r="BG1" s="118"/>
      <c r="BH1" s="118"/>
      <c r="BI1" s="90" t="s">
        <v>501</v>
      </c>
      <c r="BJ1" s="91"/>
      <c r="BK1" s="91"/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  <c r="BZ1" s="91"/>
      <c r="CA1" s="91"/>
      <c r="CB1" s="91"/>
      <c r="CC1" s="91"/>
      <c r="CD1" s="91"/>
      <c r="CE1" s="91"/>
      <c r="CF1" s="91"/>
      <c r="CG1" s="91"/>
      <c r="CH1" s="91"/>
      <c r="CI1" s="91"/>
      <c r="CJ1" s="91"/>
      <c r="CK1" s="91"/>
      <c r="CL1" s="91"/>
      <c r="CM1" s="91"/>
      <c r="CN1" s="91"/>
      <c r="CO1" s="91"/>
      <c r="CP1" s="91"/>
      <c r="CQ1" s="91"/>
      <c r="CR1" s="91"/>
      <c r="CS1" s="91"/>
      <c r="CT1" s="91"/>
      <c r="CU1" s="92"/>
    </row>
    <row r="2" spans="1:121" ht="25.8" x14ac:dyDescent="0.55000000000000004">
      <c r="A2" s="119"/>
      <c r="BI2" s="93"/>
      <c r="BJ2" s="94"/>
      <c r="BK2" s="94"/>
      <c r="BL2" s="94"/>
      <c r="BM2" s="94"/>
      <c r="BN2" s="94"/>
      <c r="BO2" s="94"/>
      <c r="BP2" s="94"/>
      <c r="BQ2" s="94"/>
      <c r="BR2" s="94"/>
      <c r="BS2" s="94"/>
      <c r="BT2" s="94"/>
      <c r="BU2" s="94"/>
      <c r="BV2" s="94"/>
      <c r="BW2" s="94"/>
      <c r="BX2" s="94"/>
      <c r="BY2" s="94"/>
      <c r="BZ2" s="94"/>
      <c r="CA2" s="94"/>
      <c r="CB2" s="94"/>
      <c r="CC2" s="94"/>
      <c r="CD2" s="94"/>
      <c r="CE2" s="94"/>
      <c r="CF2" s="94"/>
      <c r="CG2" s="94"/>
      <c r="CH2" s="94"/>
      <c r="CI2" s="94"/>
      <c r="CJ2" s="94"/>
      <c r="CK2" s="94"/>
      <c r="CL2" s="94"/>
      <c r="CM2" s="94"/>
      <c r="CN2" s="94"/>
      <c r="CO2" s="94"/>
      <c r="CP2" s="94"/>
      <c r="CQ2" s="94"/>
      <c r="CR2" s="94"/>
      <c r="CS2" s="94"/>
      <c r="CT2" s="94"/>
      <c r="CU2" s="179" t="s">
        <v>507</v>
      </c>
    </row>
    <row r="3" spans="1:121" ht="16.8" x14ac:dyDescent="0.35">
      <c r="A3" s="119"/>
      <c r="BI3" s="44"/>
      <c r="BJ3" s="25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7"/>
      <c r="BX3" s="28"/>
      <c r="BY3" s="28"/>
      <c r="BZ3" s="28"/>
      <c r="CA3" s="28"/>
      <c r="CB3" s="28"/>
      <c r="CC3" s="28"/>
      <c r="CD3" s="25"/>
      <c r="CE3" s="25"/>
      <c r="CF3" s="25"/>
      <c r="CG3" s="25"/>
      <c r="CH3" s="25"/>
      <c r="CI3" s="25"/>
      <c r="CJ3" s="25"/>
      <c r="CK3" s="25"/>
      <c r="CL3" s="25"/>
      <c r="CM3" s="25"/>
      <c r="CN3" s="25"/>
      <c r="CO3" s="25"/>
      <c r="CP3" s="101"/>
      <c r="CQ3" s="101"/>
      <c r="CR3" s="101"/>
      <c r="CS3" s="101"/>
      <c r="CT3" s="101"/>
      <c r="CU3" s="102"/>
    </row>
    <row r="4" spans="1:121" s="17" customFormat="1" x14ac:dyDescent="0.45">
      <c r="A4" s="120"/>
      <c r="BI4" s="159" t="s">
        <v>348</v>
      </c>
      <c r="BJ4" s="160"/>
      <c r="BK4" s="160"/>
      <c r="BL4" s="160"/>
      <c r="BM4" s="160"/>
      <c r="BN4" s="160"/>
      <c r="BO4" s="160"/>
      <c r="BP4" s="160"/>
      <c r="BQ4" s="160"/>
      <c r="BR4" s="160"/>
      <c r="BS4" s="160"/>
      <c r="BT4" s="160"/>
      <c r="BU4" s="160"/>
      <c r="BV4" s="160"/>
      <c r="BW4" s="160"/>
      <c r="BX4" s="160"/>
      <c r="BY4" s="160"/>
      <c r="BZ4" s="160"/>
      <c r="CA4" s="160"/>
      <c r="CB4" s="160"/>
      <c r="CC4" s="160"/>
      <c r="CD4" s="160"/>
      <c r="CE4" s="160"/>
      <c r="CF4" s="160"/>
      <c r="CG4" s="160"/>
      <c r="CH4" s="160"/>
      <c r="CI4" s="160"/>
      <c r="CJ4" s="160"/>
      <c r="CK4" s="160"/>
      <c r="CL4" s="160"/>
      <c r="CM4" s="160"/>
      <c r="CN4" s="160"/>
      <c r="CO4" s="160"/>
      <c r="CP4" s="161"/>
      <c r="CQ4" s="161"/>
      <c r="CR4" s="161"/>
      <c r="CS4" s="161"/>
      <c r="CT4" s="161"/>
      <c r="CU4" s="180"/>
      <c r="CV4" s="87"/>
      <c r="CW4" s="87"/>
      <c r="CX4" s="87"/>
      <c r="CY4" s="87"/>
      <c r="CZ4" s="87"/>
      <c r="DA4" s="87"/>
      <c r="DB4" s="87"/>
      <c r="DC4" s="87"/>
      <c r="DD4" s="87"/>
      <c r="DE4" s="87"/>
      <c r="DF4" s="87"/>
      <c r="DG4" s="87"/>
      <c r="DH4" s="87"/>
      <c r="DI4" s="87"/>
      <c r="DJ4" s="87"/>
      <c r="DK4" s="87"/>
      <c r="DL4" s="87"/>
      <c r="DM4" s="87"/>
      <c r="DN4" s="87"/>
      <c r="DO4" s="87"/>
      <c r="DP4" s="87"/>
    </row>
    <row r="5" spans="1:121" s="29" customFormat="1" ht="17.399999999999999" thickBot="1" x14ac:dyDescent="0.4">
      <c r="A5" s="121"/>
      <c r="BI5" s="162"/>
      <c r="BJ5" s="163"/>
      <c r="BK5" s="164"/>
      <c r="BL5" s="164"/>
      <c r="BM5" s="164"/>
      <c r="BN5" s="164"/>
      <c r="BO5" s="164"/>
      <c r="BP5" s="164"/>
      <c r="BQ5" s="164"/>
      <c r="BR5" s="164"/>
      <c r="BS5" s="164"/>
      <c r="BT5" s="164"/>
      <c r="BU5" s="164"/>
      <c r="BV5" s="164"/>
      <c r="BW5" s="165"/>
      <c r="BX5" s="166"/>
      <c r="BY5" s="166"/>
      <c r="BZ5" s="166"/>
      <c r="CA5" s="166"/>
      <c r="CB5" s="166"/>
      <c r="CC5" s="166"/>
      <c r="CD5" s="110"/>
      <c r="CE5" s="110"/>
      <c r="CF5" s="110"/>
      <c r="CG5" s="110"/>
      <c r="CH5" s="167"/>
      <c r="CI5" s="167"/>
      <c r="CJ5" s="167"/>
      <c r="CK5" s="167"/>
      <c r="CL5" s="167"/>
      <c r="CM5" s="167"/>
      <c r="CN5" s="167"/>
      <c r="CO5" s="167"/>
      <c r="CP5" s="110"/>
      <c r="CQ5" s="110"/>
      <c r="CR5" s="110"/>
      <c r="CS5" s="163"/>
      <c r="CT5" s="163"/>
      <c r="CU5" s="181"/>
      <c r="CV5" s="88"/>
      <c r="CW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</row>
    <row r="6" spans="1:121" s="29" customFormat="1" ht="17.25" customHeight="1" thickTop="1" x14ac:dyDescent="0.35">
      <c r="A6" s="121"/>
      <c r="BI6" s="168"/>
      <c r="BJ6" s="163"/>
      <c r="BK6" s="169"/>
      <c r="BL6" s="169"/>
      <c r="BM6" s="169"/>
      <c r="BN6" s="169"/>
      <c r="BO6" s="169"/>
      <c r="BP6" s="169"/>
      <c r="BQ6" s="169"/>
      <c r="BR6" s="169"/>
      <c r="BS6" s="169"/>
      <c r="BT6" s="169"/>
      <c r="BU6" s="169"/>
      <c r="BV6" s="169"/>
      <c r="BW6" s="165"/>
      <c r="BX6" s="166"/>
      <c r="BY6" s="166"/>
      <c r="BZ6" s="166"/>
      <c r="CA6" s="166"/>
      <c r="CB6" s="166"/>
      <c r="CC6" s="166"/>
      <c r="CD6" s="182" t="s">
        <v>520</v>
      </c>
      <c r="CE6" s="182" t="s">
        <v>521</v>
      </c>
      <c r="CF6" s="182" t="s">
        <v>522</v>
      </c>
      <c r="CG6" s="182" t="s">
        <v>523</v>
      </c>
      <c r="CH6" s="163"/>
      <c r="CI6" s="163"/>
      <c r="CJ6" s="163"/>
      <c r="CK6" s="163"/>
      <c r="CL6" s="163"/>
      <c r="CM6" s="163"/>
      <c r="CN6" s="163"/>
      <c r="CO6" s="163"/>
      <c r="CP6" s="110"/>
      <c r="CQ6" s="163"/>
      <c r="CR6" s="213" t="s">
        <v>506</v>
      </c>
      <c r="CS6" s="174"/>
      <c r="CT6" s="163"/>
      <c r="CU6" s="181"/>
      <c r="CV6" s="88"/>
      <c r="CW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</row>
    <row r="7" spans="1:121" s="29" customFormat="1" ht="24.9" customHeight="1" x14ac:dyDescent="0.35">
      <c r="A7" s="121"/>
      <c r="BI7" s="170"/>
      <c r="BJ7" s="163"/>
      <c r="BK7" s="164"/>
      <c r="BL7" s="164"/>
      <c r="BM7" s="164"/>
      <c r="BN7" s="164"/>
      <c r="BO7" s="164"/>
      <c r="BP7" s="164"/>
      <c r="BQ7" s="164"/>
      <c r="BR7" s="164"/>
      <c r="BS7" s="164"/>
      <c r="BT7" s="164"/>
      <c r="BU7" s="164"/>
      <c r="BV7" s="164"/>
      <c r="BW7" s="165"/>
      <c r="BX7" s="166"/>
      <c r="BY7" s="166"/>
      <c r="BZ7" s="166"/>
      <c r="CA7" s="166"/>
      <c r="CB7" s="166"/>
      <c r="CC7" s="166"/>
      <c r="CD7" s="31"/>
      <c r="CE7" s="31"/>
      <c r="CF7" s="31"/>
      <c r="CG7" s="175" t="s">
        <v>374</v>
      </c>
      <c r="CH7" s="163"/>
      <c r="CI7" s="163"/>
      <c r="CJ7" s="163"/>
      <c r="CK7" s="163"/>
      <c r="CL7" s="163"/>
      <c r="CM7" s="163"/>
      <c r="CN7" s="163"/>
      <c r="CO7" s="163"/>
      <c r="CP7" s="110"/>
      <c r="CQ7" s="163"/>
      <c r="CR7" s="214"/>
      <c r="CS7" s="174"/>
      <c r="CT7" s="163"/>
      <c r="CU7" s="181"/>
      <c r="CV7" s="88"/>
      <c r="CW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</row>
    <row r="8" spans="1:121" ht="17.25" customHeight="1" x14ac:dyDescent="0.35">
      <c r="A8" s="119"/>
      <c r="BI8" s="170"/>
      <c r="BJ8" s="110"/>
      <c r="BK8" s="171"/>
      <c r="BL8" s="171"/>
      <c r="BM8" s="171"/>
      <c r="BN8" s="171"/>
      <c r="BO8" s="171"/>
      <c r="BP8" s="171"/>
      <c r="BQ8" s="171"/>
      <c r="BR8" s="171"/>
      <c r="BS8" s="171"/>
      <c r="BT8" s="171"/>
      <c r="BU8" s="171"/>
      <c r="BV8" s="171"/>
      <c r="BW8" s="172"/>
      <c r="BX8" s="173"/>
      <c r="BY8" s="173"/>
      <c r="BZ8" s="173"/>
      <c r="CA8" s="173"/>
      <c r="CB8" s="173"/>
      <c r="CC8" s="173"/>
      <c r="CD8" s="182" t="s">
        <v>524</v>
      </c>
      <c r="CE8" s="182" t="s">
        <v>525</v>
      </c>
      <c r="CF8" s="182" t="s">
        <v>526</v>
      </c>
      <c r="CG8" s="183" t="s">
        <v>527</v>
      </c>
      <c r="CH8" s="110"/>
      <c r="CI8" s="110"/>
      <c r="CJ8" s="110"/>
      <c r="CK8" s="110"/>
      <c r="CL8" s="110"/>
      <c r="CM8" s="110"/>
      <c r="CN8" s="110"/>
      <c r="CO8" s="110"/>
      <c r="CP8" s="110"/>
      <c r="CQ8" s="110"/>
      <c r="CR8" s="214"/>
      <c r="CS8" s="174"/>
      <c r="CT8" s="163"/>
      <c r="CU8" s="111"/>
    </row>
    <row r="9" spans="1:121" ht="24.9" customHeight="1" x14ac:dyDescent="0.35">
      <c r="A9" s="119"/>
      <c r="BI9" s="109"/>
      <c r="BJ9" s="110"/>
      <c r="BK9" s="171"/>
      <c r="BL9" s="171"/>
      <c r="BM9" s="171"/>
      <c r="BN9" s="171"/>
      <c r="BO9" s="171"/>
      <c r="BP9" s="171"/>
      <c r="BQ9" s="171"/>
      <c r="BR9" s="171"/>
      <c r="BS9" s="171"/>
      <c r="BT9" s="171"/>
      <c r="BU9" s="171"/>
      <c r="BV9" s="171"/>
      <c r="BW9" s="172"/>
      <c r="BX9" s="173"/>
      <c r="BY9" s="173"/>
      <c r="BZ9" s="173"/>
      <c r="CA9" s="173"/>
      <c r="CB9" s="173"/>
      <c r="CC9" s="173"/>
      <c r="CD9" s="31"/>
      <c r="CE9" s="31"/>
      <c r="CF9" s="31"/>
      <c r="CG9" s="31"/>
      <c r="CH9" s="110"/>
      <c r="CI9" s="110"/>
      <c r="CJ9" s="110"/>
      <c r="CK9" s="110"/>
      <c r="CL9" s="110"/>
      <c r="CM9" s="110"/>
      <c r="CN9" s="110"/>
      <c r="CO9" s="110"/>
      <c r="CP9" s="110"/>
      <c r="CQ9" s="110"/>
      <c r="CR9" s="214"/>
      <c r="CS9" s="174"/>
      <c r="CT9" s="163"/>
      <c r="CU9" s="111"/>
    </row>
    <row r="10" spans="1:121" s="29" customFormat="1" ht="17.25" customHeight="1" x14ac:dyDescent="0.35">
      <c r="A10" s="121"/>
      <c r="BI10" s="168"/>
      <c r="BJ10" s="163"/>
      <c r="BK10" s="169"/>
      <c r="BL10" s="169"/>
      <c r="BM10" s="169"/>
      <c r="BN10" s="169"/>
      <c r="BO10" s="169"/>
      <c r="BP10" s="169"/>
      <c r="BQ10" s="169"/>
      <c r="BR10" s="169"/>
      <c r="BS10" s="169"/>
      <c r="BT10" s="169"/>
      <c r="BU10" s="169"/>
      <c r="BV10" s="169"/>
      <c r="BW10" s="165"/>
      <c r="BX10" s="166"/>
      <c r="BY10" s="166"/>
      <c r="BZ10" s="166"/>
      <c r="CA10" s="166"/>
      <c r="CB10" s="166"/>
      <c r="CC10" s="166"/>
      <c r="CD10" s="182" t="s">
        <v>528</v>
      </c>
      <c r="CE10" s="182" t="s">
        <v>529</v>
      </c>
      <c r="CF10" s="182" t="s">
        <v>530</v>
      </c>
      <c r="CG10" s="182" t="s">
        <v>531</v>
      </c>
      <c r="CH10" s="163"/>
      <c r="CI10" s="163"/>
      <c r="CJ10" s="163"/>
      <c r="CK10" s="163"/>
      <c r="CL10" s="163"/>
      <c r="CM10" s="163"/>
      <c r="CN10" s="163"/>
      <c r="CO10" s="163"/>
      <c r="CP10" s="110"/>
      <c r="CQ10" s="163"/>
      <c r="CR10" s="176" t="str">
        <f>IF(CONCATENATE(CU17,CU18,CU19,CU20,CU21,CU22,CU23,CU24,CU25,CU26,CU27,CU28,CU29,CU30,CS34,CS38)="சரிசரிசரிசரிசரிசரிசரிசரிசரிசரிசரிசரிசரிசரிசரிசரி","சரியானது","பிழையானது")</f>
        <v>சரியானது</v>
      </c>
      <c r="CS10" s="177"/>
      <c r="CT10" s="163"/>
      <c r="CU10" s="181"/>
      <c r="CV10" s="88"/>
      <c r="CW10" s="88"/>
      <c r="DD10" s="88"/>
      <c r="DE10" s="88"/>
      <c r="DF10" s="88"/>
      <c r="DG10" s="88"/>
      <c r="DH10" s="88"/>
      <c r="DI10" s="88"/>
      <c r="DJ10" s="88"/>
      <c r="DK10" s="88"/>
      <c r="DL10" s="88"/>
      <c r="DM10" s="88"/>
      <c r="DN10" s="88"/>
      <c r="DO10" s="88"/>
      <c r="DP10" s="88"/>
    </row>
    <row r="11" spans="1:121" ht="24.9" customHeight="1" x14ac:dyDescent="0.35">
      <c r="A11" s="119"/>
      <c r="BI11" s="109"/>
      <c r="BJ11" s="110"/>
      <c r="BK11" s="171"/>
      <c r="BL11" s="171"/>
      <c r="BM11" s="171"/>
      <c r="BN11" s="171"/>
      <c r="BO11" s="171"/>
      <c r="BP11" s="171"/>
      <c r="BQ11" s="171"/>
      <c r="BR11" s="171"/>
      <c r="BS11" s="171"/>
      <c r="BT11" s="171"/>
      <c r="BU11" s="171"/>
      <c r="BV11" s="171"/>
      <c r="BW11" s="172"/>
      <c r="BX11" s="173"/>
      <c r="BY11" s="173"/>
      <c r="BZ11" s="173"/>
      <c r="CA11" s="173"/>
      <c r="CB11" s="173"/>
      <c r="CC11" s="173"/>
      <c r="CD11" s="31"/>
      <c r="CE11" s="31"/>
      <c r="CF11" s="31"/>
      <c r="CG11" s="31"/>
      <c r="CH11" s="110"/>
      <c r="CI11" s="110"/>
      <c r="CJ11" s="110"/>
      <c r="CK11" s="110"/>
      <c r="CL11" s="110"/>
      <c r="CM11" s="110"/>
      <c r="CN11" s="110"/>
      <c r="CO11" s="110"/>
      <c r="CP11" s="110"/>
      <c r="CQ11" s="110"/>
      <c r="CR11" s="195" t="str">
        <f>IF(NOT(CR10="பிழையானது"),(IF((CS34&amp;CS38&amp;CP39)="சரிசரிஎதுகை","ஒரு விகற்ப எதுகை",IF((CS34&amp;CS38&amp;CP39)="சரிசரிஎதுகை அமையவில்லை","இரு விகற்ப"))),"")</f>
        <v>ஒரு விகற்ப எதுகை</v>
      </c>
      <c r="CS11" s="163"/>
      <c r="CT11" s="163"/>
      <c r="CU11" s="111"/>
    </row>
    <row r="12" spans="1:121" ht="17.25" customHeight="1" thickBot="1" x14ac:dyDescent="0.4">
      <c r="A12" s="119"/>
      <c r="BI12" s="109"/>
      <c r="BJ12" s="110"/>
      <c r="BK12" s="110"/>
      <c r="BL12" s="110"/>
      <c r="BM12" s="110"/>
      <c r="BN12" s="110"/>
      <c r="BO12" s="110"/>
      <c r="BP12" s="110"/>
      <c r="BQ12" s="110"/>
      <c r="BR12" s="110"/>
      <c r="BS12" s="110"/>
      <c r="BT12" s="110"/>
      <c r="BU12" s="110"/>
      <c r="BV12" s="110"/>
      <c r="BW12" s="110"/>
      <c r="BX12" s="110"/>
      <c r="BY12" s="110"/>
      <c r="BZ12" s="110"/>
      <c r="CA12" s="110"/>
      <c r="CB12" s="110"/>
      <c r="CC12" s="110"/>
      <c r="CD12" s="182" t="s">
        <v>524</v>
      </c>
      <c r="CE12" s="182" t="s">
        <v>532</v>
      </c>
      <c r="CF12" s="182" t="s">
        <v>526</v>
      </c>
      <c r="CG12" s="184"/>
      <c r="CH12" s="110"/>
      <c r="CI12" s="110"/>
      <c r="CJ12" s="110"/>
      <c r="CK12" s="110"/>
      <c r="CL12" s="110"/>
      <c r="CM12" s="110"/>
      <c r="CN12" s="110"/>
      <c r="CO12" s="110"/>
      <c r="CP12" s="110"/>
      <c r="CQ12" s="110"/>
      <c r="CR12" s="196" t="str">
        <f>IF(CR10="சரியானது",(IFERROR((IF((VLOOKUP(CO22,BASE!E81:G84,3,0))="இருகுறள் வெண்பா","இருகுறள் வெண்பா","ஆசிடை வெண்பா")),"ஆசிடை வெண்பா")),"")</f>
        <v>இருகுறள் வெண்பா</v>
      </c>
      <c r="CS12" s="178"/>
      <c r="CT12" s="163"/>
      <c r="CU12" s="111"/>
    </row>
    <row r="13" spans="1:121" ht="17.399999999999999" thickTop="1" x14ac:dyDescent="0.35">
      <c r="A13" s="119"/>
      <c r="BI13" s="109"/>
      <c r="BJ13" s="110"/>
      <c r="BK13" s="110"/>
      <c r="BL13" s="110"/>
      <c r="BM13" s="110"/>
      <c r="BN13" s="110"/>
      <c r="BO13" s="110"/>
      <c r="BP13" s="110"/>
      <c r="BQ13" s="110"/>
      <c r="BR13" s="110"/>
      <c r="BS13" s="110"/>
      <c r="BT13" s="110"/>
      <c r="BU13" s="110"/>
      <c r="BV13" s="110"/>
      <c r="BW13" s="110"/>
      <c r="BX13" s="110"/>
      <c r="BY13" s="110"/>
      <c r="BZ13" s="110"/>
      <c r="CA13" s="110"/>
      <c r="CB13" s="110"/>
      <c r="CC13" s="110"/>
      <c r="CD13" s="110"/>
      <c r="CE13" s="110"/>
      <c r="CF13" s="110"/>
      <c r="CG13" s="110"/>
      <c r="CH13" s="110"/>
      <c r="CI13" s="110"/>
      <c r="CJ13" s="110"/>
      <c r="CK13" s="110"/>
      <c r="CL13" s="110"/>
      <c r="CM13" s="110"/>
      <c r="CN13" s="110"/>
      <c r="CO13" s="110"/>
      <c r="CP13" s="110"/>
      <c r="CQ13" s="110"/>
      <c r="CR13" s="110"/>
      <c r="CS13" s="110"/>
      <c r="CT13" s="110"/>
      <c r="CU13" s="111"/>
    </row>
    <row r="14" spans="1:121" s="41" customFormat="1" x14ac:dyDescent="0.45">
      <c r="A14" s="122"/>
      <c r="BI14" s="70" t="s">
        <v>347</v>
      </c>
      <c r="BJ14" s="71"/>
      <c r="BK14" s="71"/>
      <c r="BL14" s="71"/>
      <c r="BM14" s="71"/>
      <c r="BN14" s="71"/>
      <c r="BO14" s="71"/>
      <c r="BP14" s="71"/>
      <c r="BQ14" s="71"/>
      <c r="BR14" s="71"/>
      <c r="BS14" s="71"/>
      <c r="BT14" s="71"/>
      <c r="BU14" s="71"/>
      <c r="BV14" s="71"/>
      <c r="BW14" s="71"/>
      <c r="BX14" s="71"/>
      <c r="BY14" s="71"/>
      <c r="BZ14" s="71"/>
      <c r="CA14" s="71"/>
      <c r="CB14" s="71"/>
      <c r="CC14" s="71"/>
      <c r="CD14" s="71"/>
      <c r="CE14" s="71"/>
      <c r="CF14" s="71"/>
      <c r="CG14" s="71"/>
      <c r="CH14" s="71"/>
      <c r="CI14" s="71"/>
      <c r="CJ14" s="71"/>
      <c r="CK14" s="71"/>
      <c r="CL14" s="71"/>
      <c r="CM14" s="71"/>
      <c r="CN14" s="71"/>
      <c r="CO14" s="71"/>
      <c r="CP14" s="71"/>
      <c r="CQ14" s="71"/>
      <c r="CR14" s="71"/>
      <c r="CS14" s="71"/>
      <c r="CT14" s="71"/>
      <c r="CU14" s="72"/>
      <c r="CV14" s="89"/>
      <c r="CW14" s="89"/>
      <c r="DD14" s="89"/>
      <c r="DE14" s="89"/>
      <c r="DF14" s="89"/>
      <c r="DG14" s="89"/>
      <c r="DH14" s="89"/>
      <c r="DI14" s="89"/>
      <c r="DJ14" s="89"/>
      <c r="DK14" s="89"/>
      <c r="DL14" s="89"/>
      <c r="DM14" s="89"/>
      <c r="DN14" s="89"/>
      <c r="DO14" s="89"/>
      <c r="DP14" s="89"/>
    </row>
    <row r="15" spans="1:121" s="41" customFormat="1" ht="16.8" x14ac:dyDescent="0.35">
      <c r="A15" s="122"/>
      <c r="BI15" s="73" t="s">
        <v>349</v>
      </c>
      <c r="BJ15" s="74"/>
      <c r="BK15" s="74"/>
      <c r="BL15" s="74"/>
      <c r="BM15" s="74"/>
      <c r="BN15" s="74"/>
      <c r="BO15" s="74"/>
      <c r="BP15" s="74"/>
      <c r="BQ15" s="74"/>
      <c r="BR15" s="74"/>
      <c r="BS15" s="74"/>
      <c r="BT15" s="74"/>
      <c r="BU15" s="74"/>
      <c r="BV15" s="74"/>
      <c r="BW15" s="74"/>
      <c r="BX15" s="74"/>
      <c r="BY15" s="74"/>
      <c r="BZ15" s="74"/>
      <c r="CA15" s="74"/>
      <c r="CB15" s="74"/>
      <c r="CC15" s="74"/>
      <c r="CD15" s="74" t="s">
        <v>350</v>
      </c>
      <c r="CE15" s="74" t="s">
        <v>351</v>
      </c>
      <c r="CF15" s="74" t="s">
        <v>352</v>
      </c>
      <c r="CG15" s="74" t="s">
        <v>353</v>
      </c>
      <c r="CH15" s="74"/>
      <c r="CI15" s="74"/>
      <c r="CJ15" s="74"/>
      <c r="CK15" s="74"/>
      <c r="CL15" s="74"/>
      <c r="CM15" s="74"/>
      <c r="CN15" s="74"/>
      <c r="CO15" s="74"/>
      <c r="CP15" s="74" t="s">
        <v>354</v>
      </c>
      <c r="CQ15" s="74"/>
      <c r="CR15" s="74" t="s">
        <v>355</v>
      </c>
      <c r="CS15" s="74" t="s">
        <v>355</v>
      </c>
      <c r="CT15" s="74" t="s">
        <v>356</v>
      </c>
      <c r="CU15" s="75"/>
      <c r="CV15" s="89"/>
      <c r="CW15" s="89"/>
      <c r="CX15" s="89"/>
      <c r="CY15" s="89"/>
      <c r="CZ15" s="89"/>
      <c r="DA15" s="89"/>
      <c r="DB15" s="89"/>
      <c r="DC15" s="89"/>
      <c r="DD15" s="89"/>
      <c r="DE15" s="89"/>
      <c r="DF15" s="89"/>
      <c r="DG15" s="89"/>
      <c r="DH15" s="89"/>
      <c r="DI15" s="89"/>
      <c r="DJ15" s="89"/>
      <c r="DK15" s="89"/>
      <c r="DL15" s="89"/>
      <c r="DM15" s="89"/>
      <c r="DN15" s="89"/>
      <c r="DO15" s="89"/>
      <c r="DP15" s="89"/>
    </row>
    <row r="16" spans="1:121" ht="16.8" x14ac:dyDescent="0.35">
      <c r="A16" s="119"/>
      <c r="B16" s="12">
        <f>IFERROR(VLOOKUP((LEFT(L16,4)),BASE!$E$12:$F$23,1,0),IFERROR(VLOOKUP((LEFT(L16,3)),BASE!$E$12:$F$23,1,0),IFERROR(VLOOKUP((LEFT(L16,2)),BASE!$E$12:$F$23,1,0),IFERROR(VLOOKUP((LEFT(L16,1)),BASE!$E$12:$F$23,1,0),100))))</f>
        <v>100</v>
      </c>
      <c r="C16" s="12">
        <f>IFERROR(VLOOKUP((LEFT(M16,4)),BASE!$E$12:$F$23,1,0),IFERROR(VLOOKUP((LEFT(M16,3)),BASE!$E$12:$F$23,1,0),IFERROR(VLOOKUP((LEFT(M16,2)),BASE!$E$12:$F$23,1,0),IFERROR(VLOOKUP((LEFT(M16,1)),BASE!$E$12:$F$23,1,0),100))))</f>
        <v>100</v>
      </c>
      <c r="D16" s="12">
        <f>IFERROR(VLOOKUP((LEFT(N16,4)),BASE!$E$12:$F$23,1,0),IFERROR(VLOOKUP((LEFT(N16,3)),BASE!$E$12:$F$23,1,0),IFERROR(VLOOKUP((LEFT(N16,2)),BASE!$E$12:$F$23,1,0),IFERROR(VLOOKUP((LEFT(N16,1)),BASE!$E$12:$F$23,1,0),100))))</f>
        <v>100</v>
      </c>
      <c r="E16" s="12">
        <f>IFERROR(VLOOKUP((LEFT(O16,4)),BASE!$E$12:$F$23,1,0),IFERROR(VLOOKUP((LEFT(O16,3)),BASE!$E$12:$F$23,1,0),IFERROR(VLOOKUP((LEFT(O16,2)),BASE!$E$12:$F$23,1,0),IFERROR(VLOOKUP((LEFT(O16,1)),BASE!$E$12:$F$23,1,0),100))))</f>
        <v>100</v>
      </c>
      <c r="F16" s="12">
        <f>IFERROR(VLOOKUP((LEFT(P16,4)),BASE!$E$12:$F$23,1,0),IFERROR(VLOOKUP((LEFT(P16,3)),BASE!$E$12:$F$23,1,0),IFERROR(VLOOKUP((LEFT(P16,2)),BASE!$E$12:$F$23,1,0),IFERROR(VLOOKUP((LEFT(P16,1)),BASE!$E$12:$F$23,1,0),100))))</f>
        <v>100</v>
      </c>
      <c r="G16" s="12">
        <f>IFERROR(VLOOKUP((LEFT(Q16,4)),BASE!$E$12:$F$23,1,0),IFERROR(VLOOKUP((LEFT(Q16,3)),BASE!$E$12:$F$23,1,0),IFERROR(VLOOKUP((LEFT(Q16,2)),BASE!$E$12:$F$23,1,0),IFERROR(VLOOKUP((LEFT(Q16,1)),BASE!$E$12:$F$23,1,0),100))))</f>
        <v>100</v>
      </c>
      <c r="H16" s="12">
        <f>IFERROR(VLOOKUP((LEFT(R16,4)),BASE!$E$12:$F$23,1,0),IFERROR(VLOOKUP((LEFT(R16,3)),BASE!$E$12:$F$23,1,0),IFERROR(VLOOKUP((LEFT(R16,2)),BASE!$E$12:$F$23,1,0),IFERROR(VLOOKUP((LEFT(R16,1)),BASE!$E$12:$F$23,1,0),100))))</f>
        <v>100</v>
      </c>
      <c r="I16" s="12">
        <f>IFERROR(VLOOKUP((LEFT(S16,4)),BASE!$E$12:$F$23,1,0),IFERROR(VLOOKUP((LEFT(S16,3)),BASE!$E$12:$F$23,1,0),IFERROR(VLOOKUP((LEFT(S16,2)),BASE!$E$12:$F$23,1,0),IFERROR(VLOOKUP((LEFT(S16,1)),BASE!$E$12:$F$23,1,0),100))))</f>
        <v>100</v>
      </c>
      <c r="J16" s="12" t="str">
        <f>IFERROR(VLOOKUP((LEFT(T16,4)),BASE!$E$12:$F$24,1,0),IFERROR(VLOOKUP((LEFT(T16,3)),BASE!$E$12:$F$24,1,0),IFERROR(VLOOKUP((LEFT(T16,2)),BASE!$E$12:$F$24,1,0),IFERROR(VLOOKUP((LEFT(T16,1)),BASE!$E$12:$F$24,1,0),100))))</f>
        <v>k</v>
      </c>
      <c r="K16" s="12" t="str">
        <f>IFERROR(VLOOKUP((LEFT(U16,4)),BASE!$E$12:$F$23,1,0),IFERROR(VLOOKUP((LEFT(U16,3)),BASE!$E$12:$F$23,1,0),IFERROR(VLOOKUP((LEFT(U16,2)),BASE!$E$12:$F$23,1,0),IFERROR(VLOOKUP((LEFT(U16,1)),BASE!$E$12:$F$23,1,0),100))))</f>
        <v>kk</v>
      </c>
      <c r="L16" s="14" t="str">
        <f t="shared" ref="L16:T30" si="0">MID(M16,LEN(C16)+1,(LEN(M16)))</f>
        <v/>
      </c>
      <c r="M16" s="14" t="str">
        <f t="shared" si="0"/>
        <v/>
      </c>
      <c r="N16" s="14" t="str">
        <f t="shared" si="0"/>
        <v/>
      </c>
      <c r="O16" s="14" t="str">
        <f t="shared" si="0"/>
        <v/>
      </c>
      <c r="P16" s="14" t="str">
        <f t="shared" si="0"/>
        <v/>
      </c>
      <c r="Q16" s="14" t="str">
        <f t="shared" si="0"/>
        <v/>
      </c>
      <c r="R16" s="14" t="str">
        <f t="shared" si="0"/>
        <v/>
      </c>
      <c r="S16" s="14" t="str">
        <f t="shared" si="0"/>
        <v/>
      </c>
      <c r="T16" s="14" t="str">
        <f t="shared" si="0"/>
        <v>k</v>
      </c>
      <c r="U16" s="14" t="str">
        <f t="shared" ref="U16:U30" si="1">AO16&amp;AN16&amp;AM16&amp;AL16&amp;AK16&amp;AJ16&amp;AI16&amp;AH16&amp;AG16&amp;AF16</f>
        <v>kkk</v>
      </c>
      <c r="V16" s="13">
        <f>IFERROR(VLOOKUP(LEFT(AZ16,2),BASE!$C$96:$E$342,3,0),IFERROR(VLOOKUP(LEFT(AZ16,1),BASE!$C$96:$E$342,3,0),100))</f>
        <v>100</v>
      </c>
      <c r="W16" s="13">
        <f>IFERROR(VLOOKUP(LEFT(BA16,2),BASE!$C$96:$E$342,3,0),IFERROR(VLOOKUP(LEFT(BA16,1),BASE!$C$96:$E$342,3,0),100))</f>
        <v>100</v>
      </c>
      <c r="X16" s="13">
        <f>IFERROR(VLOOKUP(LEFT(BB16,2),BASE!$C$96:$E$342,3,0),IFERROR(VLOOKUP(LEFT(BB16,1),BASE!$C$96:$E$342,3,0),100))</f>
        <v>100</v>
      </c>
      <c r="Y16" s="13">
        <f>IFERROR(VLOOKUP(LEFT(BC16,2),BASE!$C$96:$E$342,3,0),IFERROR(VLOOKUP(LEFT(BC16,1),BASE!$C$96:$E$342,3,0),100))</f>
        <v>100</v>
      </c>
      <c r="Z16" s="13">
        <f>IFERROR(VLOOKUP(LEFT(BD16,2),BASE!$C$96:$E$342,3,0),IFERROR(VLOOKUP(LEFT(BD16,1),BASE!$C$96:$E$342,3,0),100))</f>
        <v>100</v>
      </c>
      <c r="AA16" s="13">
        <f>IFERROR(VLOOKUP(LEFT(BE16,2),BASE!$C$96:$E$342,3,0),IFERROR(VLOOKUP(LEFT(BE16,1),BASE!$C$96:$E$342,3,0),100))</f>
        <v>100</v>
      </c>
      <c r="AB16" s="13">
        <f>IFERROR(VLOOKUP(LEFT(BF16,2),BASE!$C$96:$E$342,3,0),IFERROR(VLOOKUP(LEFT(BF16,1),BASE!$C$96:$E$342,3,0),100))</f>
        <v>100</v>
      </c>
      <c r="AC16" s="13">
        <f>IFERROR(VLOOKUP(LEFT(BG16,2),BASE!$C$96:$E$342,3,0),IFERROR(VLOOKUP(LEFT(BG16,1),BASE!$C$96:$E$342,3,0),100))</f>
        <v>1</v>
      </c>
      <c r="AD16" s="13">
        <f>IFERROR(VLOOKUP(LEFT(BH16,2),BASE!$C$96:$E$342,3,0),IFERROR(VLOOKUP(LEFT(BH16,1),BASE!$C$96:$E$342,3,0),100))</f>
        <v>2</v>
      </c>
      <c r="AE16" s="13">
        <f>IFERROR(VLOOKUP(LEFT(BI16,2),BASE!$C$96:$E$342,3,0),IFERROR(VLOOKUP(LEFT(BI16,1),BASE!$C$96:$E$342,3,0),100))</f>
        <v>1</v>
      </c>
      <c r="AF16" s="187" t="str">
        <f>IF(AND(BS16=BR16,AG16="o"),"A", (IFERROR(VLOOKUP(LEFT(AZ16,2),BASE!$C$346:$D$592,2,0),IFERROR(VLOOKUP(LEFT(AZ16,1),BASE!$C$346:$D$5922,2,0),AZ16))))</f>
        <v/>
      </c>
      <c r="AG16" s="187" t="str">
        <f>IF(AND(BR16=BQ16,AH16="o"),"A", (IFERROR(VLOOKUP(LEFT(BA16,2),BASE!$C$346:$D$592,2,0),IFERROR(VLOOKUP(LEFT(BA16,1),BASE!$C$346:$D$592,2,0),BA16))))</f>
        <v/>
      </c>
      <c r="AH16" s="187" t="str">
        <f>IF(AND(BQ16=BP16,AI16="o"),"A", (IFERROR(VLOOKUP(LEFT(BB16,2),BASE!$C$346:$D$592,2,0),IFERROR(VLOOKUP(LEFT(BB16,1),BASE!$C$346:$D$592,2,0),BB16))))</f>
        <v/>
      </c>
      <c r="AI16" s="187" t="str">
        <f>IF(AND(BP16=BO16,AJ16="o"),"A", (IFERROR(VLOOKUP(LEFT(BC16,2),BASE!$C$346:$D$592,2,0),IFERROR(VLOOKUP(LEFT(BC16,1),BASE!$C$346:$D$592,2,0),BC16))))</f>
        <v/>
      </c>
      <c r="AJ16" s="187" t="str">
        <f>IF(AND(BO16=BN16,AK16="o"),"A", (IFERROR(VLOOKUP(LEFT(BD16,2),BASE!$C$346:$D$592,2,0),IFERROR(VLOOKUP(LEFT(BD16,1),BASE!$C$346:$D$592,2,0),BD16))))</f>
        <v/>
      </c>
      <c r="AK16" s="187" t="str">
        <f>IF(AND(BN16=BM16,AL16="o"),"A", (IFERROR(VLOOKUP(LEFT(BE16,2),BASE!$C$346:$D$592,2,0),IFERROR(VLOOKUP(LEFT(BE16,1),BASE!$C$346:$D$592,2,0),BE16))))</f>
        <v/>
      </c>
      <c r="AL16" s="187" t="str">
        <f>IF(AND(BM16=BL16,AM16="o"),"A", (IFERROR(VLOOKUP(LEFT(BF16,2),BASE!$C$346:$D$592,2,0),IFERROR(VLOOKUP(LEFT(BF16,1),BASE!$C$346:$D$592,2,0),BF16))))</f>
        <v/>
      </c>
      <c r="AM16" s="187" t="str">
        <f>IF(AND(BL16=BK16,AN16="o"),"A",(IFERROR(VLOOKUP(LEFT(BG16,2),BASE!$C$346:$D$592,2,0),IFERROR(VLOOKUP(LEFT(BG16,1),BASE!$C$346:$D$592,2,0),BG16))))</f>
        <v>k</v>
      </c>
      <c r="AN16" s="187" t="str">
        <f>(IFERROR(VLOOKUP(LEFT(BH16,2),BASE!$C$346:$D$592,2,0),IFERROR(VLOOKUP(LEFT(BH16,1),BASE!$C$346:$D$592,2,0),BH16)))</f>
        <v>k</v>
      </c>
      <c r="AO16" s="187" t="str">
        <f>(IFERROR(VLOOKUP(LEFT(BI16,2),BASE!$C$96:$D$342,2,0),IFERROR(VLOOKUP(LEFT(BI16,1),BASE!$C$96:$D$342,2,0),BI16)))</f>
        <v>k</v>
      </c>
      <c r="AP16" s="5">
        <f t="shared" ref="AP16:AX30" si="2">AQ16</f>
        <v>4</v>
      </c>
      <c r="AQ16" s="5">
        <f t="shared" si="2"/>
        <v>4</v>
      </c>
      <c r="AR16" s="5">
        <f t="shared" si="2"/>
        <v>4</v>
      </c>
      <c r="AS16" s="5">
        <f t="shared" si="2"/>
        <v>4</v>
      </c>
      <c r="AT16" s="5">
        <f t="shared" si="2"/>
        <v>4</v>
      </c>
      <c r="AU16" s="5">
        <f t="shared" si="2"/>
        <v>4</v>
      </c>
      <c r="AV16" s="5">
        <f t="shared" si="2"/>
        <v>4</v>
      </c>
      <c r="AW16" s="5">
        <f t="shared" si="2"/>
        <v>4</v>
      </c>
      <c r="AX16" s="5">
        <f t="shared" si="2"/>
        <v>4</v>
      </c>
      <c r="AY16" s="5">
        <f t="shared" ref="AY16:AY30" si="3">LEN(BI16)</f>
        <v>4</v>
      </c>
      <c r="AZ16" s="12" t="str">
        <f t="shared" ref="AZ16:BH30" si="4">MID(BA16,W16+1,AQ16)</f>
        <v/>
      </c>
      <c r="BA16" s="12" t="str">
        <f t="shared" si="4"/>
        <v/>
      </c>
      <c r="BB16" s="12" t="str">
        <f t="shared" si="4"/>
        <v/>
      </c>
      <c r="BC16" s="12" t="str">
        <f t="shared" si="4"/>
        <v/>
      </c>
      <c r="BD16" s="12" t="str">
        <f t="shared" si="4"/>
        <v/>
      </c>
      <c r="BE16" s="12" t="str">
        <f t="shared" si="4"/>
        <v/>
      </c>
      <c r="BF16" s="12" t="str">
        <f t="shared" si="4"/>
        <v/>
      </c>
      <c r="BG16" s="12" t="str">
        <f t="shared" si="4"/>
        <v>ய</v>
      </c>
      <c r="BH16" s="43" t="str">
        <f t="shared" si="4"/>
        <v>ரிய</v>
      </c>
      <c r="BI16" s="57" t="str">
        <f>CD6</f>
        <v>அரிய</v>
      </c>
      <c r="BJ16" s="58" t="str">
        <f>IFERROR(VLOOKUP(LEFT(BI16,2),BASE!$C$96:$F$342,1,0),IFERROR(VLOOKUP(LEFT(BI16,1),BASE!$C$96:$F$342,1,0),BI16))</f>
        <v>அ</v>
      </c>
      <c r="BK16" s="58" t="str">
        <f>IFERROR(VLOOKUP(LEFT(BH16,2),BASE!$C$96:$D$342,1,0),IFERROR(VLOOKUP(LEFT(BH16,1),BASE!$C$96:$D$342,1,0),BH16))</f>
        <v>ரி</v>
      </c>
      <c r="BL16" s="58" t="str">
        <f>IFERROR(VLOOKUP(LEFT(BG16,2),BASE!$C$96:$D$342,1,0),IFERROR(VLOOKUP(LEFT(BG16,1),BASE!$C$96:$D$342,1,0),BG16))</f>
        <v>ய</v>
      </c>
      <c r="BM16" s="58" t="str">
        <f>IFERROR(VLOOKUP(LEFT(BF16,2),BASE!$C$96:$D$342,1,0),IFERROR(VLOOKUP(LEFT(BF16,1),BASE!$C$96:$D$342,1,0),BF16))</f>
        <v/>
      </c>
      <c r="BN16" s="58" t="str">
        <f>IFERROR(VLOOKUP(LEFT(BE16,2),BASE!$C$96:$D$342,1,0),IFERROR(VLOOKUP(LEFT(BE16,1),BASE!$C$96:$D$342,1,0),BE16))</f>
        <v/>
      </c>
      <c r="BO16" s="58" t="str">
        <f>IFERROR(VLOOKUP(LEFT(BD16,2),BASE!$C$96:$D$342,1,0),IFERROR(VLOOKUP(LEFT(BD16,1),BASE!$C$96:$D$342,1,0),BD16))</f>
        <v/>
      </c>
      <c r="BP16" s="58" t="str">
        <f>IFERROR(VLOOKUP(LEFT(BC16,2),BASE!$C$96:$D$342,1,0),IFERROR(VLOOKUP(LEFT(BC16,1),BASE!$C$96:$D$342,1,0),BC16))</f>
        <v/>
      </c>
      <c r="BQ16" s="58" t="str">
        <f>IFERROR(VLOOKUP(LEFT(BB16,2),BASE!$C$96:$D$342,1,0),IFERROR(VLOOKUP(LEFT(BB16,1),BASE!$C$96:$D$342,1,0),BB16))</f>
        <v/>
      </c>
      <c r="BR16" s="58" t="str">
        <f>IFERROR(VLOOKUP(LEFT(BA16,2),BASE!$C$96:$D$342,1,0),IFERROR(VLOOKUP(LEFT(BA16,1),BASE!$C$96:$D$342,1,0),BA16))</f>
        <v/>
      </c>
      <c r="BS16" s="58" t="str">
        <f>IFERROR(VLOOKUP(LEFT(AZ16,2),BASE!$C$96:$D$342,1,0),IFERROR(VLOOKUP(LEFT(AZ16,1),BASE!$C$96:$D$342,1,0),AZ16))</f>
        <v/>
      </c>
      <c r="BT16" s="186" t="str">
        <f>(IFERROR(VLOOKUP(LEFT(BI16,2),BASE!$C$96:$F$342,4,0),IFERROR(VLOOKUP(LEFT(BI16,1),BASE!$C$96:$F$342,4,0),BI16)))</f>
        <v>கு</v>
      </c>
      <c r="BU16" s="186" t="str">
        <f>(IFERROR(VLOOKUP(LEFT(BH16,2),BASE!$C$346:$F$592,4,0),IFERROR(VLOOKUP(LEFT(BH16,1),BASE!$C$346:$F$592,4,0),BH16)))</f>
        <v>கு</v>
      </c>
      <c r="BV16" s="186" t="str">
        <f>(IFERROR(VLOOKUP(LEFT(BG16,2),BASE!$C$346:$F$592,4,0),IFERROR(VLOOKUP(LEFT(BG16,1),BASE!$C$346:$F$592,4,0),BG16)))</f>
        <v>கு</v>
      </c>
      <c r="BW16" s="186" t="str">
        <f>(IFERROR(VLOOKUP(LEFT(BF16,2),BASE!$C$346:$F$592,4,0),IFERROR(VLOOKUP(LEFT(BF16,1),BASE!$C$346:$F$592,4,0),BF16)))</f>
        <v/>
      </c>
      <c r="BX16" s="186" t="str">
        <f>(IFERROR(VLOOKUP(LEFT(BE16,2),BASE!$C$346:$F$592,4,0),IFERROR(VLOOKUP(LEFT(BE16,1),BASE!$C$346:$F$592,4,0),BE16)))</f>
        <v/>
      </c>
      <c r="BY16" s="186" t="str">
        <f>(IFERROR(VLOOKUP(LEFT(BD16,2),BASE!$C$346:$F$592,4,0),IFERROR(VLOOKUP(LEFT(BD16,1),BASE!$C$346:$F$592,4,0),BD16)))</f>
        <v/>
      </c>
      <c r="BZ16" s="186" t="str">
        <f>(IFERROR(VLOOKUP(LEFT(BC16,2),BASE!$C$346:$F$592,4,0),IFERROR(VLOOKUP(LEFT(BC16,1),BASE!$C$346:$F$592,4,0),BC16)))</f>
        <v/>
      </c>
      <c r="CA16" s="186" t="str">
        <f>(IFERROR(VLOOKUP(LEFT(BB16,2),BASE!$C$346:$F$592,4,0),IFERROR(VLOOKUP(LEFT(BB16,1),BASE!$C$346:$F$592,4,0),BB16)))</f>
        <v/>
      </c>
      <c r="CB16" s="186" t="str">
        <f>(IFERROR(VLOOKUP(LEFT(BA16,2),BASE!$C$346:$F$592,4,0),IFERROR(VLOOKUP(LEFT(BA16,1),BASE!$C$346:$F$592,4,0),BA16)))</f>
        <v/>
      </c>
      <c r="CC16" s="186" t="str">
        <f>(IFERROR(VLOOKUP(LEFT(AZ16,2),BASE!$C$346:$F$592,4,0),IFERROR(VLOOKUP(LEFT(AZ16,1),BASE!$C$346:$F$592,4,0),AZ16)))</f>
        <v/>
      </c>
      <c r="CD16" s="58" t="str">
        <f t="shared" ref="CD16:CD30" si="5">BT16&amp;BU16&amp;BV16&amp;BW16&amp;BX16&amp;BY16&amp;BZ16&amp;CA16&amp;CB16&amp;CC16</f>
        <v>குகுகு</v>
      </c>
      <c r="CE16" s="58" t="str">
        <f>IFERROR(VLOOKUP((LEFT(U16,4)),BASE!$E$12:$F$23,2,0),IFERROR(VLOOKUP((LEFT(U16,3)),BASE!$E$12:$F$23,2,0),IFERROR(VLOOKUP((LEFT(U16,2)),BASE!$E$12:$F$23,2,0),IFERROR(VLOOKUP((LEFT(U16,1)),BASE!$E$12:$F$23,2,0),U16))))</f>
        <v>நிரை</v>
      </c>
      <c r="CF16" s="58" t="str">
        <f>IFERROR(VLOOKUP((LEFT(T16,4)),BASE!$E$12:$F$24,2,0),IFERROR(VLOOKUP((LEFT(T16,3)),BASE!$E$12:$F$24,2,0),IFERROR(VLOOKUP((LEFT(T16,2)),BASE!$E$12:$F$24,2,0),IFERROR(VLOOKUP((LEFT(T16,1)),BASE!$E$12:$F$24,2,0),T16))))</f>
        <v>நேர்</v>
      </c>
      <c r="CG16" s="58" t="str">
        <f>IFERROR(VLOOKUP((LEFT(S16,4)),BASE!$E$12:$F$23,2,0),IFERROR(VLOOKUP((LEFT(S16,3)),BASE!$E$12:$F$23,2,0),IFERROR(VLOOKUP((LEFT(S16,2)),BASE!$E$12:$F$23,2,0),IFERROR(VLOOKUP((LEFT(S16,1)),BASE!$E$12:$F$23,2,0),S16))))</f>
        <v/>
      </c>
      <c r="CH16" s="58" t="str">
        <f>IFERROR(VLOOKUP((LEFT(R16,4)),BASE!$E$12:$F$23,2,0),IFERROR(VLOOKUP((LEFT(R16,3)),BASE!$E$12:$F$23,2,0),IFERROR(VLOOKUP((LEFT(R16,2)),BASE!$E$12:$F$23,2,0),IFERROR(VLOOKUP((LEFT(R16,1)),BASE!$E$12:$F$23,2,0),R16))))</f>
        <v/>
      </c>
      <c r="CI16" s="58" t="str">
        <f>IFERROR(VLOOKUP((LEFT(Q16,4)),BASE!$E$12:$F$23,2,0),IFERROR(VLOOKUP((LEFT(Q16,3)),BASE!$E$12:$F$23,2,0),IFERROR(VLOOKUP((LEFT(Q16,2)),BASE!$E$12:$F$23,2,0),IFERROR(VLOOKUP((LEFT(Q16,1)),BASE!$E$12:$F$23,2,0),Q16))))</f>
        <v/>
      </c>
      <c r="CJ16" s="58" t="str">
        <f>IFERROR(VLOOKUP((LEFT(P16,4)),BASE!$E$12:$F$23,2,0),IFERROR(VLOOKUP((LEFT(P16,3)),BASE!$E$12:$F$23,2,0),IFERROR(VLOOKUP((LEFT(P16,2)),BASE!$E$12:$F$23,2,0),IFERROR(VLOOKUP((LEFT(P16,1)),BASE!$E$12:$F$23,2,0),P16))))</f>
        <v/>
      </c>
      <c r="CK16" s="58" t="str">
        <f>IFERROR(VLOOKUP((LEFT(O16,4)),BASE!$E$12:$F$23,2,0),IFERROR(VLOOKUP((LEFT(O16,3)),BASE!$E$12:$F$23,2,0),IFERROR(VLOOKUP((LEFT(O16,2)),BASE!$E$12:$F$23,2,0),IFERROR(VLOOKUP((LEFT(O16,1)),BASE!$E$12:$F$23,2,0),O16))))</f>
        <v/>
      </c>
      <c r="CL16" s="58" t="str">
        <f>IFERROR(VLOOKUP((LEFT(N16,4)),BASE!$E$12:$F$23,2,0),IFERROR(VLOOKUP((LEFT(N16,3)),BASE!$E$12:$F$23,2,0),IFERROR(VLOOKUP((LEFT(N16,2)),BASE!$E$12:$F$23,2,0),IFERROR(VLOOKUP((LEFT(N16,1)),BASE!$E$12:$F$23,2,0),N16))))</f>
        <v/>
      </c>
      <c r="CM16" s="58" t="str">
        <f>IFERROR(VLOOKUP((LEFT(M16,4)),BASE!$E$12:$F$23,2,0),IFERROR(VLOOKUP((LEFT(M16,3)),BASE!$E$12:$F$23,2,0),IFERROR(VLOOKUP((LEFT(M16,2)),BASE!$E$12:$F$23,2,0),IFERROR(VLOOKUP((LEFT(M16,1)),BASE!$E$12:$F$23,2,0),M16))))</f>
        <v/>
      </c>
      <c r="CN16" s="58" t="str">
        <f>IFERROR(VLOOKUP((LEFT(L16,4)),BASE!$E$12:$F$23,2,0),IFERROR(VLOOKUP((LEFT(L16,3)),BASE!$E$12:$F$23,2,0),IFERROR(VLOOKUP((LEFT(L16,2)),BASE!$E$12:$F$23,2,0),IFERROR(VLOOKUP((LEFT(L16,1)),BASE!$E$12:$F$23,2,0),L16))))</f>
        <v/>
      </c>
      <c r="CO16" s="58" t="str">
        <f t="shared" ref="CO16:CO30" si="6">CE16&amp;CF16&amp;CG16&amp;CH16</f>
        <v>நிரைநேர்</v>
      </c>
      <c r="CP16" s="58" t="str">
        <f>VLOOKUP(CO16,BASE!$E$25:$F$79,2,0)</f>
        <v>புளிமா</v>
      </c>
      <c r="CQ16" s="58" t="str">
        <f>VLOOKUP(CO16,BASE!$E$25:$G$79,3,0)&amp;CE17</f>
        <v>மாநிரை</v>
      </c>
      <c r="CR16" s="58" t="str">
        <f>VLOOKUP(CQ16,BASE!$E$86:$G$93,2,0)</f>
        <v>மாமுன் நிரை</v>
      </c>
      <c r="CS16" s="58" t="str">
        <f>VLOOKUP(CQ16,BASE!$E$86:$G$93,3,0)</f>
        <v>இயற்சீர் வெண்டளை</v>
      </c>
      <c r="CT16" s="58" t="str">
        <f t="shared" ref="CT16:CT29" si="7">IF((OR(CH16="நிரை",CH16="நேர்")),"மூவசைக்கு மிகக்கூடாது","மூவசைக்கு மிகவில்லை")</f>
        <v>மூவசைக்கு மிகவில்லை</v>
      </c>
      <c r="CU16" s="59" t="str">
        <f t="shared" ref="CU16:CU29" si="8">IF((OR(CS16="இயற்சீர் வெண்டளை",CS16="வெண்சீர் வெண்டளை")),"சரி","தளை தட்டுகிறது")</f>
        <v>சரி</v>
      </c>
      <c r="DQ16" s="82"/>
    </row>
    <row r="17" spans="1:121" ht="19.5" customHeight="1" x14ac:dyDescent="0.35">
      <c r="A17" s="119"/>
      <c r="B17" s="12">
        <f>IFERROR(VLOOKUP((LEFT(L17,4)),BASE!$E$12:$F$23,1,0),IFERROR(VLOOKUP((LEFT(L17,3)),BASE!$E$12:$F$23,1,0),IFERROR(VLOOKUP((LEFT(L17,2)),BASE!$E$12:$F$23,1,0),IFERROR(VLOOKUP((LEFT(L17,1)),BASE!$E$12:$F$23,1,0),100))))</f>
        <v>100</v>
      </c>
      <c r="C17" s="12">
        <f>IFERROR(VLOOKUP((LEFT(M17,4)),BASE!$E$12:$F$23,1,0),IFERROR(VLOOKUP((LEFT(M17,3)),BASE!$E$12:$F$23,1,0),IFERROR(VLOOKUP((LEFT(M17,2)),BASE!$E$12:$F$23,1,0),IFERROR(VLOOKUP((LEFT(M17,1)),BASE!$E$12:$F$23,1,0),100))))</f>
        <v>100</v>
      </c>
      <c r="D17" s="12">
        <f>IFERROR(VLOOKUP((LEFT(N17,4)),BASE!$E$12:$F$23,1,0),IFERROR(VLOOKUP((LEFT(N17,3)),BASE!$E$12:$F$23,1,0),IFERROR(VLOOKUP((LEFT(N17,2)),BASE!$E$12:$F$23,1,0),IFERROR(VLOOKUP((LEFT(N17,1)),BASE!$E$12:$F$23,1,0),100))))</f>
        <v>100</v>
      </c>
      <c r="E17" s="12">
        <f>IFERROR(VLOOKUP((LEFT(O17,4)),BASE!$E$12:$F$23,1,0),IFERROR(VLOOKUP((LEFT(O17,3)),BASE!$E$12:$F$23,1,0),IFERROR(VLOOKUP((LEFT(O17,2)),BASE!$E$12:$F$23,1,0),IFERROR(VLOOKUP((LEFT(O17,1)),BASE!$E$12:$F$23,1,0),100))))</f>
        <v>100</v>
      </c>
      <c r="F17" s="12">
        <f>IFERROR(VLOOKUP((LEFT(P17,4)),BASE!$E$12:$F$23,1,0),IFERROR(VLOOKUP((LEFT(P17,3)),BASE!$E$12:$F$23,1,0),IFERROR(VLOOKUP((LEFT(P17,2)),BASE!$E$12:$F$23,1,0),IFERROR(VLOOKUP((LEFT(P17,1)),BASE!$E$12:$F$23,1,0),100))))</f>
        <v>100</v>
      </c>
      <c r="G17" s="12">
        <f>IFERROR(VLOOKUP((LEFT(Q17,4)),BASE!$E$12:$F$23,1,0),IFERROR(VLOOKUP((LEFT(Q17,3)),BASE!$E$12:$F$23,1,0),IFERROR(VLOOKUP((LEFT(Q17,2)),BASE!$E$12:$F$23,1,0),IFERROR(VLOOKUP((LEFT(Q17,1)),BASE!$E$12:$F$23,1,0),100))))</f>
        <v>100</v>
      </c>
      <c r="H17" s="12">
        <f>IFERROR(VLOOKUP((LEFT(R17,4)),BASE!$E$12:$F$23,1,0),IFERROR(VLOOKUP((LEFT(R17,3)),BASE!$E$12:$F$23,1,0),IFERROR(VLOOKUP((LEFT(R17,2)),BASE!$E$12:$F$23,1,0),IFERROR(VLOOKUP((LEFT(R17,1)),BASE!$E$12:$F$23,1,0),100))))</f>
        <v>100</v>
      </c>
      <c r="I17" s="12" t="str">
        <f>IFERROR(VLOOKUP((LEFT(S17,4)),BASE!$E$12:$F$23,1,0),IFERROR(VLOOKUP((LEFT(S17,3)),BASE!$E$12:$F$23,1,0),IFERROR(VLOOKUP((LEFT(S17,2)),BASE!$E$12:$F$23,1,0),IFERROR(VLOOKUP((LEFT(S17,1)),BASE!$E$12:$F$23,1,0),100))))</f>
        <v>k</v>
      </c>
      <c r="J17" s="12" t="str">
        <f>IFERROR(VLOOKUP((LEFT(T17,4)),BASE!$E$12:$F$24,1,0),IFERROR(VLOOKUP((LEFT(T17,3)),BASE!$E$12:$F$24,1,0),IFERROR(VLOOKUP((LEFT(T17,2)),BASE!$E$12:$F$24,1,0),IFERROR(VLOOKUP((LEFT(T17,1)),BASE!$E$12:$F$24,1,0),100))))</f>
        <v>no</v>
      </c>
      <c r="K17" s="12" t="str">
        <f>IFERROR(VLOOKUP((LEFT(U17,4)),BASE!$E$12:$F$23,1,0),IFERROR(VLOOKUP((LEFT(U17,3)),BASE!$E$12:$F$23,1,0),IFERROR(VLOOKUP((LEFT(U17,2)),BASE!$E$12:$F$23,1,0),IFERROR(VLOOKUP((LEFT(U17,1)),BASE!$E$12:$F$23,1,0),100))))</f>
        <v>kk</v>
      </c>
      <c r="L17" s="14" t="str">
        <f t="shared" si="0"/>
        <v/>
      </c>
      <c r="M17" s="14" t="str">
        <f t="shared" si="0"/>
        <v/>
      </c>
      <c r="N17" s="14" t="str">
        <f t="shared" si="0"/>
        <v/>
      </c>
      <c r="O17" s="14" t="str">
        <f t="shared" si="0"/>
        <v/>
      </c>
      <c r="P17" s="14" t="str">
        <f t="shared" si="0"/>
        <v/>
      </c>
      <c r="Q17" s="14" t="str">
        <f t="shared" si="0"/>
        <v/>
      </c>
      <c r="R17" s="14" t="str">
        <f t="shared" si="0"/>
        <v/>
      </c>
      <c r="S17" s="14" t="str">
        <f t="shared" si="0"/>
        <v>k</v>
      </c>
      <c r="T17" s="14" t="str">
        <f t="shared" si="0"/>
        <v>nok</v>
      </c>
      <c r="U17" s="14" t="str">
        <f t="shared" si="1"/>
        <v>kknok</v>
      </c>
      <c r="V17" s="13">
        <f>IFERROR(VLOOKUP(LEFT(AZ17,2),BASE!$C$96:$E$342,3,0),IFERROR(VLOOKUP(LEFT(AZ17,1),BASE!$C$96:$E$342,3,0),100))</f>
        <v>100</v>
      </c>
      <c r="W17" s="13">
        <f>IFERROR(VLOOKUP(LEFT(BA17,2),BASE!$C$96:$E$342,3,0),IFERROR(VLOOKUP(LEFT(BA17,1),BASE!$C$96:$E$342,3,0),100))</f>
        <v>100</v>
      </c>
      <c r="X17" s="13">
        <f>IFERROR(VLOOKUP(LEFT(BB17,2),BASE!$C$96:$E$342,3,0),IFERROR(VLOOKUP(LEFT(BB17,1),BASE!$C$96:$E$342,3,0),100))</f>
        <v>100</v>
      </c>
      <c r="Y17" s="13">
        <f>IFERROR(VLOOKUP(LEFT(BC17,2),BASE!$C$96:$E$342,3,0),IFERROR(VLOOKUP(LEFT(BC17,1),BASE!$C$96:$E$342,3,0),100))</f>
        <v>100</v>
      </c>
      <c r="Z17" s="13">
        <f>IFERROR(VLOOKUP(LEFT(BD17,2),BASE!$C$96:$E$342,3,0),IFERROR(VLOOKUP(LEFT(BD17,1),BASE!$C$96:$E$342,3,0),100))</f>
        <v>100</v>
      </c>
      <c r="AA17" s="13">
        <f>IFERROR(VLOOKUP(LEFT(BE17,2),BASE!$C$96:$E$342,3,0),IFERROR(VLOOKUP(LEFT(BE17,1),BASE!$C$96:$E$342,3,0),100))</f>
        <v>2</v>
      </c>
      <c r="AB17" s="13">
        <f>IFERROR(VLOOKUP(LEFT(BF17,2),BASE!$C$96:$E$342,3,0),IFERROR(VLOOKUP(LEFT(BF17,1),BASE!$C$96:$E$342,3,0),100))</f>
        <v>2</v>
      </c>
      <c r="AC17" s="13">
        <f>IFERROR(VLOOKUP(LEFT(BG17,2),BASE!$C$96:$E$342,3,0),IFERROR(VLOOKUP(LEFT(BG17,1),BASE!$C$96:$E$342,3,0),100))</f>
        <v>2</v>
      </c>
      <c r="AD17" s="13">
        <f>IFERROR(VLOOKUP(LEFT(BH17,2),BASE!$C$96:$E$342,3,0),IFERROR(VLOOKUP(LEFT(BH17,1),BASE!$C$96:$E$342,3,0),100))</f>
        <v>2</v>
      </c>
      <c r="AE17" s="13">
        <f>IFERROR(VLOOKUP(LEFT(BI17,2),BASE!$C$96:$E$342,3,0),IFERROR(VLOOKUP(LEFT(BI17,1),BASE!$C$96:$E$342,3,0),100))</f>
        <v>1</v>
      </c>
      <c r="AF17" s="187" t="str">
        <f>IF(AND(BS17=BR17,AG17="o"),"A", (IFERROR(VLOOKUP(LEFT(AZ17,2),BASE!$C$346:$D$592,2,0),IFERROR(VLOOKUP(LEFT(AZ17,1),BASE!$C$346:$D$5922,2,0),AZ17))))</f>
        <v/>
      </c>
      <c r="AG17" s="187" t="str">
        <f>IF(AND(BR17=BQ17,AH17="o"),"A", (IFERROR(VLOOKUP(LEFT(BA17,2),BASE!$C$346:$D$592,2,0),IFERROR(VLOOKUP(LEFT(BA17,1),BASE!$C$346:$D$592,2,0),BA17))))</f>
        <v/>
      </c>
      <c r="AH17" s="187" t="str">
        <f>IF(AND(BQ17=BP17,AI17="o"),"A", (IFERROR(VLOOKUP(LEFT(BB17,2),BASE!$C$346:$D$592,2,0),IFERROR(VLOOKUP(LEFT(BB17,1),BASE!$C$346:$D$592,2,0),BB17))))</f>
        <v/>
      </c>
      <c r="AI17" s="187" t="str">
        <f>IF(AND(BP17=BO17,AJ17="o"),"A", (IFERROR(VLOOKUP(LEFT(BC17,2),BASE!$C$346:$D$592,2,0),IFERROR(VLOOKUP(LEFT(BC17,1),BASE!$C$346:$D$592,2,0),BC17))))</f>
        <v/>
      </c>
      <c r="AJ17" s="187" t="str">
        <f>IF(AND(BO17=BN17,AK17="o"),"A", (IFERROR(VLOOKUP(LEFT(BD17,2),BASE!$C$346:$D$592,2,0),IFERROR(VLOOKUP(LEFT(BD17,1),BASE!$C$346:$D$592,2,0),BD17))))</f>
        <v/>
      </c>
      <c r="AK17" s="187" t="str">
        <f>IF(AND(BN17=BM17,AL17="o"),"A", (IFERROR(VLOOKUP(LEFT(BE17,2),BASE!$C$346:$D$592,2,0),IFERROR(VLOOKUP(LEFT(BE17,1),BASE!$C$346:$D$592,2,0),BE17))))</f>
        <v>k</v>
      </c>
      <c r="AL17" s="187" t="str">
        <f>IF(AND(BM17=BL17,AM17="o"),"A", (IFERROR(VLOOKUP(LEFT(BF17,2),BASE!$C$346:$D$592,2,0),IFERROR(VLOOKUP(LEFT(BF17,1),BASE!$C$346:$D$592,2,0),BF17))))</f>
        <v>o</v>
      </c>
      <c r="AM17" s="187" t="str">
        <f>IF(AND(BL17=BK17,AN17="o"),"A",(IFERROR(VLOOKUP(LEFT(BG17,2),BASE!$C$346:$D$592,2,0),IFERROR(VLOOKUP(LEFT(BG17,1),BASE!$C$346:$D$592,2,0),BG17))))</f>
        <v>n</v>
      </c>
      <c r="AN17" s="187" t="str">
        <f>(IFERROR(VLOOKUP(LEFT(BH17,2),BASE!$C$346:$D$592,2,0),IFERROR(VLOOKUP(LEFT(BH17,1),BASE!$C$346:$D$592,2,0),BH17)))</f>
        <v>k</v>
      </c>
      <c r="AO17" s="187" t="str">
        <f>(IFERROR(VLOOKUP(LEFT(BI17,2),BASE!$C$96:$D$342,2,0),IFERROR(VLOOKUP(LEFT(BI17,1),BASE!$C$96:$D$342,2,0),BI17)))</f>
        <v>k</v>
      </c>
      <c r="AP17" s="5">
        <f t="shared" si="2"/>
        <v>9</v>
      </c>
      <c r="AQ17" s="5">
        <f t="shared" si="2"/>
        <v>9</v>
      </c>
      <c r="AR17" s="5">
        <f t="shared" si="2"/>
        <v>9</v>
      </c>
      <c r="AS17" s="5">
        <f t="shared" si="2"/>
        <v>9</v>
      </c>
      <c r="AT17" s="5">
        <f t="shared" si="2"/>
        <v>9</v>
      </c>
      <c r="AU17" s="5">
        <f t="shared" si="2"/>
        <v>9</v>
      </c>
      <c r="AV17" s="5">
        <f t="shared" si="2"/>
        <v>9</v>
      </c>
      <c r="AW17" s="5">
        <f t="shared" si="2"/>
        <v>9</v>
      </c>
      <c r="AX17" s="5">
        <f t="shared" si="2"/>
        <v>9</v>
      </c>
      <c r="AY17" s="5">
        <f t="shared" si="3"/>
        <v>9</v>
      </c>
      <c r="AZ17" s="12" t="str">
        <f t="shared" si="4"/>
        <v/>
      </c>
      <c r="BA17" s="12" t="str">
        <f t="shared" si="4"/>
        <v/>
      </c>
      <c r="BB17" s="12" t="str">
        <f t="shared" si="4"/>
        <v/>
      </c>
      <c r="BC17" s="12" t="str">
        <f t="shared" si="4"/>
        <v/>
      </c>
      <c r="BD17" s="12" t="str">
        <f t="shared" si="4"/>
        <v/>
      </c>
      <c r="BE17" s="12" t="str">
        <f t="shared" si="4"/>
        <v>டு</v>
      </c>
      <c r="BF17" s="12" t="str">
        <f t="shared" si="4"/>
        <v>ண்டு</v>
      </c>
      <c r="BG17" s="12" t="str">
        <f t="shared" si="4"/>
        <v>கீண்டு</v>
      </c>
      <c r="BH17" s="43" t="str">
        <f t="shared" si="4"/>
        <v>ரைகீண்டு</v>
      </c>
      <c r="BI17" s="57" t="str">
        <f>CE6</f>
        <v>வரைகீண்டு</v>
      </c>
      <c r="BJ17" s="58" t="str">
        <f>IFERROR(VLOOKUP(LEFT(BI17,2),BASE!$C$96:$F$342,1,0),IFERROR(VLOOKUP(LEFT(BI17,1),BASE!$C$96:$F$342,1,0),BI17))</f>
        <v>வ</v>
      </c>
      <c r="BK17" s="58" t="str">
        <f>IFERROR(VLOOKUP(LEFT(BH17,2),BASE!$C$96:$D$342,1,0),IFERROR(VLOOKUP(LEFT(BH17,1),BASE!$C$96:$D$342,1,0),BH17))</f>
        <v>ரை</v>
      </c>
      <c r="BL17" s="58" t="str">
        <f>IFERROR(VLOOKUP(LEFT(BG17,2),BASE!$C$96:$D$342,1,0),IFERROR(VLOOKUP(LEFT(BG17,1),BASE!$C$96:$D$342,1,0),BG17))</f>
        <v>கீ</v>
      </c>
      <c r="BM17" s="58" t="str">
        <f>IFERROR(VLOOKUP(LEFT(BF17,2),BASE!$C$96:$D$342,1,0),IFERROR(VLOOKUP(LEFT(BF17,1),BASE!$C$96:$D$342,1,0),BF17))</f>
        <v>ண்</v>
      </c>
      <c r="BN17" s="58" t="str">
        <f>IFERROR(VLOOKUP(LEFT(BE17,2),BASE!$C$96:$D$342,1,0),IFERROR(VLOOKUP(LEFT(BE17,1),BASE!$C$96:$D$342,1,0),BE17))</f>
        <v>டு</v>
      </c>
      <c r="BO17" s="58" t="str">
        <f>IFERROR(VLOOKUP(LEFT(BD17,2),BASE!$C$96:$D$342,1,0),IFERROR(VLOOKUP(LEFT(BD17,1),BASE!$C$96:$D$342,1,0),BD17))</f>
        <v/>
      </c>
      <c r="BP17" s="58" t="str">
        <f>IFERROR(VLOOKUP(LEFT(BC17,2),BASE!$C$96:$D$342,1,0),IFERROR(VLOOKUP(LEFT(BC17,1),BASE!$C$96:$D$342,1,0),BC17))</f>
        <v/>
      </c>
      <c r="BQ17" s="58" t="str">
        <f>IFERROR(VLOOKUP(LEFT(BB17,2),BASE!$C$96:$D$342,1,0),IFERROR(VLOOKUP(LEFT(BB17,1),BASE!$C$96:$D$342,1,0),BB17))</f>
        <v/>
      </c>
      <c r="BR17" s="58" t="str">
        <f>IFERROR(VLOOKUP(LEFT(BA17,2),BASE!$C$96:$D$342,1,0),IFERROR(VLOOKUP(LEFT(BA17,1),BASE!$C$96:$D$342,1,0),BA17))</f>
        <v/>
      </c>
      <c r="BS17" s="58" t="str">
        <f>IFERROR(VLOOKUP(LEFT(AZ17,2),BASE!$C$96:$D$342,1,0),IFERROR(VLOOKUP(LEFT(AZ17,1),BASE!$C$96:$D$342,1,0),AZ17))</f>
        <v/>
      </c>
      <c r="BT17" s="186" t="str">
        <f>(IFERROR(VLOOKUP(LEFT(BI17,2),BASE!$C$96:$F$342,4,0),IFERROR(VLOOKUP(LEFT(BI17,1),BASE!$C$96:$F$342,4,0),BI17)))</f>
        <v>கு</v>
      </c>
      <c r="BU17" s="186" t="str">
        <f>(IFERROR(VLOOKUP(LEFT(BH17,2),BASE!$C$346:$F$592,4,0),IFERROR(VLOOKUP(LEFT(BH17,1),BASE!$C$346:$F$592,4,0),BH17)))</f>
        <v>கு</v>
      </c>
      <c r="BV17" s="186" t="str">
        <f>(IFERROR(VLOOKUP(LEFT(BG17,2),BASE!$C$346:$F$592,4,0),IFERROR(VLOOKUP(LEFT(BG17,1),BASE!$C$346:$F$592,4,0),BG17)))</f>
        <v>நெ</v>
      </c>
      <c r="BW17" s="186" t="str">
        <f>(IFERROR(VLOOKUP(LEFT(BF17,2),BASE!$C$346:$F$592,4,0),IFERROR(VLOOKUP(LEFT(BF17,1),BASE!$C$346:$F$592,4,0),BF17)))</f>
        <v>ஒ</v>
      </c>
      <c r="BX17" s="186" t="str">
        <f>(IFERROR(VLOOKUP(LEFT(BE17,2),BASE!$C$346:$F$592,4,0),IFERROR(VLOOKUP(LEFT(BE17,1),BASE!$C$346:$F$592,4,0),BE17)))</f>
        <v>கு</v>
      </c>
      <c r="BY17" s="186" t="str">
        <f>(IFERROR(VLOOKUP(LEFT(BD17,2),BASE!$C$346:$F$592,4,0),IFERROR(VLOOKUP(LEFT(BD17,1),BASE!$C$346:$F$592,4,0),BD17)))</f>
        <v/>
      </c>
      <c r="BZ17" s="186" t="str">
        <f>(IFERROR(VLOOKUP(LEFT(BC17,2),BASE!$C$346:$F$592,4,0),IFERROR(VLOOKUP(LEFT(BC17,1),BASE!$C$346:$F$592,4,0),BC17)))</f>
        <v/>
      </c>
      <c r="CA17" s="186" t="str">
        <f>(IFERROR(VLOOKUP(LEFT(BB17,2),BASE!$C$346:$F$592,4,0),IFERROR(VLOOKUP(LEFT(BB17,1),BASE!$C$346:$F$592,4,0),BB17)))</f>
        <v/>
      </c>
      <c r="CB17" s="186" t="str">
        <f>(IFERROR(VLOOKUP(LEFT(BA17,2),BASE!$C$346:$F$592,4,0),IFERROR(VLOOKUP(LEFT(BA17,1),BASE!$C$346:$F$592,4,0),BA17)))</f>
        <v/>
      </c>
      <c r="CC17" s="186" t="str">
        <f>(IFERROR(VLOOKUP(LEFT(AZ17,2),BASE!$C$346:$F$592,4,0),IFERROR(VLOOKUP(LEFT(AZ17,1),BASE!$C$346:$F$592,4,0),AZ17)))</f>
        <v/>
      </c>
      <c r="CD17" s="58" t="str">
        <f t="shared" si="5"/>
        <v>குகுநெஒகு</v>
      </c>
      <c r="CE17" s="58" t="str">
        <f>IFERROR(VLOOKUP((LEFT(U17,4)),BASE!$E$12:$F$23,2,0),IFERROR(VLOOKUP((LEFT(U17,3)),BASE!$E$12:$F$23,2,0),IFERROR(VLOOKUP((LEFT(U17,2)),BASE!$E$12:$F$23,2,0),IFERROR(VLOOKUP((LEFT(U17,1)),BASE!$E$12:$F$23,2,0),U17))))</f>
        <v>நிரை</v>
      </c>
      <c r="CF17" s="58" t="str">
        <f>IFERROR(VLOOKUP((LEFT(T17,4)),BASE!$E$12:$F$24,2,0),IFERROR(VLOOKUP((LEFT(T17,3)),BASE!$E$12:$F$24,2,0),IFERROR(VLOOKUP((LEFT(T17,2)),BASE!$E$12:$F$24,2,0),IFERROR(VLOOKUP((LEFT(T17,1)),BASE!$E$12:$F$24,2,0),T17))))</f>
        <v>நேர்</v>
      </c>
      <c r="CG17" s="58" t="str">
        <f>IFERROR(VLOOKUP((LEFT(S17,4)),BASE!$E$12:$F$23,2,0),IFERROR(VLOOKUP((LEFT(S17,3)),BASE!$E$12:$F$23,2,0),IFERROR(VLOOKUP((LEFT(S17,2)),BASE!$E$12:$F$23,2,0),IFERROR(VLOOKUP((LEFT(S17,1)),BASE!$E$12:$F$23,2,0),S17))))</f>
        <v>நேர்</v>
      </c>
      <c r="CH17" s="58" t="str">
        <f>IFERROR(VLOOKUP((LEFT(R17,4)),BASE!$E$12:$F$23,2,0),IFERROR(VLOOKUP((LEFT(R17,3)),BASE!$E$12:$F$23,2,0),IFERROR(VLOOKUP((LEFT(R17,2)),BASE!$E$12:$F$23,2,0),IFERROR(VLOOKUP((LEFT(R17,1)),BASE!$E$12:$F$23,2,0),R17))))</f>
        <v/>
      </c>
      <c r="CI17" s="58" t="str">
        <f>IFERROR(VLOOKUP((LEFT(Q17,4)),BASE!$E$12:$F$23,2,0),IFERROR(VLOOKUP((LEFT(Q17,3)),BASE!$E$12:$F$23,2,0),IFERROR(VLOOKUP((LEFT(Q17,2)),BASE!$E$12:$F$23,2,0),IFERROR(VLOOKUP((LEFT(Q17,1)),BASE!$E$12:$F$23,2,0),Q17))))</f>
        <v/>
      </c>
      <c r="CJ17" s="58" t="str">
        <f>IFERROR(VLOOKUP((LEFT(P17,4)),BASE!$E$12:$F$23,2,0),IFERROR(VLOOKUP((LEFT(P17,3)),BASE!$E$12:$F$23,2,0),IFERROR(VLOOKUP((LEFT(P17,2)),BASE!$E$12:$F$23,2,0),IFERROR(VLOOKUP((LEFT(P17,1)),BASE!$E$12:$F$23,2,0),P17))))</f>
        <v/>
      </c>
      <c r="CK17" s="58" t="str">
        <f>IFERROR(VLOOKUP((LEFT(O17,4)),BASE!$E$12:$F$23,2,0),IFERROR(VLOOKUP((LEFT(O17,3)),BASE!$E$12:$F$23,2,0),IFERROR(VLOOKUP((LEFT(O17,2)),BASE!$E$12:$F$23,2,0),IFERROR(VLOOKUP((LEFT(O17,1)),BASE!$E$12:$F$23,2,0),O17))))</f>
        <v/>
      </c>
      <c r="CL17" s="58" t="str">
        <f>IFERROR(VLOOKUP((LEFT(N17,4)),BASE!$E$12:$F$23,2,0),IFERROR(VLOOKUP((LEFT(N17,3)),BASE!$E$12:$F$23,2,0),IFERROR(VLOOKUP((LEFT(N17,2)),BASE!$E$12:$F$23,2,0),IFERROR(VLOOKUP((LEFT(N17,1)),BASE!$E$12:$F$23,2,0),N17))))</f>
        <v/>
      </c>
      <c r="CM17" s="58" t="str">
        <f>IFERROR(VLOOKUP((LEFT(M17,4)),BASE!$E$12:$F$23,2,0),IFERROR(VLOOKUP((LEFT(M17,3)),BASE!$E$12:$F$23,2,0),IFERROR(VLOOKUP((LEFT(M17,2)),BASE!$E$12:$F$23,2,0),IFERROR(VLOOKUP((LEFT(M17,1)),BASE!$E$12:$F$23,2,0),M17))))</f>
        <v/>
      </c>
      <c r="CN17" s="58" t="str">
        <f>IFERROR(VLOOKUP((LEFT(L17,4)),BASE!$E$12:$F$23,2,0),IFERROR(VLOOKUP((LEFT(L17,3)),BASE!$E$12:$F$23,2,0),IFERROR(VLOOKUP((LEFT(L17,2)),BASE!$E$12:$F$23,2,0),IFERROR(VLOOKUP((LEFT(L17,1)),BASE!$E$12:$F$23,2,0),L17))))</f>
        <v/>
      </c>
      <c r="CO17" s="58" t="str">
        <f t="shared" si="6"/>
        <v>நிரைநேர்நேர்</v>
      </c>
      <c r="CP17" s="58" t="str">
        <f>VLOOKUP(CO17,BASE!$E$25:$F$79,2,0)</f>
        <v>புளிமாங்காய்</v>
      </c>
      <c r="CQ17" s="58" t="str">
        <f>VLOOKUP(CO17,BASE!$E$25:$G$79,3,0)&amp;CE18</f>
        <v>காய்நேர்</v>
      </c>
      <c r="CR17" s="58" t="str">
        <f>VLOOKUP(CQ17,BASE!$E$86:$G$93,2,0)</f>
        <v>காய் முன் நேர்</v>
      </c>
      <c r="CS17" s="58" t="str">
        <f>VLOOKUP(CQ17,BASE!$E$86:$G$93,3,0)</f>
        <v>வெண்சீர் வெண்டளை</v>
      </c>
      <c r="CT17" s="58" t="str">
        <f t="shared" si="7"/>
        <v>மூவசைக்கு மிகவில்லை</v>
      </c>
      <c r="CU17" s="59" t="str">
        <f t="shared" si="8"/>
        <v>சரி</v>
      </c>
      <c r="DQ17" s="82"/>
    </row>
    <row r="18" spans="1:121" ht="19.5" customHeight="1" x14ac:dyDescent="0.35">
      <c r="A18" s="119"/>
      <c r="B18" s="12">
        <f>IFERROR(VLOOKUP((LEFT(L18,4)),BASE!$E$12:$F$23,1,0),IFERROR(VLOOKUP((LEFT(L18,3)),BASE!$E$12:$F$23,1,0),IFERROR(VLOOKUP((LEFT(L18,2)),BASE!$E$12:$F$23,1,0),IFERROR(VLOOKUP((LEFT(L18,1)),BASE!$E$12:$F$23,1,0),100))))</f>
        <v>100</v>
      </c>
      <c r="C18" s="12">
        <f>IFERROR(VLOOKUP((LEFT(M18,4)),BASE!$E$12:$F$23,1,0),IFERROR(VLOOKUP((LEFT(M18,3)),BASE!$E$12:$F$23,1,0),IFERROR(VLOOKUP((LEFT(M18,2)),BASE!$E$12:$F$23,1,0),IFERROR(VLOOKUP((LEFT(M18,1)),BASE!$E$12:$F$23,1,0),100))))</f>
        <v>100</v>
      </c>
      <c r="D18" s="12">
        <f>IFERROR(VLOOKUP((LEFT(N18,4)),BASE!$E$12:$F$23,1,0),IFERROR(VLOOKUP((LEFT(N18,3)),BASE!$E$12:$F$23,1,0),IFERROR(VLOOKUP((LEFT(N18,2)),BASE!$E$12:$F$23,1,0),IFERROR(VLOOKUP((LEFT(N18,1)),BASE!$E$12:$F$23,1,0),100))))</f>
        <v>100</v>
      </c>
      <c r="E18" s="12">
        <f>IFERROR(VLOOKUP((LEFT(O18,4)),BASE!$E$12:$F$23,1,0),IFERROR(VLOOKUP((LEFT(O18,3)),BASE!$E$12:$F$23,1,0),IFERROR(VLOOKUP((LEFT(O18,2)),BASE!$E$12:$F$23,1,0),IFERROR(VLOOKUP((LEFT(O18,1)),BASE!$E$12:$F$23,1,0),100))))</f>
        <v>100</v>
      </c>
      <c r="F18" s="12">
        <f>IFERROR(VLOOKUP((LEFT(P18,4)),BASE!$E$12:$F$23,1,0),IFERROR(VLOOKUP((LEFT(P18,3)),BASE!$E$12:$F$23,1,0),IFERROR(VLOOKUP((LEFT(P18,2)),BASE!$E$12:$F$23,1,0),IFERROR(VLOOKUP((LEFT(P18,1)),BASE!$E$12:$F$23,1,0),100))))</f>
        <v>100</v>
      </c>
      <c r="G18" s="12">
        <f>IFERROR(VLOOKUP((LEFT(Q18,4)),BASE!$E$12:$F$23,1,0),IFERROR(VLOOKUP((LEFT(Q18,3)),BASE!$E$12:$F$23,1,0),IFERROR(VLOOKUP((LEFT(Q18,2)),BASE!$E$12:$F$23,1,0),IFERROR(VLOOKUP((LEFT(Q18,1)),BASE!$E$12:$F$23,1,0),100))))</f>
        <v>100</v>
      </c>
      <c r="H18" s="12">
        <f>IFERROR(VLOOKUP((LEFT(R18,4)),BASE!$E$12:$F$23,1,0),IFERROR(VLOOKUP((LEFT(R18,3)),BASE!$E$12:$F$23,1,0),IFERROR(VLOOKUP((LEFT(R18,2)),BASE!$E$12:$F$23,1,0),IFERROR(VLOOKUP((LEFT(R18,1)),BASE!$E$12:$F$23,1,0),100))))</f>
        <v>100</v>
      </c>
      <c r="I18" s="12">
        <f>IFERROR(VLOOKUP((LEFT(S18,4)),BASE!$E$12:$F$23,1,0),IFERROR(VLOOKUP((LEFT(S18,3)),BASE!$E$12:$F$23,1,0),IFERROR(VLOOKUP((LEFT(S18,2)),BASE!$E$12:$F$23,1,0),IFERROR(VLOOKUP((LEFT(S18,1)),BASE!$E$12:$F$23,1,0),100))))</f>
        <v>100</v>
      </c>
      <c r="J18" s="12" t="str">
        <f>IFERROR(VLOOKUP((LEFT(T18,4)),BASE!$E$12:$F$24,1,0),IFERROR(VLOOKUP((LEFT(T18,3)),BASE!$E$12:$F$24,1,0),IFERROR(VLOOKUP((LEFT(T18,2)),BASE!$E$12:$F$24,1,0),IFERROR(VLOOKUP((LEFT(T18,1)),BASE!$E$12:$F$24,1,0),100))))</f>
        <v>kko</v>
      </c>
      <c r="K18" s="12" t="str">
        <f>IFERROR(VLOOKUP((LEFT(U18,4)),BASE!$E$12:$F$23,1,0),IFERROR(VLOOKUP((LEFT(U18,3)),BASE!$E$12:$F$23,1,0),IFERROR(VLOOKUP((LEFT(U18,2)),BASE!$E$12:$F$23,1,0),IFERROR(VLOOKUP((LEFT(U18,1)),BASE!$E$12:$F$23,1,0),100))))</f>
        <v>no</v>
      </c>
      <c r="L18" s="14" t="str">
        <f t="shared" si="0"/>
        <v/>
      </c>
      <c r="M18" s="14" t="str">
        <f t="shared" si="0"/>
        <v/>
      </c>
      <c r="N18" s="14" t="str">
        <f t="shared" si="0"/>
        <v/>
      </c>
      <c r="O18" s="14" t="str">
        <f t="shared" si="0"/>
        <v/>
      </c>
      <c r="P18" s="14" t="str">
        <f t="shared" si="0"/>
        <v/>
      </c>
      <c r="Q18" s="14" t="str">
        <f t="shared" si="0"/>
        <v/>
      </c>
      <c r="R18" s="14" t="str">
        <f t="shared" si="0"/>
        <v/>
      </c>
      <c r="S18" s="14" t="str">
        <f t="shared" si="0"/>
        <v/>
      </c>
      <c r="T18" s="14" t="str">
        <f t="shared" si="0"/>
        <v>kko</v>
      </c>
      <c r="U18" s="14" t="str">
        <f t="shared" si="1"/>
        <v>nokko</v>
      </c>
      <c r="V18" s="13">
        <f>IFERROR(VLOOKUP(LEFT(AZ18,2),BASE!$C$96:$E$342,3,0),IFERROR(VLOOKUP(LEFT(AZ18,1),BASE!$C$96:$E$342,3,0),100))</f>
        <v>100</v>
      </c>
      <c r="W18" s="13">
        <f>IFERROR(VLOOKUP(LEFT(BA18,2),BASE!$C$96:$E$342,3,0),IFERROR(VLOOKUP(LEFT(BA18,1),BASE!$C$96:$E$342,3,0),100))</f>
        <v>100</v>
      </c>
      <c r="X18" s="13">
        <f>IFERROR(VLOOKUP(LEFT(BB18,2),BASE!$C$96:$E$342,3,0),IFERROR(VLOOKUP(LEFT(BB18,1),BASE!$C$96:$E$342,3,0),100))</f>
        <v>100</v>
      </c>
      <c r="Y18" s="13">
        <f>IFERROR(VLOOKUP(LEFT(BC18,2),BASE!$C$96:$E$342,3,0),IFERROR(VLOOKUP(LEFT(BC18,1),BASE!$C$96:$E$342,3,0),100))</f>
        <v>100</v>
      </c>
      <c r="Z18" s="13">
        <f>IFERROR(VLOOKUP(LEFT(BD18,2),BASE!$C$96:$E$342,3,0),IFERROR(VLOOKUP(LEFT(BD18,1),BASE!$C$96:$E$342,3,0),100))</f>
        <v>100</v>
      </c>
      <c r="AA18" s="13">
        <f>IFERROR(VLOOKUP(LEFT(BE18,2),BASE!$C$96:$E$342,3,0),IFERROR(VLOOKUP(LEFT(BE18,1),BASE!$C$96:$E$342,3,0),100))</f>
        <v>2</v>
      </c>
      <c r="AB18" s="13">
        <f>IFERROR(VLOOKUP(LEFT(BF18,2),BASE!$C$96:$E$342,3,0),IFERROR(VLOOKUP(LEFT(BF18,1),BASE!$C$96:$E$342,3,0),100))</f>
        <v>1</v>
      </c>
      <c r="AC18" s="13">
        <f>IFERROR(VLOOKUP(LEFT(BG18,2),BASE!$C$96:$E$342,3,0),IFERROR(VLOOKUP(LEFT(BG18,1),BASE!$C$96:$E$342,3,0),100))</f>
        <v>2</v>
      </c>
      <c r="AD18" s="13">
        <f>IFERROR(VLOOKUP(LEFT(BH18,2),BASE!$C$96:$E$342,3,0),IFERROR(VLOOKUP(LEFT(BH18,1),BASE!$C$96:$E$342,3,0),100))</f>
        <v>2</v>
      </c>
      <c r="AE18" s="13">
        <f>IFERROR(VLOOKUP(LEFT(BI18,2),BASE!$C$96:$E$342,3,0),IFERROR(VLOOKUP(LEFT(BI18,1),BASE!$C$96:$E$342,3,0),100))</f>
        <v>2</v>
      </c>
      <c r="AF18" s="187" t="str">
        <f>IF(AND(BS18=BR18,AG18="o"),"A", (IFERROR(VLOOKUP(LEFT(AZ18,2),BASE!$C$346:$D$592,2,0),IFERROR(VLOOKUP(LEFT(AZ18,1),BASE!$C$346:$D$5922,2,0),AZ18))))</f>
        <v/>
      </c>
      <c r="AG18" s="187" t="str">
        <f>IF(AND(BR18=BQ18,AH18="o"),"A", (IFERROR(VLOOKUP(LEFT(BA18,2),BASE!$C$346:$D$592,2,0),IFERROR(VLOOKUP(LEFT(BA18,1),BASE!$C$346:$D$592,2,0),BA18))))</f>
        <v/>
      </c>
      <c r="AH18" s="187" t="str">
        <f>IF(AND(BQ18=BP18,AI18="o"),"A", (IFERROR(VLOOKUP(LEFT(BB18,2),BASE!$C$346:$D$592,2,0),IFERROR(VLOOKUP(LEFT(BB18,1),BASE!$C$346:$D$592,2,0),BB18))))</f>
        <v/>
      </c>
      <c r="AI18" s="187" t="str">
        <f>IF(AND(BP18=BO18,AJ18="o"),"A", (IFERROR(VLOOKUP(LEFT(BC18,2),BASE!$C$346:$D$592,2,0),IFERROR(VLOOKUP(LEFT(BC18,1),BASE!$C$346:$D$592,2,0),BC18))))</f>
        <v/>
      </c>
      <c r="AJ18" s="187" t="str">
        <f>IF(AND(BO18=BN18,AK18="o"),"A", (IFERROR(VLOOKUP(LEFT(BD18,2),BASE!$C$346:$D$592,2,0),IFERROR(VLOOKUP(LEFT(BD18,1),BASE!$C$346:$D$592,2,0),BD18))))</f>
        <v/>
      </c>
      <c r="AK18" s="187" t="str">
        <f>IF(AND(BN18=BM18,AL18="o"),"A", (IFERROR(VLOOKUP(LEFT(BE18,2),BASE!$C$346:$D$592,2,0),IFERROR(VLOOKUP(LEFT(BE18,1),BASE!$C$346:$D$592,2,0),BE18))))</f>
        <v>o</v>
      </c>
      <c r="AL18" s="187" t="str">
        <f>IF(AND(BM18=BL18,AM18="o"),"A", (IFERROR(VLOOKUP(LEFT(BF18,2),BASE!$C$346:$D$592,2,0),IFERROR(VLOOKUP(LEFT(BF18,1),BASE!$C$346:$D$592,2,0),BF18))))</f>
        <v>k</v>
      </c>
      <c r="AM18" s="187" t="str">
        <f>IF(AND(BL18=BK18,AN18="o"),"A",(IFERROR(VLOOKUP(LEFT(BG18,2),BASE!$C$346:$D$592,2,0),IFERROR(VLOOKUP(LEFT(BG18,1),BASE!$C$346:$D$592,2,0),BG18))))</f>
        <v>k</v>
      </c>
      <c r="AN18" s="187" t="str">
        <f>(IFERROR(VLOOKUP(LEFT(BH18,2),BASE!$C$346:$D$592,2,0),IFERROR(VLOOKUP(LEFT(BH18,1),BASE!$C$346:$D$592,2,0),BH18)))</f>
        <v>o</v>
      </c>
      <c r="AO18" s="187" t="str">
        <f>(IFERROR(VLOOKUP(LEFT(BI18,2),BASE!$C$96:$D$342,2,0),IFERROR(VLOOKUP(LEFT(BI18,1),BASE!$C$96:$D$342,2,0),BI18)))</f>
        <v>n</v>
      </c>
      <c r="AP18" s="5">
        <f t="shared" si="2"/>
        <v>9</v>
      </c>
      <c r="AQ18" s="5">
        <f t="shared" si="2"/>
        <v>9</v>
      </c>
      <c r="AR18" s="5">
        <f t="shared" si="2"/>
        <v>9</v>
      </c>
      <c r="AS18" s="5">
        <f t="shared" si="2"/>
        <v>9</v>
      </c>
      <c r="AT18" s="5">
        <f t="shared" si="2"/>
        <v>9</v>
      </c>
      <c r="AU18" s="5">
        <f t="shared" si="2"/>
        <v>9</v>
      </c>
      <c r="AV18" s="5">
        <f t="shared" si="2"/>
        <v>9</v>
      </c>
      <c r="AW18" s="5">
        <f t="shared" si="2"/>
        <v>9</v>
      </c>
      <c r="AX18" s="5">
        <f t="shared" si="2"/>
        <v>9</v>
      </c>
      <c r="AY18" s="5">
        <f t="shared" si="3"/>
        <v>9</v>
      </c>
      <c r="AZ18" s="12" t="str">
        <f t="shared" si="4"/>
        <v/>
      </c>
      <c r="BA18" s="12" t="str">
        <f t="shared" si="4"/>
        <v/>
      </c>
      <c r="BB18" s="12" t="str">
        <f t="shared" si="4"/>
        <v/>
      </c>
      <c r="BC18" s="12" t="str">
        <f t="shared" si="4"/>
        <v/>
      </c>
      <c r="BD18" s="12" t="str">
        <f t="shared" si="4"/>
        <v/>
      </c>
      <c r="BE18" s="12" t="str">
        <f t="shared" si="4"/>
        <v>ர்</v>
      </c>
      <c r="BF18" s="12" t="str">
        <f t="shared" si="4"/>
        <v>வர்</v>
      </c>
      <c r="BG18" s="12" t="str">
        <f t="shared" si="4"/>
        <v>டுவர்</v>
      </c>
      <c r="BH18" s="43" t="str">
        <f t="shared" si="4"/>
        <v>ட்டுவர்</v>
      </c>
      <c r="BI18" s="57" t="str">
        <f>CF6</f>
        <v>காட்டுவர்</v>
      </c>
      <c r="BJ18" s="58" t="str">
        <f>IFERROR(VLOOKUP(LEFT(BI18,2),BASE!$C$96:$F$342,1,0),IFERROR(VLOOKUP(LEFT(BI18,1),BASE!$C$96:$F$342,1,0),BI18))</f>
        <v>கா</v>
      </c>
      <c r="BK18" s="58" t="str">
        <f>IFERROR(VLOOKUP(LEFT(BH18,2),BASE!$C$96:$D$342,1,0),IFERROR(VLOOKUP(LEFT(BH18,1),BASE!$C$96:$D$342,1,0),BH18))</f>
        <v>ட்</v>
      </c>
      <c r="BL18" s="58" t="str">
        <f>IFERROR(VLOOKUP(LEFT(BG18,2),BASE!$C$96:$D$342,1,0),IFERROR(VLOOKUP(LEFT(BG18,1),BASE!$C$96:$D$342,1,0),BG18))</f>
        <v>டு</v>
      </c>
      <c r="BM18" s="58" t="str">
        <f>IFERROR(VLOOKUP(LEFT(BF18,2),BASE!$C$96:$D$342,1,0),IFERROR(VLOOKUP(LEFT(BF18,1),BASE!$C$96:$D$342,1,0),BF18))</f>
        <v>வ</v>
      </c>
      <c r="BN18" s="58" t="str">
        <f>IFERROR(VLOOKUP(LEFT(BE18,2),BASE!$C$96:$D$342,1,0),IFERROR(VLOOKUP(LEFT(BE18,1),BASE!$C$96:$D$342,1,0),BE18))</f>
        <v>ர்</v>
      </c>
      <c r="BO18" s="58" t="str">
        <f>IFERROR(VLOOKUP(LEFT(BD18,2),BASE!$C$96:$D$342,1,0),IFERROR(VLOOKUP(LEFT(BD18,1),BASE!$C$96:$D$342,1,0),BD18))</f>
        <v/>
      </c>
      <c r="BP18" s="58" t="str">
        <f>IFERROR(VLOOKUP(LEFT(BC18,2),BASE!$C$96:$D$342,1,0),IFERROR(VLOOKUP(LEFT(BC18,1),BASE!$C$96:$D$342,1,0),BC18))</f>
        <v/>
      </c>
      <c r="BQ18" s="58" t="str">
        <f>IFERROR(VLOOKUP(LEFT(BB18,2),BASE!$C$96:$D$342,1,0),IFERROR(VLOOKUP(LEFT(BB18,1),BASE!$C$96:$D$342,1,0),BB18))</f>
        <v/>
      </c>
      <c r="BR18" s="58" t="str">
        <f>IFERROR(VLOOKUP(LEFT(BA18,2),BASE!$C$96:$D$342,1,0),IFERROR(VLOOKUP(LEFT(BA18,1),BASE!$C$96:$D$342,1,0),BA18))</f>
        <v/>
      </c>
      <c r="BS18" s="58" t="str">
        <f>IFERROR(VLOOKUP(LEFT(AZ18,2),BASE!$C$96:$D$342,1,0),IFERROR(VLOOKUP(LEFT(AZ18,1),BASE!$C$96:$D$342,1,0),AZ18))</f>
        <v/>
      </c>
      <c r="BT18" s="186" t="str">
        <f>(IFERROR(VLOOKUP(LEFT(BI18,2),BASE!$C$96:$F$342,4,0),IFERROR(VLOOKUP(LEFT(BI18,1),BASE!$C$96:$F$342,4,0),BI18)))</f>
        <v>நெ</v>
      </c>
      <c r="BU18" s="186" t="str">
        <f>(IFERROR(VLOOKUP(LEFT(BH18,2),BASE!$C$346:$F$592,4,0),IFERROR(VLOOKUP(LEFT(BH18,1),BASE!$C$346:$F$592,4,0),BH18)))</f>
        <v>ஒ</v>
      </c>
      <c r="BV18" s="186" t="str">
        <f>(IFERROR(VLOOKUP(LEFT(BG18,2),BASE!$C$346:$F$592,4,0),IFERROR(VLOOKUP(LEFT(BG18,1),BASE!$C$346:$F$592,4,0),BG18)))</f>
        <v>கு</v>
      </c>
      <c r="BW18" s="186" t="str">
        <f>(IFERROR(VLOOKUP(LEFT(BF18,2),BASE!$C$346:$F$592,4,0),IFERROR(VLOOKUP(LEFT(BF18,1),BASE!$C$346:$F$592,4,0),BF18)))</f>
        <v>கு</v>
      </c>
      <c r="BX18" s="186" t="str">
        <f>(IFERROR(VLOOKUP(LEFT(BE18,2),BASE!$C$346:$F$592,4,0),IFERROR(VLOOKUP(LEFT(BE18,1),BASE!$C$346:$F$592,4,0),BE18)))</f>
        <v>ஒ</v>
      </c>
      <c r="BY18" s="186" t="str">
        <f>(IFERROR(VLOOKUP(LEFT(BD18,2),BASE!$C$346:$F$592,4,0),IFERROR(VLOOKUP(LEFT(BD18,1),BASE!$C$346:$F$592,4,0),BD18)))</f>
        <v/>
      </c>
      <c r="BZ18" s="186" t="str">
        <f>(IFERROR(VLOOKUP(LEFT(BC18,2),BASE!$C$346:$F$592,4,0),IFERROR(VLOOKUP(LEFT(BC18,1),BASE!$C$346:$F$592,4,0),BC18)))</f>
        <v/>
      </c>
      <c r="CA18" s="186" t="str">
        <f>(IFERROR(VLOOKUP(LEFT(BB18,2),BASE!$C$346:$F$592,4,0),IFERROR(VLOOKUP(LEFT(BB18,1),BASE!$C$346:$F$592,4,0),BB18)))</f>
        <v/>
      </c>
      <c r="CB18" s="186" t="str">
        <f>(IFERROR(VLOOKUP(LEFT(BA18,2),BASE!$C$346:$F$592,4,0),IFERROR(VLOOKUP(LEFT(BA18,1),BASE!$C$346:$F$592,4,0),BA18)))</f>
        <v/>
      </c>
      <c r="CC18" s="186" t="str">
        <f>(IFERROR(VLOOKUP(LEFT(AZ18,2),BASE!$C$346:$F$592,4,0),IFERROR(VLOOKUP(LEFT(AZ18,1),BASE!$C$346:$F$592,4,0),AZ18)))</f>
        <v/>
      </c>
      <c r="CD18" s="58" t="str">
        <f t="shared" si="5"/>
        <v>நெஒகுகுஒ</v>
      </c>
      <c r="CE18" s="58" t="str">
        <f>IFERROR(VLOOKUP((LEFT(U18,4)),BASE!$E$12:$F$23,2,0),IFERROR(VLOOKUP((LEFT(U18,3)),BASE!$E$12:$F$23,2,0),IFERROR(VLOOKUP((LEFT(U18,2)),BASE!$E$12:$F$23,2,0),IFERROR(VLOOKUP((LEFT(U18,1)),BASE!$E$12:$F$23,2,0),U18))))</f>
        <v>நேர்</v>
      </c>
      <c r="CF18" s="58" t="str">
        <f>IFERROR(VLOOKUP((LEFT(T18,4)),BASE!$E$12:$F$24,2,0),IFERROR(VLOOKUP((LEFT(T18,3)),BASE!$E$12:$F$24,2,0),IFERROR(VLOOKUP((LEFT(T18,2)),BASE!$E$12:$F$24,2,0),IFERROR(VLOOKUP((LEFT(T18,1)),BASE!$E$12:$F$24,2,0),T18))))</f>
        <v>நிரை</v>
      </c>
      <c r="CG18" s="58" t="str">
        <f>IFERROR(VLOOKUP((LEFT(S18,4)),BASE!$E$12:$F$23,2,0),IFERROR(VLOOKUP((LEFT(S18,3)),BASE!$E$12:$F$23,2,0),IFERROR(VLOOKUP((LEFT(S18,2)),BASE!$E$12:$F$23,2,0),IFERROR(VLOOKUP((LEFT(S18,1)),BASE!$E$12:$F$23,2,0),S18))))</f>
        <v/>
      </c>
      <c r="CH18" s="58" t="str">
        <f>IFERROR(VLOOKUP((LEFT(R18,4)),BASE!$E$12:$F$23,2,0),IFERROR(VLOOKUP((LEFT(R18,3)),BASE!$E$12:$F$23,2,0),IFERROR(VLOOKUP((LEFT(R18,2)),BASE!$E$12:$F$23,2,0),IFERROR(VLOOKUP((LEFT(R18,1)),BASE!$E$12:$F$23,2,0),R18))))</f>
        <v/>
      </c>
      <c r="CI18" s="58" t="str">
        <f>IFERROR(VLOOKUP((LEFT(Q18,4)),BASE!$E$12:$F$23,2,0),IFERROR(VLOOKUP((LEFT(Q18,3)),BASE!$E$12:$F$23,2,0),IFERROR(VLOOKUP((LEFT(Q18,2)),BASE!$E$12:$F$23,2,0),IFERROR(VLOOKUP((LEFT(Q18,1)),BASE!$E$12:$F$23,2,0),Q18))))</f>
        <v/>
      </c>
      <c r="CJ18" s="58" t="str">
        <f>IFERROR(VLOOKUP((LEFT(P18,4)),BASE!$E$12:$F$23,2,0),IFERROR(VLOOKUP((LEFT(P18,3)),BASE!$E$12:$F$23,2,0),IFERROR(VLOOKUP((LEFT(P18,2)),BASE!$E$12:$F$23,2,0),IFERROR(VLOOKUP((LEFT(P18,1)),BASE!$E$12:$F$23,2,0),P18))))</f>
        <v/>
      </c>
      <c r="CK18" s="58" t="str">
        <f>IFERROR(VLOOKUP((LEFT(O18,4)),BASE!$E$12:$F$23,2,0),IFERROR(VLOOKUP((LEFT(O18,3)),BASE!$E$12:$F$23,2,0),IFERROR(VLOOKUP((LEFT(O18,2)),BASE!$E$12:$F$23,2,0),IFERROR(VLOOKUP((LEFT(O18,1)),BASE!$E$12:$F$23,2,0),O18))))</f>
        <v/>
      </c>
      <c r="CL18" s="58" t="str">
        <f>IFERROR(VLOOKUP((LEFT(N18,4)),BASE!$E$12:$F$23,2,0),IFERROR(VLOOKUP((LEFT(N18,3)),BASE!$E$12:$F$23,2,0),IFERROR(VLOOKUP((LEFT(N18,2)),BASE!$E$12:$F$23,2,0),IFERROR(VLOOKUP((LEFT(N18,1)),BASE!$E$12:$F$23,2,0),N18))))</f>
        <v/>
      </c>
      <c r="CM18" s="58" t="str">
        <f>IFERROR(VLOOKUP((LEFT(M18,4)),BASE!$E$12:$F$23,2,0),IFERROR(VLOOKUP((LEFT(M18,3)),BASE!$E$12:$F$23,2,0),IFERROR(VLOOKUP((LEFT(M18,2)),BASE!$E$12:$F$23,2,0),IFERROR(VLOOKUP((LEFT(M18,1)),BASE!$E$12:$F$23,2,0),M18))))</f>
        <v/>
      </c>
      <c r="CN18" s="58" t="str">
        <f>IFERROR(VLOOKUP((LEFT(L18,4)),BASE!$E$12:$F$23,2,0),IFERROR(VLOOKUP((LEFT(L18,3)),BASE!$E$12:$F$23,2,0),IFERROR(VLOOKUP((LEFT(L18,2)),BASE!$E$12:$F$23,2,0),IFERROR(VLOOKUP((LEFT(L18,1)),BASE!$E$12:$F$23,2,0),L18))))</f>
        <v/>
      </c>
      <c r="CO18" s="58" t="str">
        <f t="shared" si="6"/>
        <v>நேர்நிரை</v>
      </c>
      <c r="CP18" s="58" t="str">
        <f>VLOOKUP(CO18,BASE!$E$25:$F$79,2,0)</f>
        <v>கூவிளம்</v>
      </c>
      <c r="CQ18" s="58" t="str">
        <f>VLOOKUP(CO18,BASE!$E$25:$G$79,3,0)&amp;CE19</f>
        <v>விளம்நேர்</v>
      </c>
      <c r="CR18" s="58" t="str">
        <f>VLOOKUP(CQ18,BASE!$E$86:$G$93,2,0)</f>
        <v>விளமுன் நேர்</v>
      </c>
      <c r="CS18" s="58" t="str">
        <f>VLOOKUP(CQ18,BASE!$E$86:$G$93,3,0)</f>
        <v>இயற்சீர் வெண்டளை</v>
      </c>
      <c r="CT18" s="58" t="str">
        <f t="shared" si="7"/>
        <v>மூவசைக்கு மிகவில்லை</v>
      </c>
      <c r="CU18" s="59" t="str">
        <f t="shared" si="8"/>
        <v>சரி</v>
      </c>
      <c r="DQ18" s="82"/>
    </row>
    <row r="19" spans="1:121" ht="19.5" customHeight="1" x14ac:dyDescent="0.35">
      <c r="A19" s="119"/>
      <c r="B19" s="12">
        <f>IFERROR(VLOOKUP((LEFT(L19,4)),BASE!$E$12:$F$23,1,0),IFERROR(VLOOKUP((LEFT(L19,3)),BASE!$E$12:$F$23,1,0),IFERROR(VLOOKUP((LEFT(L19,2)),BASE!$E$12:$F$23,1,0),IFERROR(VLOOKUP((LEFT(L19,1)),BASE!$E$12:$F$23,1,0),100))))</f>
        <v>100</v>
      </c>
      <c r="C19" s="12">
        <f>IFERROR(VLOOKUP((LEFT(M19,4)),BASE!$E$12:$F$23,1,0),IFERROR(VLOOKUP((LEFT(M19,3)),BASE!$E$12:$F$23,1,0),IFERROR(VLOOKUP((LEFT(M19,2)),BASE!$E$12:$F$23,1,0),IFERROR(VLOOKUP((LEFT(M19,1)),BASE!$E$12:$F$23,1,0),100))))</f>
        <v>100</v>
      </c>
      <c r="D19" s="12">
        <f>IFERROR(VLOOKUP((LEFT(N19,4)),BASE!$E$12:$F$23,1,0),IFERROR(VLOOKUP((LEFT(N19,3)),BASE!$E$12:$F$23,1,0),IFERROR(VLOOKUP((LEFT(N19,2)),BASE!$E$12:$F$23,1,0),IFERROR(VLOOKUP((LEFT(N19,1)),BASE!$E$12:$F$23,1,0),100))))</f>
        <v>100</v>
      </c>
      <c r="E19" s="12">
        <f>IFERROR(VLOOKUP((LEFT(O19,4)),BASE!$E$12:$F$23,1,0),IFERROR(VLOOKUP((LEFT(O19,3)),BASE!$E$12:$F$23,1,0),IFERROR(VLOOKUP((LEFT(O19,2)),BASE!$E$12:$F$23,1,0),IFERROR(VLOOKUP((LEFT(O19,1)),BASE!$E$12:$F$23,1,0),100))))</f>
        <v>100</v>
      </c>
      <c r="F19" s="12">
        <f>IFERROR(VLOOKUP((LEFT(P19,4)),BASE!$E$12:$F$23,1,0),IFERROR(VLOOKUP((LEFT(P19,3)),BASE!$E$12:$F$23,1,0),IFERROR(VLOOKUP((LEFT(P19,2)),BASE!$E$12:$F$23,1,0),IFERROR(VLOOKUP((LEFT(P19,1)),BASE!$E$12:$F$23,1,0),100))))</f>
        <v>100</v>
      </c>
      <c r="G19" s="12">
        <f>IFERROR(VLOOKUP((LEFT(Q19,4)),BASE!$E$12:$F$23,1,0),IFERROR(VLOOKUP((LEFT(Q19,3)),BASE!$E$12:$F$23,1,0),IFERROR(VLOOKUP((LEFT(Q19,2)),BASE!$E$12:$F$23,1,0),IFERROR(VLOOKUP((LEFT(Q19,1)),BASE!$E$12:$F$23,1,0),100))))</f>
        <v>100</v>
      </c>
      <c r="H19" s="12">
        <f>IFERROR(VLOOKUP((LEFT(R19,4)),BASE!$E$12:$F$23,1,0),IFERROR(VLOOKUP((LEFT(R19,3)),BASE!$E$12:$F$23,1,0),IFERROR(VLOOKUP((LEFT(R19,2)),BASE!$E$12:$F$23,1,0),IFERROR(VLOOKUP((LEFT(R19,1)),BASE!$E$12:$F$23,1,0),100))))</f>
        <v>100</v>
      </c>
      <c r="I19" s="12">
        <f>IFERROR(VLOOKUP((LEFT(S19,4)),BASE!$E$12:$F$23,1,0),IFERROR(VLOOKUP((LEFT(S19,3)),BASE!$E$12:$F$23,1,0),IFERROR(VLOOKUP((LEFT(S19,2)),BASE!$E$12:$F$23,1,0),IFERROR(VLOOKUP((LEFT(S19,1)),BASE!$E$12:$F$23,1,0),100))))</f>
        <v>100</v>
      </c>
      <c r="J19" s="12" t="str">
        <f>IFERROR(VLOOKUP((LEFT(T19,4)),BASE!$E$12:$F$24,1,0),IFERROR(VLOOKUP((LEFT(T19,3)),BASE!$E$12:$F$24,1,0),IFERROR(VLOOKUP((LEFT(T19,2)),BASE!$E$12:$F$24,1,0),IFERROR(VLOOKUP((LEFT(T19,1)),BASE!$E$12:$F$24,1,0),100))))</f>
        <v>n</v>
      </c>
      <c r="K19" s="12" t="str">
        <f>IFERROR(VLOOKUP((LEFT(U19,4)),BASE!$E$12:$F$23,1,0),IFERROR(VLOOKUP((LEFT(U19,3)),BASE!$E$12:$F$23,1,0),IFERROR(VLOOKUP((LEFT(U19,2)),BASE!$E$12:$F$23,1,0),IFERROR(VLOOKUP((LEFT(U19,1)),BASE!$E$12:$F$23,1,0),100))))</f>
        <v>n</v>
      </c>
      <c r="L19" s="14" t="str">
        <f t="shared" si="0"/>
        <v/>
      </c>
      <c r="M19" s="14" t="str">
        <f t="shared" si="0"/>
        <v/>
      </c>
      <c r="N19" s="14" t="str">
        <f t="shared" si="0"/>
        <v/>
      </c>
      <c r="O19" s="14" t="str">
        <f t="shared" si="0"/>
        <v/>
      </c>
      <c r="P19" s="14" t="str">
        <f t="shared" si="0"/>
        <v/>
      </c>
      <c r="Q19" s="14" t="str">
        <f t="shared" si="0"/>
        <v/>
      </c>
      <c r="R19" s="14" t="str">
        <f t="shared" si="0"/>
        <v/>
      </c>
      <c r="S19" s="14" t="str">
        <f t="shared" si="0"/>
        <v/>
      </c>
      <c r="T19" s="14" t="str">
        <f t="shared" si="0"/>
        <v>n</v>
      </c>
      <c r="U19" s="14" t="str">
        <f t="shared" si="1"/>
        <v>nn</v>
      </c>
      <c r="V19" s="13">
        <f>IFERROR(VLOOKUP(LEFT(AZ19,2),BASE!$C$96:$E$342,3,0),IFERROR(VLOOKUP(LEFT(AZ19,1),BASE!$C$96:$E$342,3,0),100))</f>
        <v>100</v>
      </c>
      <c r="W19" s="13">
        <f>IFERROR(VLOOKUP(LEFT(BA19,2),BASE!$C$96:$E$342,3,0),IFERROR(VLOOKUP(LEFT(BA19,1),BASE!$C$96:$E$342,3,0),100))</f>
        <v>100</v>
      </c>
      <c r="X19" s="13">
        <f>IFERROR(VLOOKUP(LEFT(BB19,2),BASE!$C$96:$E$342,3,0),IFERROR(VLOOKUP(LEFT(BB19,1),BASE!$C$96:$E$342,3,0),100))</f>
        <v>100</v>
      </c>
      <c r="Y19" s="13">
        <f>IFERROR(VLOOKUP(LEFT(BC19,2),BASE!$C$96:$E$342,3,0),IFERROR(VLOOKUP(LEFT(BC19,1),BASE!$C$96:$E$342,3,0),100))</f>
        <v>100</v>
      </c>
      <c r="Z19" s="13">
        <f>IFERROR(VLOOKUP(LEFT(BD19,2),BASE!$C$96:$E$342,3,0),IFERROR(VLOOKUP(LEFT(BD19,1),BASE!$C$96:$E$342,3,0),100))</f>
        <v>100</v>
      </c>
      <c r="AA19" s="13">
        <f>IFERROR(VLOOKUP(LEFT(BE19,2),BASE!$C$96:$E$342,3,0),IFERROR(VLOOKUP(LEFT(BE19,1),BASE!$C$96:$E$342,3,0),100))</f>
        <v>100</v>
      </c>
      <c r="AB19" s="13">
        <f>IFERROR(VLOOKUP(LEFT(BF19,2),BASE!$C$96:$E$342,3,0),IFERROR(VLOOKUP(LEFT(BF19,1),BASE!$C$96:$E$342,3,0),100))</f>
        <v>100</v>
      </c>
      <c r="AC19" s="13">
        <f>IFERROR(VLOOKUP(LEFT(BG19,2),BASE!$C$96:$E$342,3,0),IFERROR(VLOOKUP(LEFT(BG19,1),BASE!$C$96:$E$342,3,0),100))</f>
        <v>100</v>
      </c>
      <c r="AD19" s="13">
        <f>IFERROR(VLOOKUP(LEFT(BH19,2),BASE!$C$96:$E$342,3,0),IFERROR(VLOOKUP(LEFT(BH19,1),BASE!$C$96:$E$342,3,0),100))</f>
        <v>2</v>
      </c>
      <c r="AE19" s="13">
        <f>IFERROR(VLOOKUP(LEFT(BI19,2),BASE!$C$96:$E$342,3,0),IFERROR(VLOOKUP(LEFT(BI19,1),BASE!$C$96:$E$342,3,0),100))</f>
        <v>2</v>
      </c>
      <c r="AF19" s="187" t="str">
        <f>IF(AND(BS19=BR19,AG19="o"),"A", (IFERROR(VLOOKUP(LEFT(AZ19,2),BASE!$C$346:$D$592,2,0),IFERROR(VLOOKUP(LEFT(AZ19,1),BASE!$C$346:$D$5922,2,0),AZ19))))</f>
        <v/>
      </c>
      <c r="AG19" s="187" t="str">
        <f>IF(AND(BR19=BQ19,AH19="o"),"A", (IFERROR(VLOOKUP(LEFT(BA19,2),BASE!$C$346:$D$592,2,0),IFERROR(VLOOKUP(LEFT(BA19,1),BASE!$C$346:$D$592,2,0),BA19))))</f>
        <v/>
      </c>
      <c r="AH19" s="187" t="str">
        <f>IF(AND(BQ19=BP19,AI19="o"),"A", (IFERROR(VLOOKUP(LEFT(BB19,2),BASE!$C$346:$D$592,2,0),IFERROR(VLOOKUP(LEFT(BB19,1),BASE!$C$346:$D$592,2,0),BB19))))</f>
        <v/>
      </c>
      <c r="AI19" s="187" t="str">
        <f>IF(AND(BP19=BO19,AJ19="o"),"A", (IFERROR(VLOOKUP(LEFT(BC19,2),BASE!$C$346:$D$592,2,0),IFERROR(VLOOKUP(LEFT(BC19,1),BASE!$C$346:$D$592,2,0),BC19))))</f>
        <v/>
      </c>
      <c r="AJ19" s="187" t="str">
        <f>IF(AND(BO19=BN19,AK19="o"),"A", (IFERROR(VLOOKUP(LEFT(BD19,2),BASE!$C$346:$D$592,2,0),IFERROR(VLOOKUP(LEFT(BD19,1),BASE!$C$346:$D$592,2,0),BD19))))</f>
        <v/>
      </c>
      <c r="AK19" s="187" t="str">
        <f>IF(AND(BN19=BM19,AL19="o"),"A", (IFERROR(VLOOKUP(LEFT(BE19,2),BASE!$C$346:$D$592,2,0),IFERROR(VLOOKUP(LEFT(BE19,1),BASE!$C$346:$D$592,2,0),BE19))))</f>
        <v/>
      </c>
      <c r="AL19" s="187" t="str">
        <f>IF(AND(BM19=BL19,AM19="o"),"A", (IFERROR(VLOOKUP(LEFT(BF19,2),BASE!$C$346:$D$592,2,0),IFERROR(VLOOKUP(LEFT(BF19,1),BASE!$C$346:$D$592,2,0),BF19))))</f>
        <v/>
      </c>
      <c r="AM19" s="187" t="str">
        <f>IF(AND(BL19=BK19,AN19="o"),"A",(IFERROR(VLOOKUP(LEFT(BG19,2),BASE!$C$346:$D$592,2,0),IFERROR(VLOOKUP(LEFT(BG19,1),BASE!$C$346:$D$592,2,0),BG19))))</f>
        <v/>
      </c>
      <c r="AN19" s="187" t="str">
        <f>(IFERROR(VLOOKUP(LEFT(BH19,2),BASE!$C$346:$D$592,2,0),IFERROR(VLOOKUP(LEFT(BH19,1),BASE!$C$346:$D$592,2,0),BH19)))</f>
        <v>n</v>
      </c>
      <c r="AO19" s="187" t="str">
        <f>(IFERROR(VLOOKUP(LEFT(BI19,2),BASE!$C$96:$D$342,2,0),IFERROR(VLOOKUP(LEFT(BI19,1),BASE!$C$96:$D$342,2,0),BI19)))</f>
        <v>n</v>
      </c>
      <c r="AP19" s="5">
        <f t="shared" si="2"/>
        <v>4</v>
      </c>
      <c r="AQ19" s="5">
        <f t="shared" si="2"/>
        <v>4</v>
      </c>
      <c r="AR19" s="5">
        <f t="shared" si="2"/>
        <v>4</v>
      </c>
      <c r="AS19" s="5">
        <f t="shared" si="2"/>
        <v>4</v>
      </c>
      <c r="AT19" s="5">
        <f t="shared" si="2"/>
        <v>4</v>
      </c>
      <c r="AU19" s="5">
        <f t="shared" si="2"/>
        <v>4</v>
      </c>
      <c r="AV19" s="5">
        <f t="shared" si="2"/>
        <v>4</v>
      </c>
      <c r="AW19" s="5">
        <f t="shared" si="2"/>
        <v>4</v>
      </c>
      <c r="AX19" s="5">
        <f t="shared" si="2"/>
        <v>4</v>
      </c>
      <c r="AY19" s="5">
        <f t="shared" si="3"/>
        <v>4</v>
      </c>
      <c r="AZ19" s="12" t="str">
        <f t="shared" si="4"/>
        <v/>
      </c>
      <c r="BA19" s="12" t="str">
        <f t="shared" si="4"/>
        <v/>
      </c>
      <c r="BB19" s="12" t="str">
        <f t="shared" si="4"/>
        <v/>
      </c>
      <c r="BC19" s="12" t="str">
        <f t="shared" si="4"/>
        <v/>
      </c>
      <c r="BD19" s="12" t="str">
        <f t="shared" si="4"/>
        <v/>
      </c>
      <c r="BE19" s="12" t="str">
        <f t="shared" si="4"/>
        <v/>
      </c>
      <c r="BF19" s="12" t="str">
        <f t="shared" si="4"/>
        <v/>
      </c>
      <c r="BG19" s="12" t="str">
        <f t="shared" si="4"/>
        <v/>
      </c>
      <c r="BH19" s="43" t="str">
        <f t="shared" si="4"/>
        <v>ரே</v>
      </c>
      <c r="BI19" s="57" t="str">
        <f>CG6</f>
        <v>யாரே</v>
      </c>
      <c r="BJ19" s="58" t="str">
        <f>IFERROR(VLOOKUP(LEFT(BI19,2),BASE!$C$96:$F$342,1,0),IFERROR(VLOOKUP(LEFT(BI19,1),BASE!$C$96:$F$342,1,0),BI19))</f>
        <v>யா</v>
      </c>
      <c r="BK19" s="58" t="str">
        <f>IFERROR(VLOOKUP(LEFT(BH19,2),BASE!$C$96:$D$342,1,0),IFERROR(VLOOKUP(LEFT(BH19,1),BASE!$C$96:$D$342,1,0),BH19))</f>
        <v>ரே</v>
      </c>
      <c r="BL19" s="58" t="str">
        <f>IFERROR(VLOOKUP(LEFT(BG19,2),BASE!$C$96:$D$342,1,0),IFERROR(VLOOKUP(LEFT(BG19,1),BASE!$C$96:$D$342,1,0),BG19))</f>
        <v/>
      </c>
      <c r="BM19" s="58" t="str">
        <f>IFERROR(VLOOKUP(LEFT(BF19,2),BASE!$C$96:$D$342,1,0),IFERROR(VLOOKUP(LEFT(BF19,1),BASE!$C$96:$D$342,1,0),BF19))</f>
        <v/>
      </c>
      <c r="BN19" s="58" t="str">
        <f>IFERROR(VLOOKUP(LEFT(BE19,2),BASE!$C$96:$D$342,1,0),IFERROR(VLOOKUP(LEFT(BE19,1),BASE!$C$96:$D$342,1,0),BE19))</f>
        <v/>
      </c>
      <c r="BO19" s="58" t="str">
        <f>IFERROR(VLOOKUP(LEFT(BD19,2),BASE!$C$96:$D$342,1,0),IFERROR(VLOOKUP(LEFT(BD19,1),BASE!$C$96:$D$342,1,0),BD19))</f>
        <v/>
      </c>
      <c r="BP19" s="58" t="str">
        <f>IFERROR(VLOOKUP(LEFT(BC19,2),BASE!$C$96:$D$342,1,0),IFERROR(VLOOKUP(LEFT(BC19,1),BASE!$C$96:$D$342,1,0),BC19))</f>
        <v/>
      </c>
      <c r="BQ19" s="58" t="str">
        <f>IFERROR(VLOOKUP(LEFT(BB19,2),BASE!$C$96:$D$342,1,0),IFERROR(VLOOKUP(LEFT(BB19,1),BASE!$C$96:$D$342,1,0),BB19))</f>
        <v/>
      </c>
      <c r="BR19" s="58" t="str">
        <f>IFERROR(VLOOKUP(LEFT(BA19,2),BASE!$C$96:$D$342,1,0),IFERROR(VLOOKUP(LEFT(BA19,1),BASE!$C$96:$D$342,1,0),BA19))</f>
        <v/>
      </c>
      <c r="BS19" s="58" t="str">
        <f>IFERROR(VLOOKUP(LEFT(AZ19,2),BASE!$C$96:$D$342,1,0),IFERROR(VLOOKUP(LEFT(AZ19,1),BASE!$C$96:$D$342,1,0),AZ19))</f>
        <v/>
      </c>
      <c r="BT19" s="186" t="str">
        <f>(IFERROR(VLOOKUP(LEFT(BI19,2),BASE!$C$96:$F$342,4,0),IFERROR(VLOOKUP(LEFT(BI19,1),BASE!$C$96:$F$342,4,0),BI19)))</f>
        <v>நெ</v>
      </c>
      <c r="BU19" s="186" t="str">
        <f>(IFERROR(VLOOKUP(LEFT(BH19,2),BASE!$C$346:$F$592,4,0),IFERROR(VLOOKUP(LEFT(BH19,1),BASE!$C$346:$F$592,4,0),BH19)))</f>
        <v>நெ</v>
      </c>
      <c r="BV19" s="186" t="str">
        <f>(IFERROR(VLOOKUP(LEFT(BG19,2),BASE!$C$346:$F$592,4,0),IFERROR(VLOOKUP(LEFT(BG19,1),BASE!$C$346:$F$592,4,0),BG19)))</f>
        <v/>
      </c>
      <c r="BW19" s="186" t="str">
        <f>(IFERROR(VLOOKUP(LEFT(BF19,2),BASE!$C$346:$F$592,4,0),IFERROR(VLOOKUP(LEFT(BF19,1),BASE!$C$346:$F$592,4,0),BF19)))</f>
        <v/>
      </c>
      <c r="BX19" s="186" t="str">
        <f>(IFERROR(VLOOKUP(LEFT(BE19,2),BASE!$C$346:$F$592,4,0),IFERROR(VLOOKUP(LEFT(BE19,1),BASE!$C$346:$F$592,4,0),BE19)))</f>
        <v/>
      </c>
      <c r="BY19" s="186" t="str">
        <f>(IFERROR(VLOOKUP(LEFT(BD19,2),BASE!$C$346:$F$592,4,0),IFERROR(VLOOKUP(LEFT(BD19,1),BASE!$C$346:$F$592,4,0),BD19)))</f>
        <v/>
      </c>
      <c r="BZ19" s="186" t="str">
        <f>(IFERROR(VLOOKUP(LEFT(BC19,2),BASE!$C$346:$F$592,4,0),IFERROR(VLOOKUP(LEFT(BC19,1),BASE!$C$346:$F$592,4,0),BC19)))</f>
        <v/>
      </c>
      <c r="CA19" s="186" t="str">
        <f>(IFERROR(VLOOKUP(LEFT(BB19,2),BASE!$C$346:$F$592,4,0),IFERROR(VLOOKUP(LEFT(BB19,1),BASE!$C$346:$F$592,4,0),BB19)))</f>
        <v/>
      </c>
      <c r="CB19" s="186" t="str">
        <f>(IFERROR(VLOOKUP(LEFT(BA19,2),BASE!$C$346:$F$592,4,0),IFERROR(VLOOKUP(LEFT(BA19,1),BASE!$C$346:$F$592,4,0),BA19)))</f>
        <v/>
      </c>
      <c r="CC19" s="186" t="str">
        <f>(IFERROR(VLOOKUP(LEFT(AZ19,2),BASE!$C$346:$F$592,4,0),IFERROR(VLOOKUP(LEFT(AZ19,1),BASE!$C$346:$F$592,4,0),AZ19)))</f>
        <v/>
      </c>
      <c r="CD19" s="58" t="str">
        <f t="shared" si="5"/>
        <v>நெநெ</v>
      </c>
      <c r="CE19" s="58" t="str">
        <f>IFERROR(VLOOKUP((LEFT(U19,4)),BASE!$E$12:$F$23,2,0),IFERROR(VLOOKUP((LEFT(U19,3)),BASE!$E$12:$F$23,2,0),IFERROR(VLOOKUP((LEFT(U19,2)),BASE!$E$12:$F$23,2,0),IFERROR(VLOOKUP((LEFT(U19,1)),BASE!$E$12:$F$23,2,0),U19))))</f>
        <v>நேர்</v>
      </c>
      <c r="CF19" s="58" t="str">
        <f>IFERROR(VLOOKUP((LEFT(T19,4)),BASE!$E$12:$F$24,2,0),IFERROR(VLOOKUP((LEFT(T19,3)),BASE!$E$12:$F$24,2,0),IFERROR(VLOOKUP((LEFT(T19,2)),BASE!$E$12:$F$24,2,0),IFERROR(VLOOKUP((LEFT(T19,1)),BASE!$E$12:$F$24,2,0),T19))))</f>
        <v>நேர்</v>
      </c>
      <c r="CG19" s="58" t="str">
        <f>IFERROR(VLOOKUP((LEFT(S19,4)),BASE!$E$12:$F$23,2,0),IFERROR(VLOOKUP((LEFT(S19,3)),BASE!$E$12:$F$23,2,0),IFERROR(VLOOKUP((LEFT(S19,2)),BASE!$E$12:$F$23,2,0),IFERROR(VLOOKUP((LEFT(S19,1)),BASE!$E$12:$F$23,2,0),S19))))</f>
        <v/>
      </c>
      <c r="CH19" s="58" t="str">
        <f>IFERROR(VLOOKUP((LEFT(R19,4)),BASE!$E$12:$F$23,2,0),IFERROR(VLOOKUP((LEFT(R19,3)),BASE!$E$12:$F$23,2,0),IFERROR(VLOOKUP((LEFT(R19,2)),BASE!$E$12:$F$23,2,0),IFERROR(VLOOKUP((LEFT(R19,1)),BASE!$E$12:$F$23,2,0),R19))))</f>
        <v/>
      </c>
      <c r="CI19" s="58" t="str">
        <f>IFERROR(VLOOKUP((LEFT(Q19,4)),BASE!$E$12:$F$23,2,0),IFERROR(VLOOKUP((LEFT(Q19,3)),BASE!$E$12:$F$23,2,0),IFERROR(VLOOKUP((LEFT(Q19,2)),BASE!$E$12:$F$23,2,0),IFERROR(VLOOKUP((LEFT(Q19,1)),BASE!$E$12:$F$23,2,0),Q19))))</f>
        <v/>
      </c>
      <c r="CJ19" s="58" t="str">
        <f>IFERROR(VLOOKUP((LEFT(P19,4)),BASE!$E$12:$F$23,2,0),IFERROR(VLOOKUP((LEFT(P19,3)),BASE!$E$12:$F$23,2,0),IFERROR(VLOOKUP((LEFT(P19,2)),BASE!$E$12:$F$23,2,0),IFERROR(VLOOKUP((LEFT(P19,1)),BASE!$E$12:$F$23,2,0),P19))))</f>
        <v/>
      </c>
      <c r="CK19" s="58" t="str">
        <f>IFERROR(VLOOKUP((LEFT(O19,4)),BASE!$E$12:$F$23,2,0),IFERROR(VLOOKUP((LEFT(O19,3)),BASE!$E$12:$F$23,2,0),IFERROR(VLOOKUP((LEFT(O19,2)),BASE!$E$12:$F$23,2,0),IFERROR(VLOOKUP((LEFT(O19,1)),BASE!$E$12:$F$23,2,0),O19))))</f>
        <v/>
      </c>
      <c r="CL19" s="58" t="str">
        <f>IFERROR(VLOOKUP((LEFT(N19,4)),BASE!$E$12:$F$23,2,0),IFERROR(VLOOKUP((LEFT(N19,3)),BASE!$E$12:$F$23,2,0),IFERROR(VLOOKUP((LEFT(N19,2)),BASE!$E$12:$F$23,2,0),IFERROR(VLOOKUP((LEFT(N19,1)),BASE!$E$12:$F$23,2,0),N19))))</f>
        <v/>
      </c>
      <c r="CM19" s="58" t="str">
        <f>IFERROR(VLOOKUP((LEFT(M19,4)),BASE!$E$12:$F$23,2,0),IFERROR(VLOOKUP((LEFT(M19,3)),BASE!$E$12:$F$23,2,0),IFERROR(VLOOKUP((LEFT(M19,2)),BASE!$E$12:$F$23,2,0),IFERROR(VLOOKUP((LEFT(M19,1)),BASE!$E$12:$F$23,2,0),M19))))</f>
        <v/>
      </c>
      <c r="CN19" s="58" t="str">
        <f>IFERROR(VLOOKUP((LEFT(L19,4)),BASE!$E$12:$F$23,2,0),IFERROR(VLOOKUP((LEFT(L19,3)),BASE!$E$12:$F$23,2,0),IFERROR(VLOOKUP((LEFT(L19,2)),BASE!$E$12:$F$23,2,0),IFERROR(VLOOKUP((LEFT(L19,1)),BASE!$E$12:$F$23,2,0),L19))))</f>
        <v/>
      </c>
      <c r="CO19" s="58" t="str">
        <f t="shared" si="6"/>
        <v>நேர்நேர்</v>
      </c>
      <c r="CP19" s="58" t="str">
        <f>VLOOKUP(CO19,BASE!$E$25:$F$79,2,0)</f>
        <v>தேமா</v>
      </c>
      <c r="CQ19" s="58" t="str">
        <f>VLOOKUP(CO19,BASE!$E$25:$G$79,3,0)&amp;CE20</f>
        <v>மாநிரை</v>
      </c>
      <c r="CR19" s="58" t="str">
        <f>VLOOKUP(CQ19,BASE!$E$86:$G$93,2,0)</f>
        <v>மாமுன் நிரை</v>
      </c>
      <c r="CS19" s="58" t="str">
        <f>VLOOKUP(CQ19,BASE!$E$86:$G$93,3,0)</f>
        <v>இயற்சீர் வெண்டளை</v>
      </c>
      <c r="CT19" s="58" t="str">
        <f t="shared" si="7"/>
        <v>மூவசைக்கு மிகவில்லை</v>
      </c>
      <c r="CU19" s="59" t="str">
        <f t="shared" si="8"/>
        <v>சரி</v>
      </c>
      <c r="DQ19" s="82"/>
    </row>
    <row r="20" spans="1:121" ht="19.5" customHeight="1" x14ac:dyDescent="0.35">
      <c r="A20" s="119"/>
      <c r="B20" s="12">
        <f>IFERROR(VLOOKUP((LEFT(L20,4)),BASE!$E$12:$F$23,1,0),IFERROR(VLOOKUP((LEFT(L20,3)),BASE!$E$12:$F$23,1,0),IFERROR(VLOOKUP((LEFT(L20,2)),BASE!$E$12:$F$23,1,0),IFERROR(VLOOKUP((LEFT(L20,1)),BASE!$E$12:$F$23,1,0),100))))</f>
        <v>100</v>
      </c>
      <c r="C20" s="12">
        <f>IFERROR(VLOOKUP((LEFT(M20,4)),BASE!$E$12:$F$23,1,0),IFERROR(VLOOKUP((LEFT(M20,3)),BASE!$E$12:$F$23,1,0),IFERROR(VLOOKUP((LEFT(M20,2)),BASE!$E$12:$F$23,1,0),IFERROR(VLOOKUP((LEFT(M20,1)),BASE!$E$12:$F$23,1,0),100))))</f>
        <v>100</v>
      </c>
      <c r="D20" s="12">
        <f>IFERROR(VLOOKUP((LEFT(N20,4)),BASE!$E$12:$F$23,1,0),IFERROR(VLOOKUP((LEFT(N20,3)),BASE!$E$12:$F$23,1,0),IFERROR(VLOOKUP((LEFT(N20,2)),BASE!$E$12:$F$23,1,0),IFERROR(VLOOKUP((LEFT(N20,1)),BASE!$E$12:$F$23,1,0),100))))</f>
        <v>100</v>
      </c>
      <c r="E20" s="12">
        <f>IFERROR(VLOOKUP((LEFT(O20,4)),BASE!$E$12:$F$23,1,0),IFERROR(VLOOKUP((LEFT(O20,3)),BASE!$E$12:$F$23,1,0),IFERROR(VLOOKUP((LEFT(O20,2)),BASE!$E$12:$F$23,1,0),IFERROR(VLOOKUP((LEFT(O20,1)),BASE!$E$12:$F$23,1,0),100))))</f>
        <v>100</v>
      </c>
      <c r="F20" s="12">
        <f>IFERROR(VLOOKUP((LEFT(P20,4)),BASE!$E$12:$F$23,1,0),IFERROR(VLOOKUP((LEFT(P20,3)),BASE!$E$12:$F$23,1,0),IFERROR(VLOOKUP((LEFT(P20,2)),BASE!$E$12:$F$23,1,0),IFERROR(VLOOKUP((LEFT(P20,1)),BASE!$E$12:$F$23,1,0),100))))</f>
        <v>100</v>
      </c>
      <c r="G20" s="12">
        <f>IFERROR(VLOOKUP((LEFT(Q20,4)),BASE!$E$12:$F$23,1,0),IFERROR(VLOOKUP((LEFT(Q20,3)),BASE!$E$12:$F$23,1,0),IFERROR(VLOOKUP((LEFT(Q20,2)),BASE!$E$12:$F$23,1,0),IFERROR(VLOOKUP((LEFT(Q20,1)),BASE!$E$12:$F$23,1,0),100))))</f>
        <v>100</v>
      </c>
      <c r="H20" s="12">
        <f>IFERROR(VLOOKUP((LEFT(R20,4)),BASE!$E$12:$F$23,1,0),IFERROR(VLOOKUP((LEFT(R20,3)),BASE!$E$12:$F$23,1,0),IFERROR(VLOOKUP((LEFT(R20,2)),BASE!$E$12:$F$23,1,0),IFERROR(VLOOKUP((LEFT(R20,1)),BASE!$E$12:$F$23,1,0),100))))</f>
        <v>100</v>
      </c>
      <c r="I20" s="12">
        <f>IFERROR(VLOOKUP((LEFT(S20,4)),BASE!$E$12:$F$23,1,0),IFERROR(VLOOKUP((LEFT(S20,3)),BASE!$E$12:$F$23,1,0),IFERROR(VLOOKUP((LEFT(S20,2)),BASE!$E$12:$F$23,1,0),IFERROR(VLOOKUP((LEFT(S20,1)),BASE!$E$12:$F$23,1,0),100))))</f>
        <v>100</v>
      </c>
      <c r="J20" s="12" t="str">
        <f>IFERROR(VLOOKUP((LEFT(T20,4)),BASE!$E$12:$F$24,1,0),IFERROR(VLOOKUP((LEFT(T20,3)),BASE!$E$12:$F$24,1,0),IFERROR(VLOOKUP((LEFT(T20,2)),BASE!$E$12:$F$24,1,0),IFERROR(VLOOKUP((LEFT(T20,1)),BASE!$E$12:$F$24,1,0),100))))</f>
        <v>k</v>
      </c>
      <c r="K20" s="12" t="str">
        <f>IFERROR(VLOOKUP((LEFT(U20,4)),BASE!$E$12:$F$23,1,0),IFERROR(VLOOKUP((LEFT(U20,3)),BASE!$E$12:$F$23,1,0),IFERROR(VLOOKUP((LEFT(U20,2)),BASE!$E$12:$F$23,1,0),IFERROR(VLOOKUP((LEFT(U20,1)),BASE!$E$12:$F$23,1,0),100))))</f>
        <v>kk</v>
      </c>
      <c r="L20" s="14" t="str">
        <f t="shared" si="0"/>
        <v/>
      </c>
      <c r="M20" s="14" t="str">
        <f t="shared" si="0"/>
        <v/>
      </c>
      <c r="N20" s="14" t="str">
        <f t="shared" si="0"/>
        <v/>
      </c>
      <c r="O20" s="14" t="str">
        <f t="shared" si="0"/>
        <v/>
      </c>
      <c r="P20" s="14" t="str">
        <f t="shared" si="0"/>
        <v/>
      </c>
      <c r="Q20" s="14" t="str">
        <f t="shared" si="0"/>
        <v/>
      </c>
      <c r="R20" s="14" t="str">
        <f t="shared" si="0"/>
        <v/>
      </c>
      <c r="S20" s="14" t="str">
        <f t="shared" si="0"/>
        <v/>
      </c>
      <c r="T20" s="14" t="str">
        <f t="shared" si="0"/>
        <v>k</v>
      </c>
      <c r="U20" s="14" t="str">
        <f t="shared" si="1"/>
        <v>kkk</v>
      </c>
      <c r="V20" s="13">
        <f>IFERROR(VLOOKUP(LEFT(AZ20,2),BASE!$C$96:$E$342,3,0),IFERROR(VLOOKUP(LEFT(AZ20,1),BASE!$C$96:$E$342,3,0),100))</f>
        <v>100</v>
      </c>
      <c r="W20" s="13">
        <f>IFERROR(VLOOKUP(LEFT(BA20,2),BASE!$C$96:$E$342,3,0),IFERROR(VLOOKUP(LEFT(BA20,1),BASE!$C$96:$E$342,3,0),100))</f>
        <v>100</v>
      </c>
      <c r="X20" s="13">
        <f>IFERROR(VLOOKUP(LEFT(BB20,2),BASE!$C$96:$E$342,3,0),IFERROR(VLOOKUP(LEFT(BB20,1),BASE!$C$96:$E$342,3,0),100))</f>
        <v>100</v>
      </c>
      <c r="Y20" s="13">
        <f>IFERROR(VLOOKUP(LEFT(BC20,2),BASE!$C$96:$E$342,3,0),IFERROR(VLOOKUP(LEFT(BC20,1),BASE!$C$96:$E$342,3,0),100))</f>
        <v>100</v>
      </c>
      <c r="Z20" s="13">
        <f>IFERROR(VLOOKUP(LEFT(BD20,2),BASE!$C$96:$E$342,3,0),IFERROR(VLOOKUP(LEFT(BD20,1),BASE!$C$96:$E$342,3,0),100))</f>
        <v>100</v>
      </c>
      <c r="AA20" s="13">
        <f>IFERROR(VLOOKUP(LEFT(BE20,2),BASE!$C$96:$E$342,3,0),IFERROR(VLOOKUP(LEFT(BE20,1),BASE!$C$96:$E$342,3,0),100))</f>
        <v>100</v>
      </c>
      <c r="AB20" s="13">
        <f>IFERROR(VLOOKUP(LEFT(BF20,2),BASE!$C$96:$E$342,3,0),IFERROR(VLOOKUP(LEFT(BF20,1),BASE!$C$96:$E$342,3,0),100))</f>
        <v>100</v>
      </c>
      <c r="AC20" s="13">
        <f>IFERROR(VLOOKUP(LEFT(BG20,2),BASE!$C$96:$E$342,3,0),IFERROR(VLOOKUP(LEFT(BG20,1),BASE!$C$96:$E$342,3,0),100))</f>
        <v>1</v>
      </c>
      <c r="AD20" s="13">
        <f>IFERROR(VLOOKUP(LEFT(BH20,2),BASE!$C$96:$E$342,3,0),IFERROR(VLOOKUP(LEFT(BH20,1),BASE!$C$96:$E$342,3,0),100))</f>
        <v>2</v>
      </c>
      <c r="AE20" s="13">
        <f>IFERROR(VLOOKUP(LEFT(BI20,2),BASE!$C$96:$E$342,3,0),IFERROR(VLOOKUP(LEFT(BI20,1),BASE!$C$96:$E$342,3,0),100))</f>
        <v>2</v>
      </c>
      <c r="AF20" s="187" t="str">
        <f>IF(AND(BS20=BR20,AG20="o"),"A", (IFERROR(VLOOKUP(LEFT(AZ20,2),BASE!$C$346:$D$592,2,0),IFERROR(VLOOKUP(LEFT(AZ20,1),BASE!$C$346:$D$5922,2,0),AZ20))))</f>
        <v/>
      </c>
      <c r="AG20" s="187" t="str">
        <f>IF(AND(BR20=BQ20,AH20="o"),"A", (IFERROR(VLOOKUP(LEFT(BA20,2),BASE!$C$346:$D$592,2,0),IFERROR(VLOOKUP(LEFT(BA20,1),BASE!$C$346:$D$592,2,0),BA20))))</f>
        <v/>
      </c>
      <c r="AH20" s="187" t="str">
        <f>IF(AND(BQ20=BP20,AI20="o"),"A", (IFERROR(VLOOKUP(LEFT(BB20,2),BASE!$C$346:$D$592,2,0),IFERROR(VLOOKUP(LEFT(BB20,1),BASE!$C$346:$D$592,2,0),BB20))))</f>
        <v/>
      </c>
      <c r="AI20" s="187" t="str">
        <f>IF(AND(BP20=BO20,AJ20="o"),"A", (IFERROR(VLOOKUP(LEFT(BC20,2),BASE!$C$346:$D$592,2,0),IFERROR(VLOOKUP(LEFT(BC20,1),BASE!$C$346:$D$592,2,0),BC20))))</f>
        <v/>
      </c>
      <c r="AJ20" s="187" t="str">
        <f>IF(AND(BO20=BN20,AK20="o"),"A", (IFERROR(VLOOKUP(LEFT(BD20,2),BASE!$C$346:$D$592,2,0),IFERROR(VLOOKUP(LEFT(BD20,1),BASE!$C$346:$D$592,2,0),BD20))))</f>
        <v/>
      </c>
      <c r="AK20" s="187" t="str">
        <f>IF(AND(BN20=BM20,AL20="o"),"A", (IFERROR(VLOOKUP(LEFT(BE20,2),BASE!$C$346:$D$592,2,0),IFERROR(VLOOKUP(LEFT(BE20,1),BASE!$C$346:$D$592,2,0),BE20))))</f>
        <v/>
      </c>
      <c r="AL20" s="187" t="str">
        <f>IF(AND(BM20=BL20,AM20="o"),"A", (IFERROR(VLOOKUP(LEFT(BF20,2),BASE!$C$346:$D$592,2,0),IFERROR(VLOOKUP(LEFT(BF20,1),BASE!$C$346:$D$592,2,0),BF20))))</f>
        <v/>
      </c>
      <c r="AM20" s="187" t="str">
        <f>IF(AND(BL20=BK20,AN20="o"),"A",(IFERROR(VLOOKUP(LEFT(BG20,2),BASE!$C$346:$D$592,2,0),IFERROR(VLOOKUP(LEFT(BG20,1),BASE!$C$346:$D$592,2,0),BG20))))</f>
        <v>k</v>
      </c>
      <c r="AN20" s="187" t="str">
        <f>(IFERROR(VLOOKUP(LEFT(BH20,2),BASE!$C$346:$D$592,2,0),IFERROR(VLOOKUP(LEFT(BH20,1),BASE!$C$346:$D$592,2,0),BH20)))</f>
        <v>k</v>
      </c>
      <c r="AO20" s="187" t="str">
        <f>(IFERROR(VLOOKUP(LEFT(BI20,2),BASE!$C$96:$D$342,2,0),IFERROR(VLOOKUP(LEFT(BI20,1),BASE!$C$96:$D$342,2,0),BI20)))</f>
        <v>k</v>
      </c>
      <c r="AP20" s="5">
        <f t="shared" si="2"/>
        <v>5</v>
      </c>
      <c r="AQ20" s="5">
        <f t="shared" si="2"/>
        <v>5</v>
      </c>
      <c r="AR20" s="5">
        <f t="shared" si="2"/>
        <v>5</v>
      </c>
      <c r="AS20" s="5">
        <f t="shared" si="2"/>
        <v>5</v>
      </c>
      <c r="AT20" s="5">
        <f t="shared" si="2"/>
        <v>5</v>
      </c>
      <c r="AU20" s="5">
        <f t="shared" si="2"/>
        <v>5</v>
      </c>
      <c r="AV20" s="5">
        <f t="shared" si="2"/>
        <v>5</v>
      </c>
      <c r="AW20" s="5">
        <f t="shared" si="2"/>
        <v>5</v>
      </c>
      <c r="AX20" s="5">
        <f t="shared" si="2"/>
        <v>5</v>
      </c>
      <c r="AY20" s="5">
        <f t="shared" si="3"/>
        <v>5</v>
      </c>
      <c r="AZ20" s="12" t="str">
        <f t="shared" si="4"/>
        <v/>
      </c>
      <c r="BA20" s="12" t="str">
        <f t="shared" si="4"/>
        <v/>
      </c>
      <c r="BB20" s="12" t="str">
        <f t="shared" si="4"/>
        <v/>
      </c>
      <c r="BC20" s="12" t="str">
        <f t="shared" si="4"/>
        <v/>
      </c>
      <c r="BD20" s="12" t="str">
        <f t="shared" si="4"/>
        <v/>
      </c>
      <c r="BE20" s="12" t="str">
        <f t="shared" si="4"/>
        <v/>
      </c>
      <c r="BF20" s="12" t="str">
        <f t="shared" si="4"/>
        <v/>
      </c>
      <c r="BG20" s="12" t="str">
        <f t="shared" si="4"/>
        <v>ய</v>
      </c>
      <c r="BH20" s="43" t="str">
        <f t="shared" si="4"/>
        <v>ரிய</v>
      </c>
      <c r="BI20" s="57" t="str">
        <f>CD8</f>
        <v>பெரிய</v>
      </c>
      <c r="BJ20" s="58" t="str">
        <f>IFERROR(VLOOKUP(LEFT(BI20,2),BASE!$C$96:$F$342,1,0),IFERROR(VLOOKUP(LEFT(BI20,1),BASE!$C$96:$F$342,1,0),BI20))</f>
        <v>பெ</v>
      </c>
      <c r="BK20" s="58" t="str">
        <f>IFERROR(VLOOKUP(LEFT(BH20,2),BASE!$C$96:$D$342,1,0),IFERROR(VLOOKUP(LEFT(BH20,1),BASE!$C$96:$D$342,1,0),BH20))</f>
        <v>ரி</v>
      </c>
      <c r="BL20" s="58" t="str">
        <f>IFERROR(VLOOKUP(LEFT(BG20,2),BASE!$C$96:$D$342,1,0),IFERROR(VLOOKUP(LEFT(BG20,1),BASE!$C$96:$D$342,1,0),BG20))</f>
        <v>ய</v>
      </c>
      <c r="BM20" s="58" t="str">
        <f>IFERROR(VLOOKUP(LEFT(BF20,2),BASE!$C$96:$D$342,1,0),IFERROR(VLOOKUP(LEFT(BF20,1),BASE!$C$96:$D$342,1,0),BF20))</f>
        <v/>
      </c>
      <c r="BN20" s="58" t="str">
        <f>IFERROR(VLOOKUP(LEFT(BE20,2),BASE!$C$96:$D$342,1,0),IFERROR(VLOOKUP(LEFT(BE20,1),BASE!$C$96:$D$342,1,0),BE20))</f>
        <v/>
      </c>
      <c r="BO20" s="58" t="str">
        <f>IFERROR(VLOOKUP(LEFT(BD20,2),BASE!$C$96:$D$342,1,0),IFERROR(VLOOKUP(LEFT(BD20,1),BASE!$C$96:$D$342,1,0),BD20))</f>
        <v/>
      </c>
      <c r="BP20" s="58" t="str">
        <f>IFERROR(VLOOKUP(LEFT(BC20,2),BASE!$C$96:$D$342,1,0),IFERROR(VLOOKUP(LEFT(BC20,1),BASE!$C$96:$D$342,1,0),BC20))</f>
        <v/>
      </c>
      <c r="BQ20" s="58" t="str">
        <f>IFERROR(VLOOKUP(LEFT(BB20,2),BASE!$C$96:$D$342,1,0),IFERROR(VLOOKUP(LEFT(BB20,1),BASE!$C$96:$D$342,1,0),BB20))</f>
        <v/>
      </c>
      <c r="BR20" s="58" t="str">
        <f>IFERROR(VLOOKUP(LEFT(BA20,2),BASE!$C$96:$D$342,1,0),IFERROR(VLOOKUP(LEFT(BA20,1),BASE!$C$96:$D$342,1,0),BA20))</f>
        <v/>
      </c>
      <c r="BS20" s="58" t="str">
        <f>IFERROR(VLOOKUP(LEFT(AZ20,2),BASE!$C$96:$D$342,1,0),IFERROR(VLOOKUP(LEFT(AZ20,1),BASE!$C$96:$D$342,1,0),AZ20))</f>
        <v/>
      </c>
      <c r="BT20" s="186" t="str">
        <f>(IFERROR(VLOOKUP(LEFT(BI20,2),BASE!$C$96:$F$342,4,0),IFERROR(VLOOKUP(LEFT(BI20,1),BASE!$C$96:$F$342,4,0),BI20)))</f>
        <v>கு</v>
      </c>
      <c r="BU20" s="186" t="str">
        <f>(IFERROR(VLOOKUP(LEFT(BH20,2),BASE!$C$346:$F$592,4,0),IFERROR(VLOOKUP(LEFT(BH20,1),BASE!$C$346:$F$592,4,0),BH20)))</f>
        <v>கு</v>
      </c>
      <c r="BV20" s="186" t="str">
        <f>(IFERROR(VLOOKUP(LEFT(BG20,2),BASE!$C$346:$F$592,4,0),IFERROR(VLOOKUP(LEFT(BG20,1),BASE!$C$346:$F$592,4,0),BG20)))</f>
        <v>கு</v>
      </c>
      <c r="BW20" s="186" t="str">
        <f>(IFERROR(VLOOKUP(LEFT(BF20,2),BASE!$C$346:$F$592,4,0),IFERROR(VLOOKUP(LEFT(BF20,1),BASE!$C$346:$F$592,4,0),BF20)))</f>
        <v/>
      </c>
      <c r="BX20" s="186" t="str">
        <f>(IFERROR(VLOOKUP(LEFT(BE20,2),BASE!$C$346:$F$592,4,0),IFERROR(VLOOKUP(LEFT(BE20,1),BASE!$C$346:$F$592,4,0),BE20)))</f>
        <v/>
      </c>
      <c r="BY20" s="186" t="str">
        <f>(IFERROR(VLOOKUP(LEFT(BD20,2),BASE!$C$346:$F$592,4,0),IFERROR(VLOOKUP(LEFT(BD20,1),BASE!$C$346:$F$592,4,0),BD20)))</f>
        <v/>
      </c>
      <c r="BZ20" s="186" t="str">
        <f>(IFERROR(VLOOKUP(LEFT(BC20,2),BASE!$C$346:$F$592,4,0),IFERROR(VLOOKUP(LEFT(BC20,1),BASE!$C$346:$F$592,4,0),BC20)))</f>
        <v/>
      </c>
      <c r="CA20" s="186" t="str">
        <f>(IFERROR(VLOOKUP(LEFT(BB20,2),BASE!$C$346:$F$592,4,0),IFERROR(VLOOKUP(LEFT(BB20,1),BASE!$C$346:$F$592,4,0),BB20)))</f>
        <v/>
      </c>
      <c r="CB20" s="186" t="str">
        <f>(IFERROR(VLOOKUP(LEFT(BA20,2),BASE!$C$346:$F$592,4,0),IFERROR(VLOOKUP(LEFT(BA20,1),BASE!$C$346:$F$592,4,0),BA20)))</f>
        <v/>
      </c>
      <c r="CC20" s="186" t="str">
        <f>(IFERROR(VLOOKUP(LEFT(AZ20,2),BASE!$C$346:$F$592,4,0),IFERROR(VLOOKUP(LEFT(AZ20,1),BASE!$C$346:$F$592,4,0),AZ20)))</f>
        <v/>
      </c>
      <c r="CD20" s="58" t="str">
        <f t="shared" si="5"/>
        <v>குகுகு</v>
      </c>
      <c r="CE20" s="58" t="str">
        <f>IFERROR(VLOOKUP((LEFT(U20,4)),BASE!$E$12:$F$23,2,0),IFERROR(VLOOKUP((LEFT(U20,3)),BASE!$E$12:$F$23,2,0),IFERROR(VLOOKUP((LEFT(U20,2)),BASE!$E$12:$F$23,2,0),IFERROR(VLOOKUP((LEFT(U20,1)),BASE!$E$12:$F$23,2,0),U20))))</f>
        <v>நிரை</v>
      </c>
      <c r="CF20" s="58" t="str">
        <f>IFERROR(VLOOKUP((LEFT(T20,4)),BASE!$E$12:$F$24,2,0),IFERROR(VLOOKUP((LEFT(T20,3)),BASE!$E$12:$F$24,2,0),IFERROR(VLOOKUP((LEFT(T20,2)),BASE!$E$12:$F$24,2,0),IFERROR(VLOOKUP((LEFT(T20,1)),BASE!$E$12:$F$24,2,0),T20))))</f>
        <v>நேர்</v>
      </c>
      <c r="CG20" s="58" t="str">
        <f>IFERROR(VLOOKUP((LEFT(S20,4)),BASE!$E$12:$F$23,2,0),IFERROR(VLOOKUP((LEFT(S20,3)),BASE!$E$12:$F$23,2,0),IFERROR(VLOOKUP((LEFT(S20,2)),BASE!$E$12:$F$23,2,0),IFERROR(VLOOKUP((LEFT(S20,1)),BASE!$E$12:$F$23,2,0),S20))))</f>
        <v/>
      </c>
      <c r="CH20" s="58" t="str">
        <f>IFERROR(VLOOKUP((LEFT(R20,4)),BASE!$E$12:$F$23,2,0),IFERROR(VLOOKUP((LEFT(R20,3)),BASE!$E$12:$F$23,2,0),IFERROR(VLOOKUP((LEFT(R20,2)),BASE!$E$12:$F$23,2,0),IFERROR(VLOOKUP((LEFT(R20,1)),BASE!$E$12:$F$23,2,0),R20))))</f>
        <v/>
      </c>
      <c r="CI20" s="58" t="str">
        <f>IFERROR(VLOOKUP((LEFT(Q20,4)),BASE!$E$12:$F$23,2,0),IFERROR(VLOOKUP((LEFT(Q20,3)),BASE!$E$12:$F$23,2,0),IFERROR(VLOOKUP((LEFT(Q20,2)),BASE!$E$12:$F$23,2,0),IFERROR(VLOOKUP((LEFT(Q20,1)),BASE!$E$12:$F$23,2,0),Q20))))</f>
        <v/>
      </c>
      <c r="CJ20" s="58" t="str">
        <f>IFERROR(VLOOKUP((LEFT(P20,4)),BASE!$E$12:$F$23,2,0),IFERROR(VLOOKUP((LEFT(P20,3)),BASE!$E$12:$F$23,2,0),IFERROR(VLOOKUP((LEFT(P20,2)),BASE!$E$12:$F$23,2,0),IFERROR(VLOOKUP((LEFT(P20,1)),BASE!$E$12:$F$23,2,0),P20))))</f>
        <v/>
      </c>
      <c r="CK20" s="58" t="str">
        <f>IFERROR(VLOOKUP((LEFT(O20,4)),BASE!$E$12:$F$23,2,0),IFERROR(VLOOKUP((LEFT(O20,3)),BASE!$E$12:$F$23,2,0),IFERROR(VLOOKUP((LEFT(O20,2)),BASE!$E$12:$F$23,2,0),IFERROR(VLOOKUP((LEFT(O20,1)),BASE!$E$12:$F$23,2,0),O20))))</f>
        <v/>
      </c>
      <c r="CL20" s="58" t="str">
        <f>IFERROR(VLOOKUP((LEFT(N20,4)),BASE!$E$12:$F$23,2,0),IFERROR(VLOOKUP((LEFT(N20,3)),BASE!$E$12:$F$23,2,0),IFERROR(VLOOKUP((LEFT(N20,2)),BASE!$E$12:$F$23,2,0),IFERROR(VLOOKUP((LEFT(N20,1)),BASE!$E$12:$F$23,2,0),N20))))</f>
        <v/>
      </c>
      <c r="CM20" s="58" t="str">
        <f>IFERROR(VLOOKUP((LEFT(M20,4)),BASE!$E$12:$F$23,2,0),IFERROR(VLOOKUP((LEFT(M20,3)),BASE!$E$12:$F$23,2,0),IFERROR(VLOOKUP((LEFT(M20,2)),BASE!$E$12:$F$23,2,0),IFERROR(VLOOKUP((LEFT(M20,1)),BASE!$E$12:$F$23,2,0),M20))))</f>
        <v/>
      </c>
      <c r="CN20" s="58" t="str">
        <f>IFERROR(VLOOKUP((LEFT(L20,4)),BASE!$E$12:$F$23,2,0),IFERROR(VLOOKUP((LEFT(L20,3)),BASE!$E$12:$F$23,2,0),IFERROR(VLOOKUP((LEFT(L20,2)),BASE!$E$12:$F$23,2,0),IFERROR(VLOOKUP((LEFT(L20,1)),BASE!$E$12:$F$23,2,0),L20))))</f>
        <v/>
      </c>
      <c r="CO20" s="58" t="str">
        <f t="shared" si="6"/>
        <v>நிரைநேர்</v>
      </c>
      <c r="CP20" s="58" t="str">
        <f>VLOOKUP(CO20,BASE!$E$25:$F$79,2,0)</f>
        <v>புளிமா</v>
      </c>
      <c r="CQ20" s="58" t="str">
        <f>VLOOKUP(CO20,BASE!$E$25:$G$79,3,0)&amp;CE21</f>
        <v>மாநிரை</v>
      </c>
      <c r="CR20" s="58" t="str">
        <f>VLOOKUP(CQ20,BASE!$E$86:$G$93,2,0)</f>
        <v>மாமுன் நிரை</v>
      </c>
      <c r="CS20" s="58" t="str">
        <f>VLOOKUP(CQ20,BASE!$E$86:$G$93,3,0)</f>
        <v>இயற்சீர் வெண்டளை</v>
      </c>
      <c r="CT20" s="58" t="str">
        <f t="shared" si="7"/>
        <v>மூவசைக்கு மிகவில்லை</v>
      </c>
      <c r="CU20" s="59" t="str">
        <f t="shared" si="8"/>
        <v>சரி</v>
      </c>
      <c r="DQ20" s="82"/>
    </row>
    <row r="21" spans="1:121" ht="19.5" customHeight="1" x14ac:dyDescent="0.35">
      <c r="A21" s="119"/>
      <c r="B21" s="12">
        <f>IFERROR(VLOOKUP((LEFT(L21,4)),BASE!$E$12:$F$23,1,0),IFERROR(VLOOKUP((LEFT(L21,3)),BASE!$E$12:$F$23,1,0),IFERROR(VLOOKUP((LEFT(L21,2)),BASE!$E$12:$F$23,1,0),IFERROR(VLOOKUP((LEFT(L21,1)),BASE!$E$12:$F$23,1,0),100))))</f>
        <v>100</v>
      </c>
      <c r="C21" s="12">
        <f>IFERROR(VLOOKUP((LEFT(M21,4)),BASE!$E$12:$F$23,1,0),IFERROR(VLOOKUP((LEFT(M21,3)),BASE!$E$12:$F$23,1,0),IFERROR(VLOOKUP((LEFT(M21,2)),BASE!$E$12:$F$23,1,0),IFERROR(VLOOKUP((LEFT(M21,1)),BASE!$E$12:$F$23,1,0),100))))</f>
        <v>100</v>
      </c>
      <c r="D21" s="12">
        <f>IFERROR(VLOOKUP((LEFT(N21,4)),BASE!$E$12:$F$23,1,0),IFERROR(VLOOKUP((LEFT(N21,3)),BASE!$E$12:$F$23,1,0),IFERROR(VLOOKUP((LEFT(N21,2)),BASE!$E$12:$F$23,1,0),IFERROR(VLOOKUP((LEFT(N21,1)),BASE!$E$12:$F$23,1,0),100))))</f>
        <v>100</v>
      </c>
      <c r="E21" s="12">
        <f>IFERROR(VLOOKUP((LEFT(O21,4)),BASE!$E$12:$F$23,1,0),IFERROR(VLOOKUP((LEFT(O21,3)),BASE!$E$12:$F$23,1,0),IFERROR(VLOOKUP((LEFT(O21,2)),BASE!$E$12:$F$23,1,0),IFERROR(VLOOKUP((LEFT(O21,1)),BASE!$E$12:$F$23,1,0),100))))</f>
        <v>100</v>
      </c>
      <c r="F21" s="12">
        <f>IFERROR(VLOOKUP((LEFT(P21,4)),BASE!$E$12:$F$23,1,0),IFERROR(VLOOKUP((LEFT(P21,3)),BASE!$E$12:$F$23,1,0),IFERROR(VLOOKUP((LEFT(P21,2)),BASE!$E$12:$F$23,1,0),IFERROR(VLOOKUP((LEFT(P21,1)),BASE!$E$12:$F$23,1,0),100))))</f>
        <v>100</v>
      </c>
      <c r="G21" s="12">
        <f>IFERROR(VLOOKUP((LEFT(Q21,4)),BASE!$E$12:$F$23,1,0),IFERROR(VLOOKUP((LEFT(Q21,3)),BASE!$E$12:$F$23,1,0),IFERROR(VLOOKUP((LEFT(Q21,2)),BASE!$E$12:$F$23,1,0),IFERROR(VLOOKUP((LEFT(Q21,1)),BASE!$E$12:$F$23,1,0),100))))</f>
        <v>100</v>
      </c>
      <c r="H21" s="12">
        <f>IFERROR(VLOOKUP((LEFT(R21,4)),BASE!$E$12:$F$23,1,0),IFERROR(VLOOKUP((LEFT(R21,3)),BASE!$E$12:$F$23,1,0),IFERROR(VLOOKUP((LEFT(R21,2)),BASE!$E$12:$F$23,1,0),IFERROR(VLOOKUP((LEFT(R21,1)),BASE!$E$12:$F$23,1,0),100))))</f>
        <v>100</v>
      </c>
      <c r="I21" s="12" t="str">
        <f>IFERROR(VLOOKUP((LEFT(S21,4)),BASE!$E$12:$F$23,1,0),IFERROR(VLOOKUP((LEFT(S21,3)),BASE!$E$12:$F$23,1,0),IFERROR(VLOOKUP((LEFT(S21,2)),BASE!$E$12:$F$23,1,0),IFERROR(VLOOKUP((LEFT(S21,1)),BASE!$E$12:$F$23,1,0),100))))</f>
        <v>ko</v>
      </c>
      <c r="J21" s="12" t="str">
        <f>IFERROR(VLOOKUP((LEFT(T21,4)),BASE!$E$12:$F$24,1,0),IFERROR(VLOOKUP((LEFT(T21,3)),BASE!$E$12:$F$24,1,0),IFERROR(VLOOKUP((LEFT(T21,2)),BASE!$E$12:$F$24,1,0),IFERROR(VLOOKUP((LEFT(T21,1)),BASE!$E$12:$F$24,1,0),100))))</f>
        <v>kk</v>
      </c>
      <c r="K21" s="12" t="str">
        <f>IFERROR(VLOOKUP((LEFT(U21,4)),BASE!$E$12:$F$23,1,0),IFERROR(VLOOKUP((LEFT(U21,3)),BASE!$E$12:$F$23,1,0),IFERROR(VLOOKUP((LEFT(U21,2)),BASE!$E$12:$F$23,1,0),IFERROR(VLOOKUP((LEFT(U21,1)),BASE!$E$12:$F$23,1,0),100))))</f>
        <v>kk</v>
      </c>
      <c r="L21" s="14" t="str">
        <f t="shared" si="0"/>
        <v/>
      </c>
      <c r="M21" s="14" t="str">
        <f t="shared" si="0"/>
        <v/>
      </c>
      <c r="N21" s="14" t="str">
        <f t="shared" si="0"/>
        <v/>
      </c>
      <c r="O21" s="14" t="str">
        <f t="shared" si="0"/>
        <v/>
      </c>
      <c r="P21" s="14" t="str">
        <f t="shared" si="0"/>
        <v/>
      </c>
      <c r="Q21" s="14" t="str">
        <f t="shared" si="0"/>
        <v/>
      </c>
      <c r="R21" s="14" t="str">
        <f t="shared" si="0"/>
        <v/>
      </c>
      <c r="S21" s="14" t="str">
        <f t="shared" si="0"/>
        <v>ko</v>
      </c>
      <c r="T21" s="14" t="str">
        <f t="shared" si="0"/>
        <v>kkko</v>
      </c>
      <c r="U21" s="14" t="str">
        <f t="shared" si="1"/>
        <v>kkkkko</v>
      </c>
      <c r="V21" s="13">
        <f>IFERROR(VLOOKUP(LEFT(AZ21,2),BASE!$C$96:$E$342,3,0),IFERROR(VLOOKUP(LEFT(AZ21,1),BASE!$C$96:$E$342,3,0),100))</f>
        <v>100</v>
      </c>
      <c r="W21" s="13">
        <f>IFERROR(VLOOKUP(LEFT(BA21,2),BASE!$C$96:$E$342,3,0),IFERROR(VLOOKUP(LEFT(BA21,1),BASE!$C$96:$E$342,3,0),100))</f>
        <v>100</v>
      </c>
      <c r="X21" s="13">
        <f>IFERROR(VLOOKUP(LEFT(BB21,2),BASE!$C$96:$E$342,3,0),IFERROR(VLOOKUP(LEFT(BB21,1),BASE!$C$96:$E$342,3,0),100))</f>
        <v>100</v>
      </c>
      <c r="Y21" s="13">
        <f>IFERROR(VLOOKUP(LEFT(BC21,2),BASE!$C$96:$E$342,3,0),IFERROR(VLOOKUP(LEFT(BC21,1),BASE!$C$96:$E$342,3,0),100))</f>
        <v>100</v>
      </c>
      <c r="Z21" s="13">
        <f>IFERROR(VLOOKUP(LEFT(BD21,2),BASE!$C$96:$E$342,3,0),IFERROR(VLOOKUP(LEFT(BD21,1),BASE!$C$96:$E$342,3,0),100))</f>
        <v>2</v>
      </c>
      <c r="AA21" s="13">
        <f>IFERROR(VLOOKUP(LEFT(BE21,2),BASE!$C$96:$E$342,3,0),IFERROR(VLOOKUP(LEFT(BE21,1),BASE!$C$96:$E$342,3,0),100))</f>
        <v>1</v>
      </c>
      <c r="AB21" s="13">
        <f>IFERROR(VLOOKUP(LEFT(BF21,2),BASE!$C$96:$E$342,3,0),IFERROR(VLOOKUP(LEFT(BF21,1),BASE!$C$96:$E$342,3,0),100))</f>
        <v>2</v>
      </c>
      <c r="AC21" s="13">
        <f>IFERROR(VLOOKUP(LEFT(BG21,2),BASE!$C$96:$E$342,3,0),IFERROR(VLOOKUP(LEFT(BG21,1),BASE!$C$96:$E$342,3,0),100))</f>
        <v>1</v>
      </c>
      <c r="AD21" s="13">
        <f>IFERROR(VLOOKUP(LEFT(BH21,2),BASE!$C$96:$E$342,3,0),IFERROR(VLOOKUP(LEFT(BH21,1),BASE!$C$96:$E$342,3,0),100))</f>
        <v>2</v>
      </c>
      <c r="AE21" s="13">
        <f>IFERROR(VLOOKUP(LEFT(BI21,2),BASE!$C$96:$E$342,3,0),IFERROR(VLOOKUP(LEFT(BI21,1),BASE!$C$96:$E$342,3,0),100))</f>
        <v>1</v>
      </c>
      <c r="AF21" s="187" t="str">
        <f>IF(AND(BS21=BR21,AG21="o"),"A", (IFERROR(VLOOKUP(LEFT(AZ21,2),BASE!$C$346:$D$592,2,0),IFERROR(VLOOKUP(LEFT(AZ21,1),BASE!$C$346:$D$5922,2,0),AZ21))))</f>
        <v/>
      </c>
      <c r="AG21" s="187" t="str">
        <f>IF(AND(BR21=BQ21,AH21="o"),"A", (IFERROR(VLOOKUP(LEFT(BA21,2),BASE!$C$346:$D$592,2,0),IFERROR(VLOOKUP(LEFT(BA21,1),BASE!$C$346:$D$592,2,0),BA21))))</f>
        <v/>
      </c>
      <c r="AH21" s="187" t="str">
        <f>IF(AND(BQ21=BP21,AI21="o"),"A", (IFERROR(VLOOKUP(LEFT(BB21,2),BASE!$C$346:$D$592,2,0),IFERROR(VLOOKUP(LEFT(BB21,1),BASE!$C$346:$D$592,2,0),BB21))))</f>
        <v/>
      </c>
      <c r="AI21" s="187" t="str">
        <f>IF(AND(BP21=BO21,AJ21="o"),"A", (IFERROR(VLOOKUP(LEFT(BC21,2),BASE!$C$346:$D$592,2,0),IFERROR(VLOOKUP(LEFT(BC21,1),BASE!$C$346:$D$592,2,0),BC21))))</f>
        <v/>
      </c>
      <c r="AJ21" s="187" t="str">
        <f>IF(AND(BO21=BN21,AK21="o"),"A", (IFERROR(VLOOKUP(LEFT(BD21,2),BASE!$C$346:$D$592,2,0),IFERROR(VLOOKUP(LEFT(BD21,1),BASE!$C$346:$D$592,2,0),BD21))))</f>
        <v>o</v>
      </c>
      <c r="AK21" s="187" t="str">
        <f>IF(AND(BN21=BM21,AL21="o"),"A", (IFERROR(VLOOKUP(LEFT(BE21,2),BASE!$C$346:$D$592,2,0),IFERROR(VLOOKUP(LEFT(BE21,1),BASE!$C$346:$D$592,2,0),BE21))))</f>
        <v>k</v>
      </c>
      <c r="AL21" s="187" t="str">
        <f>IF(AND(BM21=BL21,AM21="o"),"A", (IFERROR(VLOOKUP(LEFT(BF21,2),BASE!$C$346:$D$592,2,0),IFERROR(VLOOKUP(LEFT(BF21,1),BASE!$C$346:$D$592,2,0),BF21))))</f>
        <v>k</v>
      </c>
      <c r="AM21" s="187" t="str">
        <f>IF(AND(BL21=BK21,AN21="o"),"A",(IFERROR(VLOOKUP(LEFT(BG21,2),BASE!$C$346:$D$592,2,0),IFERROR(VLOOKUP(LEFT(BG21,1),BASE!$C$346:$D$592,2,0),BG21))))</f>
        <v>k</v>
      </c>
      <c r="AN21" s="187" t="str">
        <f>(IFERROR(VLOOKUP(LEFT(BH21,2),BASE!$C$346:$D$592,2,0),IFERROR(VLOOKUP(LEFT(BH21,1),BASE!$C$346:$D$592,2,0),BH21)))</f>
        <v>k</v>
      </c>
      <c r="AO21" s="187" t="str">
        <f>(IFERROR(VLOOKUP(LEFT(BI21,2),BASE!$C$96:$D$342,2,0),IFERROR(VLOOKUP(LEFT(BI21,1),BASE!$C$96:$D$342,2,0),BI21)))</f>
        <v>k</v>
      </c>
      <c r="AP21" s="5">
        <f t="shared" si="2"/>
        <v>9</v>
      </c>
      <c r="AQ21" s="5">
        <f t="shared" si="2"/>
        <v>9</v>
      </c>
      <c r="AR21" s="5">
        <f t="shared" si="2"/>
        <v>9</v>
      </c>
      <c r="AS21" s="5">
        <f t="shared" si="2"/>
        <v>9</v>
      </c>
      <c r="AT21" s="5">
        <f t="shared" si="2"/>
        <v>9</v>
      </c>
      <c r="AU21" s="5">
        <f t="shared" si="2"/>
        <v>9</v>
      </c>
      <c r="AV21" s="5">
        <f t="shared" si="2"/>
        <v>9</v>
      </c>
      <c r="AW21" s="5">
        <f t="shared" si="2"/>
        <v>9</v>
      </c>
      <c r="AX21" s="5">
        <f t="shared" si="2"/>
        <v>9</v>
      </c>
      <c r="AY21" s="5">
        <f t="shared" si="3"/>
        <v>9</v>
      </c>
      <c r="AZ21" s="12" t="str">
        <f t="shared" si="4"/>
        <v/>
      </c>
      <c r="BA21" s="12" t="str">
        <f t="shared" si="4"/>
        <v/>
      </c>
      <c r="BB21" s="12" t="str">
        <f t="shared" si="4"/>
        <v/>
      </c>
      <c r="BC21" s="12" t="str">
        <f t="shared" si="4"/>
        <v/>
      </c>
      <c r="BD21" s="12" t="str">
        <f t="shared" si="4"/>
        <v>ம்</v>
      </c>
      <c r="BE21" s="12" t="str">
        <f t="shared" si="4"/>
        <v>ரம்</v>
      </c>
      <c r="BF21" s="12" t="str">
        <f t="shared" si="4"/>
        <v>யிரம்</v>
      </c>
      <c r="BG21" s="12" t="str">
        <f t="shared" si="4"/>
        <v>வயிரம்</v>
      </c>
      <c r="BH21" s="43" t="str">
        <f t="shared" si="4"/>
        <v>ரைவயிரம்</v>
      </c>
      <c r="BI21" s="57" t="str">
        <f>CE8</f>
        <v>வரைவயிரம்</v>
      </c>
      <c r="BJ21" s="58" t="str">
        <f>IFERROR(VLOOKUP(LEFT(BI21,2),BASE!$C$96:$F$342,1,0),IFERROR(VLOOKUP(LEFT(BI21,1),BASE!$C$96:$F$342,1,0),BI21))</f>
        <v>வ</v>
      </c>
      <c r="BK21" s="58" t="str">
        <f>IFERROR(VLOOKUP(LEFT(BH21,2),BASE!$C$96:$D$342,1,0),IFERROR(VLOOKUP(LEFT(BH21,1),BASE!$C$96:$D$342,1,0),BH21))</f>
        <v>ரை</v>
      </c>
      <c r="BL21" s="58" t="str">
        <f>IFERROR(VLOOKUP(LEFT(BG21,2),BASE!$C$96:$D$342,1,0),IFERROR(VLOOKUP(LEFT(BG21,1),BASE!$C$96:$D$342,1,0),BG21))</f>
        <v>வ</v>
      </c>
      <c r="BM21" s="58" t="str">
        <f>IFERROR(VLOOKUP(LEFT(BF21,2),BASE!$C$96:$D$342,1,0),IFERROR(VLOOKUP(LEFT(BF21,1),BASE!$C$96:$D$342,1,0),BF21))</f>
        <v>யி</v>
      </c>
      <c r="BN21" s="58" t="str">
        <f>IFERROR(VLOOKUP(LEFT(BE21,2),BASE!$C$96:$D$342,1,0),IFERROR(VLOOKUP(LEFT(BE21,1),BASE!$C$96:$D$342,1,0),BE21))</f>
        <v>ர</v>
      </c>
      <c r="BO21" s="58" t="str">
        <f>IFERROR(VLOOKUP(LEFT(BD21,2),BASE!$C$96:$D$342,1,0),IFERROR(VLOOKUP(LEFT(BD21,1),BASE!$C$96:$D$342,1,0),BD21))</f>
        <v>ம்</v>
      </c>
      <c r="BP21" s="58" t="str">
        <f>IFERROR(VLOOKUP(LEFT(BC21,2),BASE!$C$96:$D$342,1,0),IFERROR(VLOOKUP(LEFT(BC21,1),BASE!$C$96:$D$342,1,0),BC21))</f>
        <v/>
      </c>
      <c r="BQ21" s="58" t="str">
        <f>IFERROR(VLOOKUP(LEFT(BB21,2),BASE!$C$96:$D$342,1,0),IFERROR(VLOOKUP(LEFT(BB21,1),BASE!$C$96:$D$342,1,0),BB21))</f>
        <v/>
      </c>
      <c r="BR21" s="58" t="str">
        <f>IFERROR(VLOOKUP(LEFT(BA21,2),BASE!$C$96:$D$342,1,0),IFERROR(VLOOKUP(LEFT(BA21,1),BASE!$C$96:$D$342,1,0),BA21))</f>
        <v/>
      </c>
      <c r="BS21" s="58" t="str">
        <f>IFERROR(VLOOKUP(LEFT(AZ21,2),BASE!$C$96:$D$342,1,0),IFERROR(VLOOKUP(LEFT(AZ21,1),BASE!$C$96:$D$342,1,0),AZ21))</f>
        <v/>
      </c>
      <c r="BT21" s="186" t="str">
        <f>(IFERROR(VLOOKUP(LEFT(BI21,2),BASE!$C$96:$F$342,4,0),IFERROR(VLOOKUP(LEFT(BI21,1),BASE!$C$96:$F$342,4,0),BI21)))</f>
        <v>கு</v>
      </c>
      <c r="BU21" s="186" t="str">
        <f>(IFERROR(VLOOKUP(LEFT(BH21,2),BASE!$C$346:$F$592,4,0),IFERROR(VLOOKUP(LEFT(BH21,1),BASE!$C$346:$F$592,4,0),BH21)))</f>
        <v>கு</v>
      </c>
      <c r="BV21" s="186" t="str">
        <f>(IFERROR(VLOOKUP(LEFT(BG21,2),BASE!$C$346:$F$592,4,0),IFERROR(VLOOKUP(LEFT(BG21,1),BASE!$C$346:$F$592,4,0),BG21)))</f>
        <v>கு</v>
      </c>
      <c r="BW21" s="186" t="str">
        <f>(IFERROR(VLOOKUP(LEFT(BF21,2),BASE!$C$346:$F$592,4,0),IFERROR(VLOOKUP(LEFT(BF21,1),BASE!$C$346:$F$592,4,0),BF21)))</f>
        <v>கு</v>
      </c>
      <c r="BX21" s="186" t="str">
        <f>(IFERROR(VLOOKUP(LEFT(BE21,2),BASE!$C$346:$F$592,4,0),IFERROR(VLOOKUP(LEFT(BE21,1),BASE!$C$346:$F$592,4,0),BE21)))</f>
        <v>கு</v>
      </c>
      <c r="BY21" s="186" t="str">
        <f>(IFERROR(VLOOKUP(LEFT(BD21,2),BASE!$C$346:$F$592,4,0),IFERROR(VLOOKUP(LEFT(BD21,1),BASE!$C$346:$F$592,4,0),BD21)))</f>
        <v>ஒ</v>
      </c>
      <c r="BZ21" s="186" t="str">
        <f>(IFERROR(VLOOKUP(LEFT(BC21,2),BASE!$C$346:$F$592,4,0),IFERROR(VLOOKUP(LEFT(BC21,1),BASE!$C$346:$F$592,4,0),BC21)))</f>
        <v/>
      </c>
      <c r="CA21" s="186" t="str">
        <f>(IFERROR(VLOOKUP(LEFT(BB21,2),BASE!$C$346:$F$592,4,0),IFERROR(VLOOKUP(LEFT(BB21,1),BASE!$C$346:$F$592,4,0),BB21)))</f>
        <v/>
      </c>
      <c r="CB21" s="186" t="str">
        <f>(IFERROR(VLOOKUP(LEFT(BA21,2),BASE!$C$346:$F$592,4,0),IFERROR(VLOOKUP(LEFT(BA21,1),BASE!$C$346:$F$592,4,0),BA21)))</f>
        <v/>
      </c>
      <c r="CC21" s="186" t="str">
        <f>(IFERROR(VLOOKUP(LEFT(AZ21,2),BASE!$C$346:$F$592,4,0),IFERROR(VLOOKUP(LEFT(AZ21,1),BASE!$C$346:$F$592,4,0),AZ21)))</f>
        <v/>
      </c>
      <c r="CD21" s="58" t="str">
        <f t="shared" si="5"/>
        <v>குகுகுகுகுஒ</v>
      </c>
      <c r="CE21" s="58" t="str">
        <f>IFERROR(VLOOKUP((LEFT(U21,4)),BASE!$E$12:$F$23,2,0),IFERROR(VLOOKUP((LEFT(U21,3)),BASE!$E$12:$F$23,2,0),IFERROR(VLOOKUP((LEFT(U21,2)),BASE!$E$12:$F$23,2,0),IFERROR(VLOOKUP((LEFT(U21,1)),BASE!$E$12:$F$23,2,0),U21))))</f>
        <v>நிரை</v>
      </c>
      <c r="CF21" s="58" t="str">
        <f>IFERROR(VLOOKUP((LEFT(T21,4)),BASE!$E$12:$F$24,2,0),IFERROR(VLOOKUP((LEFT(T21,3)),BASE!$E$12:$F$24,2,0),IFERROR(VLOOKUP((LEFT(T21,2)),BASE!$E$12:$F$24,2,0),IFERROR(VLOOKUP((LEFT(T21,1)),BASE!$E$12:$F$24,2,0),T21))))</f>
        <v>நிரை</v>
      </c>
      <c r="CG21" s="58" t="str">
        <f>IFERROR(VLOOKUP((LEFT(S21,4)),BASE!$E$12:$F$23,2,0),IFERROR(VLOOKUP((LEFT(S21,3)),BASE!$E$12:$F$23,2,0),IFERROR(VLOOKUP((LEFT(S21,2)),BASE!$E$12:$F$23,2,0),IFERROR(VLOOKUP((LEFT(S21,1)),BASE!$E$12:$F$23,2,0),S21))))</f>
        <v>நேர்</v>
      </c>
      <c r="CH21" s="58" t="str">
        <f>IFERROR(VLOOKUP((LEFT(R21,4)),BASE!$E$12:$F$23,2,0),IFERROR(VLOOKUP((LEFT(R21,3)),BASE!$E$12:$F$23,2,0),IFERROR(VLOOKUP((LEFT(R21,2)),BASE!$E$12:$F$23,2,0),IFERROR(VLOOKUP((LEFT(R21,1)),BASE!$E$12:$F$23,2,0),R21))))</f>
        <v/>
      </c>
      <c r="CI21" s="58" t="str">
        <f>IFERROR(VLOOKUP((LEFT(Q21,4)),BASE!$E$12:$F$23,2,0),IFERROR(VLOOKUP((LEFT(Q21,3)),BASE!$E$12:$F$23,2,0),IFERROR(VLOOKUP((LEFT(Q21,2)),BASE!$E$12:$F$23,2,0),IFERROR(VLOOKUP((LEFT(Q21,1)),BASE!$E$12:$F$23,2,0),Q21))))</f>
        <v/>
      </c>
      <c r="CJ21" s="58" t="str">
        <f>IFERROR(VLOOKUP((LEFT(P21,4)),BASE!$E$12:$F$23,2,0),IFERROR(VLOOKUP((LEFT(P21,3)),BASE!$E$12:$F$23,2,0),IFERROR(VLOOKUP((LEFT(P21,2)),BASE!$E$12:$F$23,2,0),IFERROR(VLOOKUP((LEFT(P21,1)),BASE!$E$12:$F$23,2,0),P21))))</f>
        <v/>
      </c>
      <c r="CK21" s="58" t="str">
        <f>IFERROR(VLOOKUP((LEFT(O21,4)),BASE!$E$12:$F$23,2,0),IFERROR(VLOOKUP((LEFT(O21,3)),BASE!$E$12:$F$23,2,0),IFERROR(VLOOKUP((LEFT(O21,2)),BASE!$E$12:$F$23,2,0),IFERROR(VLOOKUP((LEFT(O21,1)),BASE!$E$12:$F$23,2,0),O21))))</f>
        <v/>
      </c>
      <c r="CL21" s="58" t="str">
        <f>IFERROR(VLOOKUP((LEFT(N21,4)),BASE!$E$12:$F$23,2,0),IFERROR(VLOOKUP((LEFT(N21,3)),BASE!$E$12:$F$23,2,0),IFERROR(VLOOKUP((LEFT(N21,2)),BASE!$E$12:$F$23,2,0),IFERROR(VLOOKUP((LEFT(N21,1)),BASE!$E$12:$F$23,2,0),N21))))</f>
        <v/>
      </c>
      <c r="CM21" s="58" t="str">
        <f>IFERROR(VLOOKUP((LEFT(M21,4)),BASE!$E$12:$F$23,2,0),IFERROR(VLOOKUP((LEFT(M21,3)),BASE!$E$12:$F$23,2,0),IFERROR(VLOOKUP((LEFT(M21,2)),BASE!$E$12:$F$23,2,0),IFERROR(VLOOKUP((LEFT(M21,1)),BASE!$E$12:$F$23,2,0),M21))))</f>
        <v/>
      </c>
      <c r="CN21" s="58" t="str">
        <f>IFERROR(VLOOKUP((LEFT(L21,4)),BASE!$E$12:$F$23,2,0),IFERROR(VLOOKUP((LEFT(L21,3)),BASE!$E$12:$F$23,2,0),IFERROR(VLOOKUP((LEFT(L21,2)),BASE!$E$12:$F$23,2,0),IFERROR(VLOOKUP((LEFT(L21,1)),BASE!$E$12:$F$23,2,0),L21))))</f>
        <v/>
      </c>
      <c r="CO21" s="58" t="str">
        <f t="shared" si="6"/>
        <v>நிரைநிரைநேர்</v>
      </c>
      <c r="CP21" s="58" t="str">
        <f>VLOOKUP(CO21,BASE!$E$25:$F$79,2,0)</f>
        <v>கருவிளங்காய்</v>
      </c>
      <c r="CQ21" s="58" t="str">
        <f>VLOOKUP(CO21,BASE!$E$25:$G$79,3,0)&amp;CE22</f>
        <v>காய்நேர்</v>
      </c>
      <c r="CR21" s="58" t="str">
        <f>VLOOKUP(CQ21,BASE!$E$86:$G$93,2,0)</f>
        <v>காய் முன் நேர்</v>
      </c>
      <c r="CS21" s="58" t="str">
        <f>VLOOKUP(CQ21,BASE!$E$86:$G$93,3,0)</f>
        <v>வெண்சீர் வெண்டளை</v>
      </c>
      <c r="CT21" s="58" t="str">
        <f t="shared" si="7"/>
        <v>மூவசைக்கு மிகவில்லை</v>
      </c>
      <c r="CU21" s="59" t="str">
        <f t="shared" si="8"/>
        <v>சரி</v>
      </c>
      <c r="DQ21" s="82"/>
    </row>
    <row r="22" spans="1:121" ht="19.5" customHeight="1" x14ac:dyDescent="0.35">
      <c r="A22" s="119"/>
      <c r="B22" s="12">
        <f>IFERROR(VLOOKUP((LEFT(L22,4)),BASE!$E$12:$F$23,1,0),IFERROR(VLOOKUP((LEFT(L22,3)),BASE!$E$12:$F$23,1,0),IFERROR(VLOOKUP((LEFT(L22,2)),BASE!$E$12:$F$23,1,0),IFERROR(VLOOKUP((LEFT(L22,1)),BASE!$E$12:$F$23,1,0),100))))</f>
        <v>100</v>
      </c>
      <c r="C22" s="12">
        <f>IFERROR(VLOOKUP((LEFT(M22,4)),BASE!$E$12:$F$23,1,0),IFERROR(VLOOKUP((LEFT(M22,3)),BASE!$E$12:$F$23,1,0),IFERROR(VLOOKUP((LEFT(M22,2)),BASE!$E$12:$F$23,1,0),IFERROR(VLOOKUP((LEFT(M22,1)),BASE!$E$12:$F$23,1,0),100))))</f>
        <v>100</v>
      </c>
      <c r="D22" s="12">
        <f>IFERROR(VLOOKUP((LEFT(N22,4)),BASE!$E$12:$F$23,1,0),IFERROR(VLOOKUP((LEFT(N22,3)),BASE!$E$12:$F$23,1,0),IFERROR(VLOOKUP((LEFT(N22,2)),BASE!$E$12:$F$23,1,0),IFERROR(VLOOKUP((LEFT(N22,1)),BASE!$E$12:$F$23,1,0),100))))</f>
        <v>100</v>
      </c>
      <c r="E22" s="12">
        <f>IFERROR(VLOOKUP((LEFT(O22,4)),BASE!$E$12:$F$23,1,0),IFERROR(VLOOKUP((LEFT(O22,3)),BASE!$E$12:$F$23,1,0),IFERROR(VLOOKUP((LEFT(O22,2)),BASE!$E$12:$F$23,1,0),IFERROR(VLOOKUP((LEFT(O22,1)),BASE!$E$12:$F$23,1,0),100))))</f>
        <v>100</v>
      </c>
      <c r="F22" s="12">
        <f>IFERROR(VLOOKUP((LEFT(P22,4)),BASE!$E$12:$F$23,1,0),IFERROR(VLOOKUP((LEFT(P22,3)),BASE!$E$12:$F$23,1,0),IFERROR(VLOOKUP((LEFT(P22,2)),BASE!$E$12:$F$23,1,0),IFERROR(VLOOKUP((LEFT(P22,1)),BASE!$E$12:$F$23,1,0),100))))</f>
        <v>100</v>
      </c>
      <c r="G22" s="12">
        <f>IFERROR(VLOOKUP((LEFT(Q22,4)),BASE!$E$12:$F$23,1,0),IFERROR(VLOOKUP((LEFT(Q22,3)),BASE!$E$12:$F$23,1,0),IFERROR(VLOOKUP((LEFT(Q22,2)),BASE!$E$12:$F$23,1,0),IFERROR(VLOOKUP((LEFT(Q22,1)),BASE!$E$12:$F$23,1,0),100))))</f>
        <v>100</v>
      </c>
      <c r="H22" s="12">
        <f>IFERROR(VLOOKUP((LEFT(R22,4)),BASE!$E$12:$F$23,1,0),IFERROR(VLOOKUP((LEFT(R22,3)),BASE!$E$12:$F$23,1,0),IFERROR(VLOOKUP((LEFT(R22,2)),BASE!$E$12:$F$23,1,0),IFERROR(VLOOKUP((LEFT(R22,1)),BASE!$E$12:$F$23,1,0),100))))</f>
        <v>100</v>
      </c>
      <c r="I22" s="12">
        <f>IFERROR(VLOOKUP((LEFT(S22,4)),BASE!$E$12:$F$23,1,0),IFERROR(VLOOKUP((LEFT(S22,3)),BASE!$E$12:$F$23,1,0),IFERROR(VLOOKUP((LEFT(S22,2)),BASE!$E$12:$F$23,1,0),IFERROR(VLOOKUP((LEFT(S22,1)),BASE!$E$12:$F$23,1,0),100))))</f>
        <v>100</v>
      </c>
      <c r="J22" s="12" t="str">
        <f>IFERROR(VLOOKUP((LEFT(T22,4)),BASE!$E$12:$F$24,1,0),IFERROR(VLOOKUP((LEFT(T22,3)),BASE!$E$12:$F$24,1,0),IFERROR(VLOOKUP((LEFT(T22,2)),BASE!$E$12:$F$24,1,0),IFERROR(VLOOKUP((LEFT(T22,1)),BASE!$E$12:$F$24,1,0),100))))</f>
        <v>k</v>
      </c>
      <c r="K22" s="12" t="str">
        <f>IFERROR(VLOOKUP((LEFT(U22,4)),BASE!$E$12:$F$23,1,0),IFERROR(VLOOKUP((LEFT(U22,3)),BASE!$E$12:$F$23,1,0),IFERROR(VLOOKUP((LEFT(U22,2)),BASE!$E$12:$F$23,1,0),IFERROR(VLOOKUP((LEFT(U22,1)),BASE!$E$12:$F$23,1,0),100))))</f>
        <v>ko</v>
      </c>
      <c r="L22" s="14" t="str">
        <f t="shared" si="0"/>
        <v/>
      </c>
      <c r="M22" s="14" t="str">
        <f t="shared" si="0"/>
        <v/>
      </c>
      <c r="N22" s="14" t="str">
        <f t="shared" si="0"/>
        <v/>
      </c>
      <c r="O22" s="14" t="str">
        <f t="shared" si="0"/>
        <v/>
      </c>
      <c r="P22" s="14" t="str">
        <f t="shared" si="0"/>
        <v/>
      </c>
      <c r="Q22" s="14" t="str">
        <f t="shared" si="0"/>
        <v/>
      </c>
      <c r="R22" s="14" t="str">
        <f t="shared" si="0"/>
        <v/>
      </c>
      <c r="S22" s="14" t="str">
        <f t="shared" si="0"/>
        <v/>
      </c>
      <c r="T22" s="14" t="str">
        <f t="shared" si="0"/>
        <v>k</v>
      </c>
      <c r="U22" s="14" t="str">
        <f t="shared" si="1"/>
        <v>kok</v>
      </c>
      <c r="V22" s="13">
        <f>IFERROR(VLOOKUP(LEFT(AZ22,2),BASE!$C$96:$E$342,3,0),IFERROR(VLOOKUP(LEFT(AZ22,1),BASE!$C$96:$E$342,3,0),100))</f>
        <v>100</v>
      </c>
      <c r="W22" s="13">
        <f>IFERROR(VLOOKUP(LEFT(BA22,2),BASE!$C$96:$E$342,3,0),IFERROR(VLOOKUP(LEFT(BA22,1),BASE!$C$96:$E$342,3,0),100))</f>
        <v>100</v>
      </c>
      <c r="X22" s="13">
        <f>IFERROR(VLOOKUP(LEFT(BB22,2),BASE!$C$96:$E$342,3,0),IFERROR(VLOOKUP(LEFT(BB22,1),BASE!$C$96:$E$342,3,0),100))</f>
        <v>100</v>
      </c>
      <c r="Y22" s="13">
        <f>IFERROR(VLOOKUP(LEFT(BC22,2),BASE!$C$96:$E$342,3,0),IFERROR(VLOOKUP(LEFT(BC22,1),BASE!$C$96:$E$342,3,0),100))</f>
        <v>100</v>
      </c>
      <c r="Z22" s="13">
        <f>IFERROR(VLOOKUP(LEFT(BD22,2),BASE!$C$96:$E$342,3,0),IFERROR(VLOOKUP(LEFT(BD22,1),BASE!$C$96:$E$342,3,0),100))</f>
        <v>100</v>
      </c>
      <c r="AA22" s="13">
        <f>IFERROR(VLOOKUP(LEFT(BE22,2),BASE!$C$96:$E$342,3,0),IFERROR(VLOOKUP(LEFT(BE22,1),BASE!$C$96:$E$342,3,0),100))</f>
        <v>100</v>
      </c>
      <c r="AB22" s="13">
        <f>IFERROR(VLOOKUP(LEFT(BF22,2),BASE!$C$96:$E$342,3,0),IFERROR(VLOOKUP(LEFT(BF22,1),BASE!$C$96:$E$342,3,0),100))</f>
        <v>100</v>
      </c>
      <c r="AC22" s="13">
        <f>IFERROR(VLOOKUP(LEFT(BG22,2),BASE!$C$96:$E$342,3,0),IFERROR(VLOOKUP(LEFT(BG22,1),BASE!$C$96:$E$342,3,0),100))</f>
        <v>2</v>
      </c>
      <c r="AD22" s="13">
        <f>IFERROR(VLOOKUP(LEFT(BH22,2),BASE!$C$96:$E$342,3,0),IFERROR(VLOOKUP(LEFT(BH22,1),BASE!$C$96:$E$342,3,0),100))</f>
        <v>2</v>
      </c>
      <c r="AE22" s="13">
        <f>IFERROR(VLOOKUP(LEFT(BI22,2),BASE!$C$96:$E$342,3,0),IFERROR(VLOOKUP(LEFT(BI22,1),BASE!$C$96:$E$342,3,0),100))</f>
        <v>2</v>
      </c>
      <c r="AF22" s="187" t="str">
        <f>IF(AND(BS22=BR22,AG22="o"),"A", (IFERROR(VLOOKUP(LEFT(AZ22,2),BASE!$C$346:$D$592,2,0),IFERROR(VLOOKUP(LEFT(AZ22,1),BASE!$C$346:$D$5922,2,0),AZ22))))</f>
        <v/>
      </c>
      <c r="AG22" s="187" t="str">
        <f>IF(AND(BR22=BQ22,AH22="o"),"A", (IFERROR(VLOOKUP(LEFT(BA22,2),BASE!$C$346:$D$592,2,0),IFERROR(VLOOKUP(LEFT(BA22,1),BASE!$C$346:$D$592,2,0),BA22))))</f>
        <v/>
      </c>
      <c r="AH22" s="187" t="str">
        <f>IF(AND(BQ22=BP22,AI22="o"),"A", (IFERROR(VLOOKUP(LEFT(BB22,2),BASE!$C$346:$D$592,2,0),IFERROR(VLOOKUP(LEFT(BB22,1),BASE!$C$346:$D$592,2,0),BB22))))</f>
        <v/>
      </c>
      <c r="AI22" s="187" t="str">
        <f>IF(AND(BP22=BO22,AJ22="o"),"A", (IFERROR(VLOOKUP(LEFT(BC22,2),BASE!$C$346:$D$592,2,0),IFERROR(VLOOKUP(LEFT(BC22,1),BASE!$C$346:$D$592,2,0),BC22))))</f>
        <v/>
      </c>
      <c r="AJ22" s="187" t="str">
        <f>IF(AND(BO22=BN22,AK22="o"),"A", (IFERROR(VLOOKUP(LEFT(BD22,2),BASE!$C$346:$D$592,2,0),IFERROR(VLOOKUP(LEFT(BD22,1),BASE!$C$346:$D$592,2,0),BD22))))</f>
        <v/>
      </c>
      <c r="AK22" s="187" t="str">
        <f>IF(AND(BN22=BM22,AL22="o"),"A", (IFERROR(VLOOKUP(LEFT(BE22,2),BASE!$C$346:$D$592,2,0),IFERROR(VLOOKUP(LEFT(BE22,1),BASE!$C$346:$D$592,2,0),BE22))))</f>
        <v/>
      </c>
      <c r="AL22" s="187" t="str">
        <f>IF(AND(BM22=BL22,AM22="o"),"A", (IFERROR(VLOOKUP(LEFT(BF22,2),BASE!$C$346:$D$592,2,0),IFERROR(VLOOKUP(LEFT(BF22,1),BASE!$C$346:$D$592,2,0),BF22))))</f>
        <v/>
      </c>
      <c r="AM22" s="187" t="str">
        <f>IF(AND(BL22=BK22,AN22="o"),"A",(IFERROR(VLOOKUP(LEFT(BG22,2),BASE!$C$346:$D$592,2,0),IFERROR(VLOOKUP(LEFT(BG22,1),BASE!$C$346:$D$592,2,0),BG22))))</f>
        <v>k</v>
      </c>
      <c r="AN22" s="187" t="str">
        <f>(IFERROR(VLOOKUP(LEFT(BH22,2),BASE!$C$346:$D$592,2,0),IFERROR(VLOOKUP(LEFT(BH22,1),BASE!$C$346:$D$592,2,0),BH22)))</f>
        <v>o</v>
      </c>
      <c r="AO22" s="187" t="str">
        <f>(IFERROR(VLOOKUP(LEFT(BI22,2),BASE!$C$96:$D$342,2,0),IFERROR(VLOOKUP(LEFT(BI22,1),BASE!$C$96:$D$342,2,0),BI22)))</f>
        <v>k</v>
      </c>
      <c r="AP22" s="5">
        <f t="shared" si="2"/>
        <v>6</v>
      </c>
      <c r="AQ22" s="5">
        <f t="shared" si="2"/>
        <v>6</v>
      </c>
      <c r="AR22" s="5">
        <f t="shared" si="2"/>
        <v>6</v>
      </c>
      <c r="AS22" s="5">
        <f t="shared" si="2"/>
        <v>6</v>
      </c>
      <c r="AT22" s="5">
        <f t="shared" si="2"/>
        <v>6</v>
      </c>
      <c r="AU22" s="5">
        <f t="shared" si="2"/>
        <v>6</v>
      </c>
      <c r="AV22" s="5">
        <f t="shared" si="2"/>
        <v>6</v>
      </c>
      <c r="AW22" s="5">
        <f t="shared" si="2"/>
        <v>6</v>
      </c>
      <c r="AX22" s="5">
        <f t="shared" si="2"/>
        <v>6</v>
      </c>
      <c r="AY22" s="5">
        <f t="shared" si="3"/>
        <v>6</v>
      </c>
      <c r="AZ22" s="12" t="str">
        <f t="shared" si="4"/>
        <v/>
      </c>
      <c r="BA22" s="12" t="str">
        <f t="shared" si="4"/>
        <v/>
      </c>
      <c r="BB22" s="12" t="str">
        <f t="shared" si="4"/>
        <v/>
      </c>
      <c r="BC22" s="12" t="str">
        <f t="shared" si="4"/>
        <v/>
      </c>
      <c r="BD22" s="12" t="str">
        <f t="shared" si="4"/>
        <v/>
      </c>
      <c r="BE22" s="12" t="str">
        <f t="shared" si="4"/>
        <v/>
      </c>
      <c r="BF22" s="12" t="str">
        <f t="shared" si="4"/>
        <v/>
      </c>
      <c r="BG22" s="12" t="str">
        <f t="shared" si="4"/>
        <v>டு</v>
      </c>
      <c r="BH22" s="43" t="str">
        <f t="shared" si="4"/>
        <v>ண்டு</v>
      </c>
      <c r="BI22" s="57" t="str">
        <f>CF8</f>
        <v>கொண்டு</v>
      </c>
      <c r="BJ22" s="58" t="str">
        <f>IFERROR(VLOOKUP(LEFT(BI22,2),BASE!$C$96:$F$342,1,0),IFERROR(VLOOKUP(LEFT(BI22,1),BASE!$C$96:$F$342,1,0),BI22))</f>
        <v>கொ</v>
      </c>
      <c r="BK22" s="58" t="str">
        <f>IFERROR(VLOOKUP(LEFT(BH22,2),BASE!$C$96:$D$342,1,0),IFERROR(VLOOKUP(LEFT(BH22,1),BASE!$C$96:$D$342,1,0),BH22))</f>
        <v>ண்</v>
      </c>
      <c r="BL22" s="58" t="str">
        <f>IFERROR(VLOOKUP(LEFT(BG22,2),BASE!$C$96:$D$342,1,0),IFERROR(VLOOKUP(LEFT(BG22,1),BASE!$C$96:$D$342,1,0),BG22))</f>
        <v>டு</v>
      </c>
      <c r="BM22" s="58" t="str">
        <f>IFERROR(VLOOKUP(LEFT(BF22,2),BASE!$C$96:$D$342,1,0),IFERROR(VLOOKUP(LEFT(BF22,1),BASE!$C$96:$D$342,1,0),BF22))</f>
        <v/>
      </c>
      <c r="BN22" s="58" t="str">
        <f>IFERROR(VLOOKUP(LEFT(BE22,2),BASE!$C$96:$D$342,1,0),IFERROR(VLOOKUP(LEFT(BE22,1),BASE!$C$96:$D$342,1,0),BE22))</f>
        <v/>
      </c>
      <c r="BO22" s="58" t="str">
        <f>IFERROR(VLOOKUP(LEFT(BD22,2),BASE!$C$96:$D$342,1,0),IFERROR(VLOOKUP(LEFT(BD22,1),BASE!$C$96:$D$342,1,0),BD22))</f>
        <v/>
      </c>
      <c r="BP22" s="58" t="str">
        <f>IFERROR(VLOOKUP(LEFT(BC22,2),BASE!$C$96:$D$342,1,0),IFERROR(VLOOKUP(LEFT(BC22,1),BASE!$C$96:$D$342,1,0),BC22))</f>
        <v/>
      </c>
      <c r="BQ22" s="58" t="str">
        <f>IFERROR(VLOOKUP(LEFT(BB22,2),BASE!$C$96:$D$342,1,0),IFERROR(VLOOKUP(LEFT(BB22,1),BASE!$C$96:$D$342,1,0),BB22))</f>
        <v/>
      </c>
      <c r="BR22" s="58" t="str">
        <f>IFERROR(VLOOKUP(LEFT(BA22,2),BASE!$C$96:$D$342,1,0),IFERROR(VLOOKUP(LEFT(BA22,1),BASE!$C$96:$D$342,1,0),BA22))</f>
        <v/>
      </c>
      <c r="BS22" s="58" t="str">
        <f>IFERROR(VLOOKUP(LEFT(AZ22,2),BASE!$C$96:$D$342,1,0),IFERROR(VLOOKUP(LEFT(AZ22,1),BASE!$C$96:$D$342,1,0),AZ22))</f>
        <v/>
      </c>
      <c r="BT22" s="186" t="str">
        <f>(IFERROR(VLOOKUP(LEFT(BI22,2),BASE!$C$96:$F$342,4,0),IFERROR(VLOOKUP(LEFT(BI22,1),BASE!$C$96:$F$342,4,0),BI22)))</f>
        <v>கு</v>
      </c>
      <c r="BU22" s="186" t="str">
        <f>(IFERROR(VLOOKUP(LEFT(BH22,2),BASE!$C$346:$F$592,4,0),IFERROR(VLOOKUP(LEFT(BH22,1),BASE!$C$346:$F$592,4,0),BH22)))</f>
        <v>ஒ</v>
      </c>
      <c r="BV22" s="186" t="str">
        <f>(IFERROR(VLOOKUP(LEFT(BG22,2),BASE!$C$346:$F$592,4,0),IFERROR(VLOOKUP(LEFT(BG22,1),BASE!$C$346:$F$592,4,0),BG22)))</f>
        <v>கு</v>
      </c>
      <c r="BW22" s="186" t="str">
        <f>(IFERROR(VLOOKUP(LEFT(BF22,2),BASE!$C$346:$F$592,4,0),IFERROR(VLOOKUP(LEFT(BF22,1),BASE!$C$346:$F$592,4,0),BF22)))</f>
        <v/>
      </c>
      <c r="BX22" s="186" t="str">
        <f>(IFERROR(VLOOKUP(LEFT(BE22,2),BASE!$C$346:$F$592,4,0),IFERROR(VLOOKUP(LEFT(BE22,1),BASE!$C$346:$F$592,4,0),BE22)))</f>
        <v/>
      </c>
      <c r="BY22" s="186" t="str">
        <f>(IFERROR(VLOOKUP(LEFT(BD22,2),BASE!$C$346:$F$592,4,0),IFERROR(VLOOKUP(LEFT(BD22,1),BASE!$C$346:$F$592,4,0),BD22)))</f>
        <v/>
      </c>
      <c r="BZ22" s="186" t="str">
        <f>(IFERROR(VLOOKUP(LEFT(BC22,2),BASE!$C$346:$F$592,4,0),IFERROR(VLOOKUP(LEFT(BC22,1),BASE!$C$346:$F$592,4,0),BC22)))</f>
        <v/>
      </c>
      <c r="CA22" s="186" t="str">
        <f>(IFERROR(VLOOKUP(LEFT(BB22,2),BASE!$C$346:$F$592,4,0),IFERROR(VLOOKUP(LEFT(BB22,1),BASE!$C$346:$F$592,4,0),BB22)))</f>
        <v/>
      </c>
      <c r="CB22" s="186" t="str">
        <f>(IFERROR(VLOOKUP(LEFT(BA22,2),BASE!$C$346:$F$592,4,0),IFERROR(VLOOKUP(LEFT(BA22,1),BASE!$C$346:$F$592,4,0),BA22)))</f>
        <v/>
      </c>
      <c r="CC22" s="186" t="str">
        <f>(IFERROR(VLOOKUP(LEFT(AZ22,2),BASE!$C$346:$F$592,4,0),IFERROR(VLOOKUP(LEFT(AZ22,1),BASE!$C$346:$F$592,4,0),AZ22)))</f>
        <v/>
      </c>
      <c r="CD22" s="58" t="str">
        <f t="shared" si="5"/>
        <v>குஒகு</v>
      </c>
      <c r="CE22" s="58" t="str">
        <f>IFERROR(VLOOKUP((LEFT(U22,4)),BASE!$E$12:$F$23,2,0),IFERROR(VLOOKUP((LEFT(U22,3)),BASE!$E$12:$F$23,2,0),IFERROR(VLOOKUP((LEFT(U22,2)),BASE!$E$12:$F$23,2,0),IFERROR(VLOOKUP((LEFT(U22,1)),BASE!$E$12:$F$23,2,0),U22))))</f>
        <v>நேர்</v>
      </c>
      <c r="CF22" s="58" t="str">
        <f>IFERROR(VLOOKUP((LEFT(T22,4)),BASE!$E$12:$F$24,2,0),IFERROR(VLOOKUP((LEFT(T22,3)),BASE!$E$12:$F$24,2,0),IFERROR(VLOOKUP((LEFT(T22,2)),BASE!$E$12:$F$24,2,0),IFERROR(VLOOKUP((LEFT(T22,1)),BASE!$E$12:$F$24,2,0),T22))))</f>
        <v>நேர்</v>
      </c>
      <c r="CG22" s="58" t="str">
        <f>IFERROR(VLOOKUP((LEFT(S22,4)),BASE!$E$12:$F$23,2,0),IFERROR(VLOOKUP((LEFT(S22,3)),BASE!$E$12:$F$23,2,0),IFERROR(VLOOKUP((LEFT(S22,2)),BASE!$E$12:$F$23,2,0),IFERROR(VLOOKUP((LEFT(S22,1)),BASE!$E$12:$F$23,2,0),S22))))</f>
        <v/>
      </c>
      <c r="CH22" s="58" t="str">
        <f>IFERROR(VLOOKUP((LEFT(R22,4)),BASE!$E$12:$F$23,2,0),IFERROR(VLOOKUP((LEFT(R22,3)),BASE!$E$12:$F$23,2,0),IFERROR(VLOOKUP((LEFT(R22,2)),BASE!$E$12:$F$23,2,0),IFERROR(VLOOKUP((LEFT(R22,1)),BASE!$E$12:$F$23,2,0),R22))))</f>
        <v/>
      </c>
      <c r="CI22" s="58" t="str">
        <f>IFERROR(VLOOKUP((LEFT(Q22,4)),BASE!$E$12:$F$23,2,0),IFERROR(VLOOKUP((LEFT(Q22,3)),BASE!$E$12:$F$23,2,0),IFERROR(VLOOKUP((LEFT(Q22,2)),BASE!$E$12:$F$23,2,0),IFERROR(VLOOKUP((LEFT(Q22,1)),BASE!$E$12:$F$23,2,0),Q22))))</f>
        <v/>
      </c>
      <c r="CJ22" s="58" t="str">
        <f>IFERROR(VLOOKUP((LEFT(P22,4)),BASE!$E$12:$F$23,2,0),IFERROR(VLOOKUP((LEFT(P22,3)),BASE!$E$12:$F$23,2,0),IFERROR(VLOOKUP((LEFT(P22,2)),BASE!$E$12:$F$23,2,0),IFERROR(VLOOKUP((LEFT(P22,1)),BASE!$E$12:$F$23,2,0),P22))))</f>
        <v/>
      </c>
      <c r="CK22" s="58" t="str">
        <f>IFERROR(VLOOKUP((LEFT(O22,4)),BASE!$E$12:$F$23,2,0),IFERROR(VLOOKUP((LEFT(O22,3)),BASE!$E$12:$F$23,2,0),IFERROR(VLOOKUP((LEFT(O22,2)),BASE!$E$12:$F$23,2,0),IFERROR(VLOOKUP((LEFT(O22,1)),BASE!$E$12:$F$23,2,0),O22))))</f>
        <v/>
      </c>
      <c r="CL22" s="58" t="str">
        <f>IFERROR(VLOOKUP((LEFT(N22,4)),BASE!$E$12:$F$23,2,0),IFERROR(VLOOKUP((LEFT(N22,3)),BASE!$E$12:$F$23,2,0),IFERROR(VLOOKUP((LEFT(N22,2)),BASE!$E$12:$F$23,2,0),IFERROR(VLOOKUP((LEFT(N22,1)),BASE!$E$12:$F$23,2,0),N22))))</f>
        <v/>
      </c>
      <c r="CM22" s="58" t="str">
        <f>IFERROR(VLOOKUP((LEFT(M22,4)),BASE!$E$12:$F$23,2,0),IFERROR(VLOOKUP((LEFT(M22,3)),BASE!$E$12:$F$23,2,0),IFERROR(VLOOKUP((LEFT(M22,2)),BASE!$E$12:$F$23,2,0),IFERROR(VLOOKUP((LEFT(M22,1)),BASE!$E$12:$F$23,2,0),M22))))</f>
        <v/>
      </c>
      <c r="CN22" s="58" t="str">
        <f>IFERROR(VLOOKUP((LEFT(L22,4)),BASE!$E$12:$F$23,2,0),IFERROR(VLOOKUP((LEFT(L22,3)),BASE!$E$12:$F$23,2,0),IFERROR(VLOOKUP((LEFT(L22,2)),BASE!$E$12:$F$23,2,0),IFERROR(VLOOKUP((LEFT(L22,1)),BASE!$E$12:$F$23,2,0),L22))))</f>
        <v/>
      </c>
      <c r="CO22" s="58" t="str">
        <f t="shared" si="6"/>
        <v>நேர்நேர்</v>
      </c>
      <c r="CP22" s="58" t="str">
        <f>VLOOKUP(CO22,BASE!$E$25:$F$79,2,0)</f>
        <v>தேமா</v>
      </c>
      <c r="CQ22" s="58" t="str">
        <f>VLOOKUP(CO22,BASE!$E$25:$G$79,3,0)&amp;CE23</f>
        <v>மாநிரை</v>
      </c>
      <c r="CR22" s="58" t="str">
        <f>VLOOKUP(CQ22,BASE!$E$86:$G$93,2,0)</f>
        <v>மாமுன் நிரை</v>
      </c>
      <c r="CS22" s="58" t="str">
        <f>VLOOKUP(CQ22,BASE!$E$86:$G$93,3,0)</f>
        <v>இயற்சீர் வெண்டளை</v>
      </c>
      <c r="CT22" s="58" t="str">
        <f t="shared" si="7"/>
        <v>மூவசைக்கு மிகவில்லை</v>
      </c>
      <c r="CU22" s="59" t="str">
        <f t="shared" si="8"/>
        <v>சரி</v>
      </c>
      <c r="DQ22" s="82"/>
    </row>
    <row r="23" spans="1:121" ht="19.5" customHeight="1" x14ac:dyDescent="0.35">
      <c r="A23" s="119"/>
      <c r="B23" s="12">
        <f>IFERROR(VLOOKUP((LEFT(L23,4)),BASE!$E$12:$F$23,1,0),IFERROR(VLOOKUP((LEFT(L23,3)),BASE!$E$12:$F$23,1,0),IFERROR(VLOOKUP((LEFT(L23,2)),BASE!$E$12:$F$23,1,0),IFERROR(VLOOKUP((LEFT(L23,1)),BASE!$E$12:$F$23,1,0),100))))</f>
        <v>100</v>
      </c>
      <c r="C23" s="12">
        <f>IFERROR(VLOOKUP((LEFT(M23,4)),BASE!$E$12:$F$23,1,0),IFERROR(VLOOKUP((LEFT(M23,3)),BASE!$E$12:$F$23,1,0),IFERROR(VLOOKUP((LEFT(M23,2)),BASE!$E$12:$F$23,1,0),IFERROR(VLOOKUP((LEFT(M23,1)),BASE!$E$12:$F$23,1,0),100))))</f>
        <v>100</v>
      </c>
      <c r="D23" s="12">
        <f>IFERROR(VLOOKUP((LEFT(N23,4)),BASE!$E$12:$F$23,1,0),IFERROR(VLOOKUP((LEFT(N23,3)),BASE!$E$12:$F$23,1,0),IFERROR(VLOOKUP((LEFT(N23,2)),BASE!$E$12:$F$23,1,0),IFERROR(VLOOKUP((LEFT(N23,1)),BASE!$E$12:$F$23,1,0),100))))</f>
        <v>100</v>
      </c>
      <c r="E23" s="12">
        <f>IFERROR(VLOOKUP((LEFT(O23,4)),BASE!$E$12:$F$23,1,0),IFERROR(VLOOKUP((LEFT(O23,3)),BASE!$E$12:$F$23,1,0),IFERROR(VLOOKUP((LEFT(O23,2)),BASE!$E$12:$F$23,1,0),IFERROR(VLOOKUP((LEFT(O23,1)),BASE!$E$12:$F$23,1,0),100))))</f>
        <v>100</v>
      </c>
      <c r="F23" s="12">
        <f>IFERROR(VLOOKUP((LEFT(P23,4)),BASE!$E$12:$F$23,1,0),IFERROR(VLOOKUP((LEFT(P23,3)),BASE!$E$12:$F$23,1,0),IFERROR(VLOOKUP((LEFT(P23,2)),BASE!$E$12:$F$23,1,0),IFERROR(VLOOKUP((LEFT(P23,1)),BASE!$E$12:$F$23,1,0),100))))</f>
        <v>100</v>
      </c>
      <c r="G23" s="12">
        <f>IFERROR(VLOOKUP((LEFT(Q23,4)),BASE!$E$12:$F$23,1,0),IFERROR(VLOOKUP((LEFT(Q23,3)),BASE!$E$12:$F$23,1,0),IFERROR(VLOOKUP((LEFT(Q23,2)),BASE!$E$12:$F$23,1,0),IFERROR(VLOOKUP((LEFT(Q23,1)),BASE!$E$12:$F$23,1,0),100))))</f>
        <v>100</v>
      </c>
      <c r="H23" s="12">
        <f>IFERROR(VLOOKUP((LEFT(R23,4)),BASE!$E$12:$F$23,1,0),IFERROR(VLOOKUP((LEFT(R23,3)),BASE!$E$12:$F$23,1,0),IFERROR(VLOOKUP((LEFT(R23,2)),BASE!$E$12:$F$23,1,0),IFERROR(VLOOKUP((LEFT(R23,1)),BASE!$E$12:$F$23,1,0),100))))</f>
        <v>100</v>
      </c>
      <c r="I23" s="12">
        <f>IFERROR(VLOOKUP((LEFT(S23,4)),BASE!$E$12:$F$23,1,0),IFERROR(VLOOKUP((LEFT(S23,3)),BASE!$E$12:$F$23,1,0),IFERROR(VLOOKUP((LEFT(S23,2)),BASE!$E$12:$F$23,1,0),IFERROR(VLOOKUP((LEFT(S23,1)),BASE!$E$12:$F$23,1,0),100))))</f>
        <v>100</v>
      </c>
      <c r="J23" s="12" t="str">
        <f>IFERROR(VLOOKUP((LEFT(T23,4)),BASE!$E$12:$F$24,1,0),IFERROR(VLOOKUP((LEFT(T23,3)),BASE!$E$12:$F$24,1,0),IFERROR(VLOOKUP((LEFT(T23,2)),BASE!$E$12:$F$24,1,0),IFERROR(VLOOKUP((LEFT(T23,1)),BASE!$E$12:$F$24,1,0),100))))</f>
        <v>ko</v>
      </c>
      <c r="K23" s="12" t="str">
        <f>IFERROR(VLOOKUP((LEFT(U23,4)),BASE!$E$12:$F$23,1,0),IFERROR(VLOOKUP((LEFT(U23,3)),BASE!$E$12:$F$23,1,0),IFERROR(VLOOKUP((LEFT(U23,2)),BASE!$E$12:$F$23,1,0),IFERROR(VLOOKUP((LEFT(U23,1)),BASE!$E$12:$F$23,1,0),100))))</f>
        <v>kk</v>
      </c>
      <c r="L23" s="14" t="str">
        <f t="shared" si="0"/>
        <v/>
      </c>
      <c r="M23" s="14" t="str">
        <f t="shared" si="0"/>
        <v/>
      </c>
      <c r="N23" s="14" t="str">
        <f t="shared" si="0"/>
        <v/>
      </c>
      <c r="O23" s="14" t="str">
        <f t="shared" si="0"/>
        <v/>
      </c>
      <c r="P23" s="14" t="str">
        <f t="shared" si="0"/>
        <v/>
      </c>
      <c r="Q23" s="14" t="str">
        <f t="shared" si="0"/>
        <v/>
      </c>
      <c r="R23" s="14" t="str">
        <f t="shared" si="0"/>
        <v/>
      </c>
      <c r="S23" s="14" t="str">
        <f t="shared" si="0"/>
        <v/>
      </c>
      <c r="T23" s="14" t="str">
        <f t="shared" si="0"/>
        <v>ko</v>
      </c>
      <c r="U23" s="14" t="str">
        <f t="shared" si="1"/>
        <v>kkko</v>
      </c>
      <c r="V23" s="13">
        <f>IFERROR(VLOOKUP(LEFT(AZ23,2),BASE!$C$96:$E$342,3,0),IFERROR(VLOOKUP(LEFT(AZ23,1),BASE!$C$96:$E$342,3,0),100))</f>
        <v>100</v>
      </c>
      <c r="W23" s="13">
        <f>IFERROR(VLOOKUP(LEFT(BA23,2),BASE!$C$96:$E$342,3,0),IFERROR(VLOOKUP(LEFT(BA23,1),BASE!$C$96:$E$342,3,0),100))</f>
        <v>100</v>
      </c>
      <c r="X23" s="13">
        <f>IFERROR(VLOOKUP(LEFT(BB23,2),BASE!$C$96:$E$342,3,0),IFERROR(VLOOKUP(LEFT(BB23,1),BASE!$C$96:$E$342,3,0),100))</f>
        <v>100</v>
      </c>
      <c r="Y23" s="13">
        <f>IFERROR(VLOOKUP(LEFT(BC23,2),BASE!$C$96:$E$342,3,0),IFERROR(VLOOKUP(LEFT(BC23,1),BASE!$C$96:$E$342,3,0),100))</f>
        <v>100</v>
      </c>
      <c r="Z23" s="13">
        <f>IFERROR(VLOOKUP(LEFT(BD23,2),BASE!$C$96:$E$342,3,0),IFERROR(VLOOKUP(LEFT(BD23,1),BASE!$C$96:$E$342,3,0),100))</f>
        <v>100</v>
      </c>
      <c r="AA23" s="13">
        <f>IFERROR(VLOOKUP(LEFT(BE23,2),BASE!$C$96:$E$342,3,0),IFERROR(VLOOKUP(LEFT(BE23,1),BASE!$C$96:$E$342,3,0),100))</f>
        <v>100</v>
      </c>
      <c r="AB23" s="13">
        <f>IFERROR(VLOOKUP(LEFT(BF23,2),BASE!$C$96:$E$342,3,0),IFERROR(VLOOKUP(LEFT(BF23,1),BASE!$C$96:$E$342,3,0),100))</f>
        <v>2</v>
      </c>
      <c r="AC23" s="13">
        <f>IFERROR(VLOOKUP(LEFT(BG23,2),BASE!$C$96:$E$342,3,0),IFERROR(VLOOKUP(LEFT(BG23,1),BASE!$C$96:$E$342,3,0),100))</f>
        <v>2</v>
      </c>
      <c r="AD23" s="13">
        <f>IFERROR(VLOOKUP(LEFT(BH23,2),BASE!$C$96:$E$342,3,0),IFERROR(VLOOKUP(LEFT(BH23,1),BASE!$C$96:$E$342,3,0),100))</f>
        <v>2</v>
      </c>
      <c r="AE23" s="13">
        <f>IFERROR(VLOOKUP(LEFT(BI23,2),BASE!$C$96:$E$342,3,0),IFERROR(VLOOKUP(LEFT(BI23,1),BASE!$C$96:$E$342,3,0),100))</f>
        <v>2</v>
      </c>
      <c r="AF23" s="187" t="str">
        <f>IF(AND(BS23=BR23,AG23="o"),"A", (IFERROR(VLOOKUP(LEFT(AZ23,2),BASE!$C$346:$D$592,2,0),IFERROR(VLOOKUP(LEFT(AZ23,1),BASE!$C$346:$D$5922,2,0),AZ23))))</f>
        <v/>
      </c>
      <c r="AG23" s="187" t="str">
        <f>IF(AND(BR23=BQ23,AH23="o"),"A", (IFERROR(VLOOKUP(LEFT(BA23,2),BASE!$C$346:$D$592,2,0),IFERROR(VLOOKUP(LEFT(BA23,1),BASE!$C$346:$D$592,2,0),BA23))))</f>
        <v/>
      </c>
      <c r="AH23" s="187" t="str">
        <f>IF(AND(BQ23=BP23,AI23="o"),"A", (IFERROR(VLOOKUP(LEFT(BB23,2),BASE!$C$346:$D$592,2,0),IFERROR(VLOOKUP(LEFT(BB23,1),BASE!$C$346:$D$592,2,0),BB23))))</f>
        <v/>
      </c>
      <c r="AI23" s="187" t="str">
        <f>IF(AND(BP23=BO23,AJ23="o"),"A", (IFERROR(VLOOKUP(LEFT(BC23,2),BASE!$C$346:$D$592,2,0),IFERROR(VLOOKUP(LEFT(BC23,1),BASE!$C$346:$D$592,2,0),BC23))))</f>
        <v/>
      </c>
      <c r="AJ23" s="187" t="str">
        <f>IF(AND(BO23=BN23,AK23="o"),"A", (IFERROR(VLOOKUP(LEFT(BD23,2),BASE!$C$346:$D$592,2,0),IFERROR(VLOOKUP(LEFT(BD23,1),BASE!$C$346:$D$592,2,0),BD23))))</f>
        <v/>
      </c>
      <c r="AK23" s="187" t="str">
        <f>IF(AND(BN23=BM23,AL23="o"),"A", (IFERROR(VLOOKUP(LEFT(BE23,2),BASE!$C$346:$D$592,2,0),IFERROR(VLOOKUP(LEFT(BE23,1),BASE!$C$346:$D$592,2,0),BE23))))</f>
        <v/>
      </c>
      <c r="AL23" s="187" t="str">
        <f>IF(AND(BM23=BL23,AM23="o"),"A", (IFERROR(VLOOKUP(LEFT(BF23,2),BASE!$C$346:$D$592,2,0),IFERROR(VLOOKUP(LEFT(BF23,1),BASE!$C$346:$D$592,2,0),BF23))))</f>
        <v>o</v>
      </c>
      <c r="AM23" s="187" t="str">
        <f>IF(AND(BL23=BK23,AN23="o"),"A",(IFERROR(VLOOKUP(LEFT(BG23,2),BASE!$C$346:$D$592,2,0),IFERROR(VLOOKUP(LEFT(BG23,1),BASE!$C$346:$D$592,2,0),BG23))))</f>
        <v>k</v>
      </c>
      <c r="AN23" s="187" t="str">
        <f>(IFERROR(VLOOKUP(LEFT(BH23,2),BASE!$C$346:$D$592,2,0),IFERROR(VLOOKUP(LEFT(BH23,1),BASE!$C$346:$D$592,2,0),BH23)))</f>
        <v>k</v>
      </c>
      <c r="AO23" s="187" t="str">
        <f>(IFERROR(VLOOKUP(LEFT(BI23,2),BASE!$C$96:$D$342,2,0),IFERROR(VLOOKUP(LEFT(BI23,1),BASE!$C$96:$D$342,2,0),BI23)))</f>
        <v>k</v>
      </c>
      <c r="AP23" s="5">
        <f t="shared" si="2"/>
        <v>8</v>
      </c>
      <c r="AQ23" s="5">
        <f t="shared" si="2"/>
        <v>8</v>
      </c>
      <c r="AR23" s="5">
        <f t="shared" si="2"/>
        <v>8</v>
      </c>
      <c r="AS23" s="5">
        <f t="shared" si="2"/>
        <v>8</v>
      </c>
      <c r="AT23" s="5">
        <f t="shared" si="2"/>
        <v>8</v>
      </c>
      <c r="AU23" s="5">
        <f t="shared" si="2"/>
        <v>8</v>
      </c>
      <c r="AV23" s="5">
        <f t="shared" si="2"/>
        <v>8</v>
      </c>
      <c r="AW23" s="5">
        <f t="shared" si="2"/>
        <v>8</v>
      </c>
      <c r="AX23" s="5">
        <f t="shared" si="2"/>
        <v>8</v>
      </c>
      <c r="AY23" s="5">
        <f t="shared" si="3"/>
        <v>8</v>
      </c>
      <c r="AZ23" s="12" t="str">
        <f t="shared" si="4"/>
        <v/>
      </c>
      <c r="BA23" s="12" t="str">
        <f t="shared" si="4"/>
        <v/>
      </c>
      <c r="BB23" s="12" t="str">
        <f t="shared" si="4"/>
        <v/>
      </c>
      <c r="BC23" s="12" t="str">
        <f t="shared" si="4"/>
        <v/>
      </c>
      <c r="BD23" s="12" t="str">
        <f t="shared" si="4"/>
        <v/>
      </c>
      <c r="BE23" s="12" t="str">
        <f t="shared" si="4"/>
        <v/>
      </c>
      <c r="BF23" s="12" t="str">
        <f t="shared" si="4"/>
        <v>ன்</v>
      </c>
      <c r="BG23" s="12" t="str">
        <f t="shared" si="4"/>
        <v>யின்</v>
      </c>
      <c r="BH23" s="43" t="str">
        <f t="shared" si="4"/>
        <v>ரியின்</v>
      </c>
      <c r="BI23" s="57" t="str">
        <f>CG8</f>
        <v>தெரியின்</v>
      </c>
      <c r="BJ23" s="58" t="str">
        <f>IFERROR(VLOOKUP(LEFT(BI23,2),BASE!$C$96:$F$342,1,0),IFERROR(VLOOKUP(LEFT(BI23,1),BASE!$C$96:$F$342,1,0),BI23))</f>
        <v>தெ</v>
      </c>
      <c r="BK23" s="58" t="str">
        <f>IFERROR(VLOOKUP(LEFT(BH23,2),BASE!$C$96:$D$342,1,0),IFERROR(VLOOKUP(LEFT(BH23,1),BASE!$C$96:$D$342,1,0),BH23))</f>
        <v>ரி</v>
      </c>
      <c r="BL23" s="58" t="str">
        <f>IFERROR(VLOOKUP(LEFT(BG23,2),BASE!$C$96:$D$342,1,0),IFERROR(VLOOKUP(LEFT(BG23,1),BASE!$C$96:$D$342,1,0),BG23))</f>
        <v>யி</v>
      </c>
      <c r="BM23" s="58" t="str">
        <f>IFERROR(VLOOKUP(LEFT(BF23,2),BASE!$C$96:$D$342,1,0),IFERROR(VLOOKUP(LEFT(BF23,1),BASE!$C$96:$D$342,1,0),BF23))</f>
        <v>ன்</v>
      </c>
      <c r="BN23" s="58" t="str">
        <f>IFERROR(VLOOKUP(LEFT(BE23,2),BASE!$C$96:$D$342,1,0),IFERROR(VLOOKUP(LEFT(BE23,1),BASE!$C$96:$D$342,1,0),BE23))</f>
        <v/>
      </c>
      <c r="BO23" s="58" t="str">
        <f>IFERROR(VLOOKUP(LEFT(BD23,2),BASE!$C$96:$D$342,1,0),IFERROR(VLOOKUP(LEFT(BD23,1),BASE!$C$96:$D$342,1,0),BD23))</f>
        <v/>
      </c>
      <c r="BP23" s="58" t="str">
        <f>IFERROR(VLOOKUP(LEFT(BC23,2),BASE!$C$96:$D$342,1,0),IFERROR(VLOOKUP(LEFT(BC23,1),BASE!$C$96:$D$342,1,0),BC23))</f>
        <v/>
      </c>
      <c r="BQ23" s="58" t="str">
        <f>IFERROR(VLOOKUP(LEFT(BB23,2),BASE!$C$96:$D$342,1,0),IFERROR(VLOOKUP(LEFT(BB23,1),BASE!$C$96:$D$342,1,0),BB23))</f>
        <v/>
      </c>
      <c r="BR23" s="58" t="str">
        <f>IFERROR(VLOOKUP(LEFT(BA23,2),BASE!$C$96:$D$342,1,0),IFERROR(VLOOKUP(LEFT(BA23,1),BASE!$C$96:$D$342,1,0),BA23))</f>
        <v/>
      </c>
      <c r="BS23" s="58" t="str">
        <f>IFERROR(VLOOKUP(LEFT(AZ23,2),BASE!$C$96:$D$342,1,0),IFERROR(VLOOKUP(LEFT(AZ23,1),BASE!$C$96:$D$342,1,0),AZ23))</f>
        <v/>
      </c>
      <c r="BT23" s="186" t="str">
        <f>(IFERROR(VLOOKUP(LEFT(BI23,2),BASE!$C$96:$F$342,4,0),IFERROR(VLOOKUP(LEFT(BI23,1),BASE!$C$96:$F$342,4,0),BI23)))</f>
        <v>கு</v>
      </c>
      <c r="BU23" s="186" t="str">
        <f>(IFERROR(VLOOKUP(LEFT(BH23,2),BASE!$C$346:$F$592,4,0),IFERROR(VLOOKUP(LEFT(BH23,1),BASE!$C$346:$F$592,4,0),BH23)))</f>
        <v>கு</v>
      </c>
      <c r="BV23" s="186" t="str">
        <f>(IFERROR(VLOOKUP(LEFT(BG23,2),BASE!$C$346:$F$592,4,0),IFERROR(VLOOKUP(LEFT(BG23,1),BASE!$C$346:$F$592,4,0),BG23)))</f>
        <v>கு</v>
      </c>
      <c r="BW23" s="186" t="str">
        <f>(IFERROR(VLOOKUP(LEFT(BF23,2),BASE!$C$346:$F$592,4,0),IFERROR(VLOOKUP(LEFT(BF23,1),BASE!$C$346:$F$592,4,0),BF23)))</f>
        <v>ஒ</v>
      </c>
      <c r="BX23" s="186" t="str">
        <f>(IFERROR(VLOOKUP(LEFT(BE23,2),BASE!$C$346:$F$592,4,0),IFERROR(VLOOKUP(LEFT(BE23,1),BASE!$C$346:$F$592,4,0),BE23)))</f>
        <v/>
      </c>
      <c r="BY23" s="186" t="str">
        <f>(IFERROR(VLOOKUP(LEFT(BD23,2),BASE!$C$346:$F$592,4,0),IFERROR(VLOOKUP(LEFT(BD23,1),BASE!$C$346:$F$592,4,0),BD23)))</f>
        <v/>
      </c>
      <c r="BZ23" s="186" t="str">
        <f>(IFERROR(VLOOKUP(LEFT(BC23,2),BASE!$C$346:$F$592,4,0),IFERROR(VLOOKUP(LEFT(BC23,1),BASE!$C$346:$F$592,4,0),BC23)))</f>
        <v/>
      </c>
      <c r="CA23" s="186" t="str">
        <f>(IFERROR(VLOOKUP(LEFT(BB23,2),BASE!$C$346:$F$592,4,0),IFERROR(VLOOKUP(LEFT(BB23,1),BASE!$C$346:$F$592,4,0),BB23)))</f>
        <v/>
      </c>
      <c r="CB23" s="186" t="str">
        <f>(IFERROR(VLOOKUP(LEFT(BA23,2),BASE!$C$346:$F$592,4,0),IFERROR(VLOOKUP(LEFT(BA23,1),BASE!$C$346:$F$592,4,0),BA23)))</f>
        <v/>
      </c>
      <c r="CC23" s="186" t="str">
        <f>(IFERROR(VLOOKUP(LEFT(AZ23,2),BASE!$C$346:$F$592,4,0),IFERROR(VLOOKUP(LEFT(AZ23,1),BASE!$C$346:$F$592,4,0),AZ23)))</f>
        <v/>
      </c>
      <c r="CD23" s="58" t="str">
        <f t="shared" si="5"/>
        <v>குகுகுஒ</v>
      </c>
      <c r="CE23" s="58" t="str">
        <f>IFERROR(VLOOKUP((LEFT(U23,4)),BASE!$E$12:$F$23,2,0),IFERROR(VLOOKUP((LEFT(U23,3)),BASE!$E$12:$F$23,2,0),IFERROR(VLOOKUP((LEFT(U23,2)),BASE!$E$12:$F$23,2,0),IFERROR(VLOOKUP((LEFT(U23,1)),BASE!$E$12:$F$23,2,0),U23))))</f>
        <v>நிரை</v>
      </c>
      <c r="CF23" s="58" t="str">
        <f>IFERROR(VLOOKUP((LEFT(T23,4)),BASE!$E$12:$F$24,2,0),IFERROR(VLOOKUP((LEFT(T23,3)),BASE!$E$12:$F$24,2,0),IFERROR(VLOOKUP((LEFT(T23,2)),BASE!$E$12:$F$24,2,0),IFERROR(VLOOKUP((LEFT(T23,1)),BASE!$E$12:$F$24,2,0),T23))))</f>
        <v>நேர்</v>
      </c>
      <c r="CG23" s="58" t="str">
        <f>IFERROR(VLOOKUP((LEFT(S23,4)),BASE!$E$12:$F$23,2,0),IFERROR(VLOOKUP((LEFT(S23,3)),BASE!$E$12:$F$23,2,0),IFERROR(VLOOKUP((LEFT(S23,2)),BASE!$E$12:$F$23,2,0),IFERROR(VLOOKUP((LEFT(S23,1)),BASE!$E$12:$F$23,2,0),S23))))</f>
        <v/>
      </c>
      <c r="CH23" s="58" t="str">
        <f>IFERROR(VLOOKUP((LEFT(R23,4)),BASE!$E$12:$F$23,2,0),IFERROR(VLOOKUP((LEFT(R23,3)),BASE!$E$12:$F$23,2,0),IFERROR(VLOOKUP((LEFT(R23,2)),BASE!$E$12:$F$23,2,0),IFERROR(VLOOKUP((LEFT(R23,1)),BASE!$E$12:$F$23,2,0),R23))))</f>
        <v/>
      </c>
      <c r="CI23" s="58" t="str">
        <f>IFERROR(VLOOKUP((LEFT(Q23,4)),BASE!$E$12:$F$23,2,0),IFERROR(VLOOKUP((LEFT(Q23,3)),BASE!$E$12:$F$23,2,0),IFERROR(VLOOKUP((LEFT(Q23,2)),BASE!$E$12:$F$23,2,0),IFERROR(VLOOKUP((LEFT(Q23,1)),BASE!$E$12:$F$23,2,0),Q23))))</f>
        <v/>
      </c>
      <c r="CJ23" s="58" t="str">
        <f>IFERROR(VLOOKUP((LEFT(P23,4)),BASE!$E$12:$F$23,2,0),IFERROR(VLOOKUP((LEFT(P23,3)),BASE!$E$12:$F$23,2,0),IFERROR(VLOOKUP((LEFT(P23,2)),BASE!$E$12:$F$23,2,0),IFERROR(VLOOKUP((LEFT(P23,1)),BASE!$E$12:$F$23,2,0),P23))))</f>
        <v/>
      </c>
      <c r="CK23" s="58" t="str">
        <f>IFERROR(VLOOKUP((LEFT(O23,4)),BASE!$E$12:$F$23,2,0),IFERROR(VLOOKUP((LEFT(O23,3)),BASE!$E$12:$F$23,2,0),IFERROR(VLOOKUP((LEFT(O23,2)),BASE!$E$12:$F$23,2,0),IFERROR(VLOOKUP((LEFT(O23,1)),BASE!$E$12:$F$23,2,0),O23))))</f>
        <v/>
      </c>
      <c r="CL23" s="58" t="str">
        <f>IFERROR(VLOOKUP((LEFT(N23,4)),BASE!$E$12:$F$23,2,0),IFERROR(VLOOKUP((LEFT(N23,3)),BASE!$E$12:$F$23,2,0),IFERROR(VLOOKUP((LEFT(N23,2)),BASE!$E$12:$F$23,2,0),IFERROR(VLOOKUP((LEFT(N23,1)),BASE!$E$12:$F$23,2,0),N23))))</f>
        <v/>
      </c>
      <c r="CM23" s="58" t="str">
        <f>IFERROR(VLOOKUP((LEFT(M23,4)),BASE!$E$12:$F$23,2,0),IFERROR(VLOOKUP((LEFT(M23,3)),BASE!$E$12:$F$23,2,0),IFERROR(VLOOKUP((LEFT(M23,2)),BASE!$E$12:$F$23,2,0),IFERROR(VLOOKUP((LEFT(M23,1)),BASE!$E$12:$F$23,2,0),M23))))</f>
        <v/>
      </c>
      <c r="CN23" s="58" t="str">
        <f>IFERROR(VLOOKUP((LEFT(L23,4)),BASE!$E$12:$F$23,2,0),IFERROR(VLOOKUP((LEFT(L23,3)),BASE!$E$12:$F$23,2,0),IFERROR(VLOOKUP((LEFT(L23,2)),BASE!$E$12:$F$23,2,0),IFERROR(VLOOKUP((LEFT(L23,1)),BASE!$E$12:$F$23,2,0),L23))))</f>
        <v/>
      </c>
      <c r="CO23" s="58" t="str">
        <f t="shared" si="6"/>
        <v>நிரைநேர்</v>
      </c>
      <c r="CP23" s="58" t="str">
        <f>VLOOKUP(CO23,BASE!$E$25:$F$79,2,0)</f>
        <v>புளிமா</v>
      </c>
      <c r="CQ23" s="58" t="str">
        <f>VLOOKUP(CO23,BASE!$E$25:$G$79,3,0)&amp;CE24</f>
        <v>மாநிரை</v>
      </c>
      <c r="CR23" s="58" t="str">
        <f>VLOOKUP(CQ23,BASE!$E$86:$G$93,2,0)</f>
        <v>மாமுன் நிரை</v>
      </c>
      <c r="CS23" s="58" t="str">
        <f>VLOOKUP(CQ23,BASE!$E$86:$G$93,3,0)</f>
        <v>இயற்சீர் வெண்டளை</v>
      </c>
      <c r="CT23" s="58" t="str">
        <f t="shared" si="7"/>
        <v>மூவசைக்கு மிகவில்லை</v>
      </c>
      <c r="CU23" s="59" t="str">
        <f t="shared" si="8"/>
        <v>சரி</v>
      </c>
      <c r="DQ23" s="82"/>
    </row>
    <row r="24" spans="1:121" ht="19.5" customHeight="1" x14ac:dyDescent="0.35">
      <c r="A24" s="119"/>
      <c r="B24" s="12">
        <f>IFERROR(VLOOKUP((LEFT(L24,4)),BASE!$E$12:$F$23,1,0),IFERROR(VLOOKUP((LEFT(L24,3)),BASE!$E$12:$F$23,1,0),IFERROR(VLOOKUP((LEFT(L24,2)),BASE!$E$12:$F$23,1,0),IFERROR(VLOOKUP((LEFT(L24,1)),BASE!$E$12:$F$23,1,0),100))))</f>
        <v>100</v>
      </c>
      <c r="C24" s="12">
        <f>IFERROR(VLOOKUP((LEFT(M24,4)),BASE!$E$12:$F$23,1,0),IFERROR(VLOOKUP((LEFT(M24,3)),BASE!$E$12:$F$23,1,0),IFERROR(VLOOKUP((LEFT(M24,2)),BASE!$E$12:$F$23,1,0),IFERROR(VLOOKUP((LEFT(M24,1)),BASE!$E$12:$F$23,1,0),100))))</f>
        <v>100</v>
      </c>
      <c r="D24" s="12">
        <f>IFERROR(VLOOKUP((LEFT(N24,4)),BASE!$E$12:$F$23,1,0),IFERROR(VLOOKUP((LEFT(N24,3)),BASE!$E$12:$F$23,1,0),IFERROR(VLOOKUP((LEFT(N24,2)),BASE!$E$12:$F$23,1,0),IFERROR(VLOOKUP((LEFT(N24,1)),BASE!$E$12:$F$23,1,0),100))))</f>
        <v>100</v>
      </c>
      <c r="E24" s="12">
        <f>IFERROR(VLOOKUP((LEFT(O24,4)),BASE!$E$12:$F$23,1,0),IFERROR(VLOOKUP((LEFT(O24,3)),BASE!$E$12:$F$23,1,0),IFERROR(VLOOKUP((LEFT(O24,2)),BASE!$E$12:$F$23,1,0),IFERROR(VLOOKUP((LEFT(O24,1)),BASE!$E$12:$F$23,1,0),100))))</f>
        <v>100</v>
      </c>
      <c r="F24" s="12">
        <f>IFERROR(VLOOKUP((LEFT(P24,4)),BASE!$E$12:$F$23,1,0),IFERROR(VLOOKUP((LEFT(P24,3)),BASE!$E$12:$F$23,1,0),IFERROR(VLOOKUP((LEFT(P24,2)),BASE!$E$12:$F$23,1,0),IFERROR(VLOOKUP((LEFT(P24,1)),BASE!$E$12:$F$23,1,0),100))))</f>
        <v>100</v>
      </c>
      <c r="G24" s="12">
        <f>IFERROR(VLOOKUP((LEFT(Q24,4)),BASE!$E$12:$F$23,1,0),IFERROR(VLOOKUP((LEFT(Q24,3)),BASE!$E$12:$F$23,1,0),IFERROR(VLOOKUP((LEFT(Q24,2)),BASE!$E$12:$F$23,1,0),IFERROR(VLOOKUP((LEFT(Q24,1)),BASE!$E$12:$F$23,1,0),100))))</f>
        <v>100</v>
      </c>
      <c r="H24" s="12">
        <f>IFERROR(VLOOKUP((LEFT(R24,4)),BASE!$E$12:$F$23,1,0),IFERROR(VLOOKUP((LEFT(R24,3)),BASE!$E$12:$F$23,1,0),IFERROR(VLOOKUP((LEFT(R24,2)),BASE!$E$12:$F$23,1,0),IFERROR(VLOOKUP((LEFT(R24,1)),BASE!$E$12:$F$23,1,0),100))))</f>
        <v>100</v>
      </c>
      <c r="I24" s="12">
        <f>IFERROR(VLOOKUP((LEFT(S24,4)),BASE!$E$12:$F$23,1,0),IFERROR(VLOOKUP((LEFT(S24,3)),BASE!$E$12:$F$23,1,0),IFERROR(VLOOKUP((LEFT(S24,2)),BASE!$E$12:$F$23,1,0),IFERROR(VLOOKUP((LEFT(S24,1)),BASE!$E$12:$F$23,1,0),100))))</f>
        <v>100</v>
      </c>
      <c r="J24" s="12" t="str">
        <f>IFERROR(VLOOKUP((LEFT(T24,4)),BASE!$E$12:$F$24,1,0),IFERROR(VLOOKUP((LEFT(T24,3)),BASE!$E$12:$F$24,1,0),IFERROR(VLOOKUP((LEFT(T24,2)),BASE!$E$12:$F$24,1,0),IFERROR(VLOOKUP((LEFT(T24,1)),BASE!$E$12:$F$24,1,0),100))))</f>
        <v>k</v>
      </c>
      <c r="K24" s="12" t="str">
        <f>IFERROR(VLOOKUP((LEFT(U24,4)),BASE!$E$12:$F$23,1,0),IFERROR(VLOOKUP((LEFT(U24,3)),BASE!$E$12:$F$23,1,0),IFERROR(VLOOKUP((LEFT(U24,2)),BASE!$E$12:$F$23,1,0),IFERROR(VLOOKUP((LEFT(U24,1)),BASE!$E$12:$F$23,1,0),100))))</f>
        <v>kk</v>
      </c>
      <c r="L24" s="14" t="str">
        <f t="shared" si="0"/>
        <v/>
      </c>
      <c r="M24" s="14" t="str">
        <f t="shared" si="0"/>
        <v/>
      </c>
      <c r="N24" s="14" t="str">
        <f t="shared" si="0"/>
        <v/>
      </c>
      <c r="O24" s="14" t="str">
        <f t="shared" si="0"/>
        <v/>
      </c>
      <c r="P24" s="14" t="str">
        <f t="shared" si="0"/>
        <v/>
      </c>
      <c r="Q24" s="14" t="str">
        <f t="shared" si="0"/>
        <v/>
      </c>
      <c r="R24" s="14" t="str">
        <f t="shared" si="0"/>
        <v/>
      </c>
      <c r="S24" s="14" t="str">
        <f t="shared" si="0"/>
        <v/>
      </c>
      <c r="T24" s="14" t="str">
        <f t="shared" si="0"/>
        <v>k</v>
      </c>
      <c r="U24" s="14" t="str">
        <f t="shared" si="1"/>
        <v>kkk</v>
      </c>
      <c r="V24" s="13">
        <f>IFERROR(VLOOKUP(LEFT(AZ24,2),BASE!$C$96:$E$342,3,0),IFERROR(VLOOKUP(LEFT(AZ24,1),BASE!$C$96:$E$342,3,0),100))</f>
        <v>100</v>
      </c>
      <c r="W24" s="13">
        <f>IFERROR(VLOOKUP(LEFT(BA24,2),BASE!$C$96:$E$342,3,0),IFERROR(VLOOKUP(LEFT(BA24,1),BASE!$C$96:$E$342,3,0),100))</f>
        <v>100</v>
      </c>
      <c r="X24" s="13">
        <f>IFERROR(VLOOKUP(LEFT(BB24,2),BASE!$C$96:$E$342,3,0),IFERROR(VLOOKUP(LEFT(BB24,1),BASE!$C$96:$E$342,3,0),100))</f>
        <v>100</v>
      </c>
      <c r="Y24" s="13">
        <f>IFERROR(VLOOKUP(LEFT(BC24,2),BASE!$C$96:$E$342,3,0),IFERROR(VLOOKUP(LEFT(BC24,1),BASE!$C$96:$E$342,3,0),100))</f>
        <v>100</v>
      </c>
      <c r="Z24" s="13">
        <f>IFERROR(VLOOKUP(LEFT(BD24,2),BASE!$C$96:$E$342,3,0),IFERROR(VLOOKUP(LEFT(BD24,1),BASE!$C$96:$E$342,3,0),100))</f>
        <v>100</v>
      </c>
      <c r="AA24" s="13">
        <f>IFERROR(VLOOKUP(LEFT(BE24,2),BASE!$C$96:$E$342,3,0),IFERROR(VLOOKUP(LEFT(BE24,1),BASE!$C$96:$E$342,3,0),100))</f>
        <v>100</v>
      </c>
      <c r="AB24" s="13">
        <f>IFERROR(VLOOKUP(LEFT(BF24,2),BASE!$C$96:$E$342,3,0),IFERROR(VLOOKUP(LEFT(BF24,1),BASE!$C$96:$E$342,3,0),100))</f>
        <v>100</v>
      </c>
      <c r="AC24" s="13">
        <f>IFERROR(VLOOKUP(LEFT(BG24,2),BASE!$C$96:$E$342,3,0),IFERROR(VLOOKUP(LEFT(BG24,1),BASE!$C$96:$E$342,3,0),100))</f>
        <v>1</v>
      </c>
      <c r="AD24" s="13">
        <f>IFERROR(VLOOKUP(LEFT(BH24,2),BASE!$C$96:$E$342,3,0),IFERROR(VLOOKUP(LEFT(BH24,1),BASE!$C$96:$E$342,3,0),100))</f>
        <v>2</v>
      </c>
      <c r="AE24" s="13">
        <f>IFERROR(VLOOKUP(LEFT(BI24,2),BASE!$C$96:$E$342,3,0),IFERROR(VLOOKUP(LEFT(BI24,1),BASE!$C$96:$E$342,3,0),100))</f>
        <v>1</v>
      </c>
      <c r="AF24" s="187" t="str">
        <f>IF(AND(BS24=BR24,AG24="o"),"A", (IFERROR(VLOOKUP(LEFT(AZ24,2),BASE!$C$346:$D$592,2,0),IFERROR(VLOOKUP(LEFT(AZ24,1),BASE!$C$346:$D$5922,2,0),AZ24))))</f>
        <v/>
      </c>
      <c r="AG24" s="187" t="str">
        <f>IF(AND(BR24=BQ24,AH24="o"),"A", (IFERROR(VLOOKUP(LEFT(BA24,2),BASE!$C$346:$D$592,2,0),IFERROR(VLOOKUP(LEFT(BA24,1),BASE!$C$346:$D$592,2,0),BA24))))</f>
        <v/>
      </c>
      <c r="AH24" s="187" t="str">
        <f>IF(AND(BQ24=BP24,AI24="o"),"A", (IFERROR(VLOOKUP(LEFT(BB24,2),BASE!$C$346:$D$592,2,0),IFERROR(VLOOKUP(LEFT(BB24,1),BASE!$C$346:$D$592,2,0),BB24))))</f>
        <v/>
      </c>
      <c r="AI24" s="187" t="str">
        <f>IF(AND(BP24=BO24,AJ24="o"),"A", (IFERROR(VLOOKUP(LEFT(BC24,2),BASE!$C$346:$D$592,2,0),IFERROR(VLOOKUP(LEFT(BC24,1),BASE!$C$346:$D$592,2,0),BC24))))</f>
        <v/>
      </c>
      <c r="AJ24" s="187" t="str">
        <f>IF(AND(BO24=BN24,AK24="o"),"A", (IFERROR(VLOOKUP(LEFT(BD24,2),BASE!$C$346:$D$592,2,0),IFERROR(VLOOKUP(LEFT(BD24,1),BASE!$C$346:$D$592,2,0),BD24))))</f>
        <v/>
      </c>
      <c r="AK24" s="187" t="str">
        <f>IF(AND(BN24=BM24,AL24="o"),"A", (IFERROR(VLOOKUP(LEFT(BE24,2),BASE!$C$346:$D$592,2,0),IFERROR(VLOOKUP(LEFT(BE24,1),BASE!$C$346:$D$592,2,0),BE24))))</f>
        <v/>
      </c>
      <c r="AL24" s="187" t="str">
        <f>IF(AND(BM24=BL24,AM24="o"),"A", (IFERROR(VLOOKUP(LEFT(BF24,2),BASE!$C$346:$D$592,2,0),IFERROR(VLOOKUP(LEFT(BF24,1),BASE!$C$346:$D$592,2,0),BF24))))</f>
        <v/>
      </c>
      <c r="AM24" s="187" t="str">
        <f>IF(AND(BL24=BK24,AN24="o"),"A",(IFERROR(VLOOKUP(LEFT(BG24,2),BASE!$C$346:$D$592,2,0),IFERROR(VLOOKUP(LEFT(BG24,1),BASE!$C$346:$D$592,2,0),BG24))))</f>
        <v>k</v>
      </c>
      <c r="AN24" s="187" t="str">
        <f>(IFERROR(VLOOKUP(LEFT(BH24,2),BASE!$C$346:$D$592,2,0),IFERROR(VLOOKUP(LEFT(BH24,1),BASE!$C$346:$D$592,2,0),BH24)))</f>
        <v>k</v>
      </c>
      <c r="AO24" s="187" t="str">
        <f>(IFERROR(VLOOKUP(LEFT(BI24,2),BASE!$C$96:$D$342,2,0),IFERROR(VLOOKUP(LEFT(BI24,1),BASE!$C$96:$D$342,2,0),BI24)))</f>
        <v>k</v>
      </c>
      <c r="AP24" s="5">
        <f t="shared" si="2"/>
        <v>4</v>
      </c>
      <c r="AQ24" s="5">
        <f t="shared" si="2"/>
        <v>4</v>
      </c>
      <c r="AR24" s="5">
        <f t="shared" si="2"/>
        <v>4</v>
      </c>
      <c r="AS24" s="5">
        <f t="shared" si="2"/>
        <v>4</v>
      </c>
      <c r="AT24" s="5">
        <f t="shared" si="2"/>
        <v>4</v>
      </c>
      <c r="AU24" s="5">
        <f t="shared" si="2"/>
        <v>4</v>
      </c>
      <c r="AV24" s="5">
        <f t="shared" si="2"/>
        <v>4</v>
      </c>
      <c r="AW24" s="5">
        <f t="shared" si="2"/>
        <v>4</v>
      </c>
      <c r="AX24" s="5">
        <f t="shared" si="2"/>
        <v>4</v>
      </c>
      <c r="AY24" s="5">
        <f t="shared" si="3"/>
        <v>4</v>
      </c>
      <c r="AZ24" s="12" t="str">
        <f t="shared" si="4"/>
        <v/>
      </c>
      <c r="BA24" s="12" t="str">
        <f t="shared" si="4"/>
        <v/>
      </c>
      <c r="BB24" s="12" t="str">
        <f t="shared" si="4"/>
        <v/>
      </c>
      <c r="BC24" s="12" t="str">
        <f t="shared" si="4"/>
        <v/>
      </c>
      <c r="BD24" s="12" t="str">
        <f t="shared" si="4"/>
        <v/>
      </c>
      <c r="BE24" s="12" t="str">
        <f t="shared" si="4"/>
        <v/>
      </c>
      <c r="BF24" s="12" t="str">
        <f t="shared" si="4"/>
        <v/>
      </c>
      <c r="BG24" s="12" t="str">
        <f t="shared" si="4"/>
        <v>ய</v>
      </c>
      <c r="BH24" s="43" t="str">
        <f t="shared" si="4"/>
        <v>ரிய</v>
      </c>
      <c r="BI24" s="57" t="str">
        <f>CD10</f>
        <v>கரிய</v>
      </c>
      <c r="BJ24" s="58" t="str">
        <f>IFERROR(VLOOKUP(LEFT(BI24,2),BASE!$C$96:$F$342,1,0),IFERROR(VLOOKUP(LEFT(BI24,1),BASE!$C$96:$F$342,1,0),BI24))</f>
        <v>க</v>
      </c>
      <c r="BK24" s="58" t="str">
        <f>IFERROR(VLOOKUP(LEFT(BH24,2),BASE!$C$96:$D$342,1,0),IFERROR(VLOOKUP(LEFT(BH24,1),BASE!$C$96:$D$342,1,0),BH24))</f>
        <v>ரி</v>
      </c>
      <c r="BL24" s="58" t="str">
        <f>IFERROR(VLOOKUP(LEFT(BG24,2),BASE!$C$96:$D$342,1,0),IFERROR(VLOOKUP(LEFT(BG24,1),BASE!$C$96:$D$342,1,0),BG24))</f>
        <v>ய</v>
      </c>
      <c r="BM24" s="58" t="str">
        <f>IFERROR(VLOOKUP(LEFT(BF24,2),BASE!$C$96:$D$342,1,0),IFERROR(VLOOKUP(LEFT(BF24,1),BASE!$C$96:$D$342,1,0),BF24))</f>
        <v/>
      </c>
      <c r="BN24" s="58" t="str">
        <f>IFERROR(VLOOKUP(LEFT(BE24,2),BASE!$C$96:$D$342,1,0),IFERROR(VLOOKUP(LEFT(BE24,1),BASE!$C$96:$D$342,1,0),BE24))</f>
        <v/>
      </c>
      <c r="BO24" s="58" t="str">
        <f>IFERROR(VLOOKUP(LEFT(BD24,2),BASE!$C$96:$D$342,1,0),IFERROR(VLOOKUP(LEFT(BD24,1),BASE!$C$96:$D$342,1,0),BD24))</f>
        <v/>
      </c>
      <c r="BP24" s="58" t="str">
        <f>IFERROR(VLOOKUP(LEFT(BC24,2),BASE!$C$96:$D$342,1,0),IFERROR(VLOOKUP(LEFT(BC24,1),BASE!$C$96:$D$342,1,0),BC24))</f>
        <v/>
      </c>
      <c r="BQ24" s="58" t="str">
        <f>IFERROR(VLOOKUP(LEFT(BB24,2),BASE!$C$96:$D$342,1,0),IFERROR(VLOOKUP(LEFT(BB24,1),BASE!$C$96:$D$342,1,0),BB24))</f>
        <v/>
      </c>
      <c r="BR24" s="58" t="str">
        <f>IFERROR(VLOOKUP(LEFT(BA24,2),BASE!$C$96:$D$342,1,0),IFERROR(VLOOKUP(LEFT(BA24,1),BASE!$C$96:$D$342,1,0),BA24))</f>
        <v/>
      </c>
      <c r="BS24" s="58" t="str">
        <f>IFERROR(VLOOKUP(LEFT(AZ24,2),BASE!$C$96:$D$342,1,0),IFERROR(VLOOKUP(LEFT(AZ24,1),BASE!$C$96:$D$342,1,0),AZ24))</f>
        <v/>
      </c>
      <c r="BT24" s="186" t="str">
        <f>(IFERROR(VLOOKUP(LEFT(BI24,2),BASE!$C$96:$F$342,4,0),IFERROR(VLOOKUP(LEFT(BI24,1),BASE!$C$96:$F$342,4,0),BI24)))</f>
        <v>கு</v>
      </c>
      <c r="BU24" s="186" t="str">
        <f>(IFERROR(VLOOKUP(LEFT(BH24,2),BASE!$C$346:$F$592,4,0),IFERROR(VLOOKUP(LEFT(BH24,1),BASE!$C$346:$F$592,4,0),BH24)))</f>
        <v>கு</v>
      </c>
      <c r="BV24" s="186" t="str">
        <f>(IFERROR(VLOOKUP(LEFT(BG24,2),BASE!$C$346:$F$592,4,0),IFERROR(VLOOKUP(LEFT(BG24,1),BASE!$C$346:$F$592,4,0),BG24)))</f>
        <v>கு</v>
      </c>
      <c r="BW24" s="186" t="str">
        <f>(IFERROR(VLOOKUP(LEFT(BF24,2),BASE!$C$346:$F$592,4,0),IFERROR(VLOOKUP(LEFT(BF24,1),BASE!$C$346:$F$592,4,0),BF24)))</f>
        <v/>
      </c>
      <c r="BX24" s="186" t="str">
        <f>(IFERROR(VLOOKUP(LEFT(BE24,2),BASE!$C$346:$F$592,4,0),IFERROR(VLOOKUP(LEFT(BE24,1),BASE!$C$346:$F$592,4,0),BE24)))</f>
        <v/>
      </c>
      <c r="BY24" s="186" t="str">
        <f>(IFERROR(VLOOKUP(LEFT(BD24,2),BASE!$C$346:$F$592,4,0),IFERROR(VLOOKUP(LEFT(BD24,1),BASE!$C$346:$F$592,4,0),BD24)))</f>
        <v/>
      </c>
      <c r="BZ24" s="186" t="str">
        <f>(IFERROR(VLOOKUP(LEFT(BC24,2),BASE!$C$346:$F$592,4,0),IFERROR(VLOOKUP(LEFT(BC24,1),BASE!$C$346:$F$592,4,0),BC24)))</f>
        <v/>
      </c>
      <c r="CA24" s="186" t="str">
        <f>(IFERROR(VLOOKUP(LEFT(BB24,2),BASE!$C$346:$F$592,4,0),IFERROR(VLOOKUP(LEFT(BB24,1),BASE!$C$346:$F$592,4,0),BB24)))</f>
        <v/>
      </c>
      <c r="CB24" s="186" t="str">
        <f>(IFERROR(VLOOKUP(LEFT(BA24,2),BASE!$C$346:$F$592,4,0),IFERROR(VLOOKUP(LEFT(BA24,1),BASE!$C$346:$F$592,4,0),BA24)))</f>
        <v/>
      </c>
      <c r="CC24" s="186" t="str">
        <f>(IFERROR(VLOOKUP(LEFT(AZ24,2),BASE!$C$346:$F$592,4,0),IFERROR(VLOOKUP(LEFT(AZ24,1),BASE!$C$346:$F$592,4,0),AZ24)))</f>
        <v/>
      </c>
      <c r="CD24" s="58" t="str">
        <f t="shared" si="5"/>
        <v>குகுகு</v>
      </c>
      <c r="CE24" s="58" t="str">
        <f>IFERROR(VLOOKUP((LEFT(U24,4)),BASE!$E$12:$F$23,2,0),IFERROR(VLOOKUP((LEFT(U24,3)),BASE!$E$12:$F$23,2,0),IFERROR(VLOOKUP((LEFT(U24,2)),BASE!$E$12:$F$23,2,0),IFERROR(VLOOKUP((LEFT(U24,1)),BASE!$E$12:$F$23,2,0),U24))))</f>
        <v>நிரை</v>
      </c>
      <c r="CF24" s="58" t="str">
        <f>IFERROR(VLOOKUP((LEFT(T24,4)),BASE!$E$12:$F$24,2,0),IFERROR(VLOOKUP((LEFT(T24,3)),BASE!$E$12:$F$24,2,0),IFERROR(VLOOKUP((LEFT(T24,2)),BASE!$E$12:$F$24,2,0),IFERROR(VLOOKUP((LEFT(T24,1)),BASE!$E$12:$F$24,2,0),T24))))</f>
        <v>நேர்</v>
      </c>
      <c r="CG24" s="58" t="str">
        <f>IFERROR(VLOOKUP((LEFT(S24,4)),BASE!$E$12:$F$23,2,0),IFERROR(VLOOKUP((LEFT(S24,3)),BASE!$E$12:$F$23,2,0),IFERROR(VLOOKUP((LEFT(S24,2)),BASE!$E$12:$F$23,2,0),IFERROR(VLOOKUP((LEFT(S24,1)),BASE!$E$12:$F$23,2,0),S24))))</f>
        <v/>
      </c>
      <c r="CH24" s="58" t="str">
        <f>IFERROR(VLOOKUP((LEFT(R24,4)),BASE!$E$12:$F$23,2,0),IFERROR(VLOOKUP((LEFT(R24,3)),BASE!$E$12:$F$23,2,0),IFERROR(VLOOKUP((LEFT(R24,2)),BASE!$E$12:$F$23,2,0),IFERROR(VLOOKUP((LEFT(R24,1)),BASE!$E$12:$F$23,2,0),R24))))</f>
        <v/>
      </c>
      <c r="CI24" s="58" t="str">
        <f>IFERROR(VLOOKUP((LEFT(Q24,4)),BASE!$E$12:$F$23,2,0),IFERROR(VLOOKUP((LEFT(Q24,3)),BASE!$E$12:$F$23,2,0),IFERROR(VLOOKUP((LEFT(Q24,2)),BASE!$E$12:$F$23,2,0),IFERROR(VLOOKUP((LEFT(Q24,1)),BASE!$E$12:$F$23,2,0),Q24))))</f>
        <v/>
      </c>
      <c r="CJ24" s="58" t="str">
        <f>IFERROR(VLOOKUP((LEFT(P24,4)),BASE!$E$12:$F$23,2,0),IFERROR(VLOOKUP((LEFT(P24,3)),BASE!$E$12:$F$23,2,0),IFERROR(VLOOKUP((LEFT(P24,2)),BASE!$E$12:$F$23,2,0),IFERROR(VLOOKUP((LEFT(P24,1)),BASE!$E$12:$F$23,2,0),P24))))</f>
        <v/>
      </c>
      <c r="CK24" s="58" t="str">
        <f>IFERROR(VLOOKUP((LEFT(O24,4)),BASE!$E$12:$F$23,2,0),IFERROR(VLOOKUP((LEFT(O24,3)),BASE!$E$12:$F$23,2,0),IFERROR(VLOOKUP((LEFT(O24,2)),BASE!$E$12:$F$23,2,0),IFERROR(VLOOKUP((LEFT(O24,1)),BASE!$E$12:$F$23,2,0),O24))))</f>
        <v/>
      </c>
      <c r="CL24" s="58" t="str">
        <f>IFERROR(VLOOKUP((LEFT(N24,4)),BASE!$E$12:$F$23,2,0),IFERROR(VLOOKUP((LEFT(N24,3)),BASE!$E$12:$F$23,2,0),IFERROR(VLOOKUP((LEFT(N24,2)),BASE!$E$12:$F$23,2,0),IFERROR(VLOOKUP((LEFT(N24,1)),BASE!$E$12:$F$23,2,0),N24))))</f>
        <v/>
      </c>
      <c r="CM24" s="58" t="str">
        <f>IFERROR(VLOOKUP((LEFT(M24,4)),BASE!$E$12:$F$23,2,0),IFERROR(VLOOKUP((LEFT(M24,3)),BASE!$E$12:$F$23,2,0),IFERROR(VLOOKUP((LEFT(M24,2)),BASE!$E$12:$F$23,2,0),IFERROR(VLOOKUP((LEFT(M24,1)),BASE!$E$12:$F$23,2,0),M24))))</f>
        <v/>
      </c>
      <c r="CN24" s="58" t="str">
        <f>IFERROR(VLOOKUP((LEFT(L24,4)),BASE!$E$12:$F$23,2,0),IFERROR(VLOOKUP((LEFT(L24,3)),BASE!$E$12:$F$23,2,0),IFERROR(VLOOKUP((LEFT(L24,2)),BASE!$E$12:$F$23,2,0),IFERROR(VLOOKUP((LEFT(L24,1)),BASE!$E$12:$F$23,2,0),L24))))</f>
        <v/>
      </c>
      <c r="CO24" s="58" t="str">
        <f t="shared" si="6"/>
        <v>நிரைநேர்</v>
      </c>
      <c r="CP24" s="58" t="str">
        <f>VLOOKUP(CO24,BASE!$E$25:$F$79,2,0)</f>
        <v>புளிமா</v>
      </c>
      <c r="CQ24" s="58" t="str">
        <f>VLOOKUP(CO24,BASE!$E$25:$G$79,3,0)&amp;CE25</f>
        <v>மாநிரை</v>
      </c>
      <c r="CR24" s="58" t="str">
        <f>VLOOKUP(CQ24,BASE!$E$86:$G$93,2,0)</f>
        <v>மாமுன் நிரை</v>
      </c>
      <c r="CS24" s="58" t="str">
        <f>VLOOKUP(CQ24,BASE!$E$86:$G$93,3,0)</f>
        <v>இயற்சீர் வெண்டளை</v>
      </c>
      <c r="CT24" s="58" t="str">
        <f t="shared" si="7"/>
        <v>மூவசைக்கு மிகவில்லை</v>
      </c>
      <c r="CU24" s="59" t="str">
        <f t="shared" si="8"/>
        <v>சரி</v>
      </c>
      <c r="DQ24" s="82"/>
    </row>
    <row r="25" spans="1:121" ht="19.5" customHeight="1" x14ac:dyDescent="0.35">
      <c r="A25" s="119"/>
      <c r="B25" s="12">
        <f>IFERROR(VLOOKUP((LEFT(L25,4)),BASE!$E$12:$F$23,1,0),IFERROR(VLOOKUP((LEFT(L25,3)),BASE!$E$12:$F$23,1,0),IFERROR(VLOOKUP((LEFT(L25,2)),BASE!$E$12:$F$23,1,0),IFERROR(VLOOKUP((LEFT(L25,1)),BASE!$E$12:$F$23,1,0),100))))</f>
        <v>100</v>
      </c>
      <c r="C25" s="12">
        <f>IFERROR(VLOOKUP((LEFT(M25,4)),BASE!$E$12:$F$23,1,0),IFERROR(VLOOKUP((LEFT(M25,3)),BASE!$E$12:$F$23,1,0),IFERROR(VLOOKUP((LEFT(M25,2)),BASE!$E$12:$F$23,1,0),IFERROR(VLOOKUP((LEFT(M25,1)),BASE!$E$12:$F$23,1,0),100))))</f>
        <v>100</v>
      </c>
      <c r="D25" s="12">
        <f>IFERROR(VLOOKUP((LEFT(N25,4)),BASE!$E$12:$F$23,1,0),IFERROR(VLOOKUP((LEFT(N25,3)),BASE!$E$12:$F$23,1,0),IFERROR(VLOOKUP((LEFT(N25,2)),BASE!$E$12:$F$23,1,0),IFERROR(VLOOKUP((LEFT(N25,1)),BASE!$E$12:$F$23,1,0),100))))</f>
        <v>100</v>
      </c>
      <c r="E25" s="12">
        <f>IFERROR(VLOOKUP((LEFT(O25,4)),BASE!$E$12:$F$23,1,0),IFERROR(VLOOKUP((LEFT(O25,3)),BASE!$E$12:$F$23,1,0),IFERROR(VLOOKUP((LEFT(O25,2)),BASE!$E$12:$F$23,1,0),IFERROR(VLOOKUP((LEFT(O25,1)),BASE!$E$12:$F$23,1,0),100))))</f>
        <v>100</v>
      </c>
      <c r="F25" s="12">
        <f>IFERROR(VLOOKUP((LEFT(P25,4)),BASE!$E$12:$F$23,1,0),IFERROR(VLOOKUP((LEFT(P25,3)),BASE!$E$12:$F$23,1,0),IFERROR(VLOOKUP((LEFT(P25,2)),BASE!$E$12:$F$23,1,0),IFERROR(VLOOKUP((LEFT(P25,1)),BASE!$E$12:$F$23,1,0),100))))</f>
        <v>100</v>
      </c>
      <c r="G25" s="12">
        <f>IFERROR(VLOOKUP((LEFT(Q25,4)),BASE!$E$12:$F$23,1,0),IFERROR(VLOOKUP((LEFT(Q25,3)),BASE!$E$12:$F$23,1,0),IFERROR(VLOOKUP((LEFT(Q25,2)),BASE!$E$12:$F$23,1,0),IFERROR(VLOOKUP((LEFT(Q25,1)),BASE!$E$12:$F$23,1,0),100))))</f>
        <v>100</v>
      </c>
      <c r="H25" s="12">
        <f>IFERROR(VLOOKUP((LEFT(R25,4)),BASE!$E$12:$F$23,1,0),IFERROR(VLOOKUP((LEFT(R25,3)),BASE!$E$12:$F$23,1,0),IFERROR(VLOOKUP((LEFT(R25,2)),BASE!$E$12:$F$23,1,0),IFERROR(VLOOKUP((LEFT(R25,1)),BASE!$E$12:$F$23,1,0),100))))</f>
        <v>100</v>
      </c>
      <c r="I25" s="12" t="str">
        <f>IFERROR(VLOOKUP((LEFT(S25,4)),BASE!$E$12:$F$23,1,0),IFERROR(VLOOKUP((LEFT(S25,3)),BASE!$E$12:$F$23,1,0),IFERROR(VLOOKUP((LEFT(S25,2)),BASE!$E$12:$F$23,1,0),IFERROR(VLOOKUP((LEFT(S25,1)),BASE!$E$12:$F$23,1,0),100))))</f>
        <v>no</v>
      </c>
      <c r="J25" s="12" t="str">
        <f>IFERROR(VLOOKUP((LEFT(T25,4)),BASE!$E$12:$F$24,1,0),IFERROR(VLOOKUP((LEFT(T25,3)),BASE!$E$12:$F$24,1,0),IFERROR(VLOOKUP((LEFT(T25,2)),BASE!$E$12:$F$24,1,0),IFERROR(VLOOKUP((LEFT(T25,1)),BASE!$E$12:$F$24,1,0),100))))</f>
        <v>kk</v>
      </c>
      <c r="K25" s="12" t="str">
        <f>IFERROR(VLOOKUP((LEFT(U25,4)),BASE!$E$12:$F$23,1,0),IFERROR(VLOOKUP((LEFT(U25,3)),BASE!$E$12:$F$23,1,0),IFERROR(VLOOKUP((LEFT(U25,2)),BASE!$E$12:$F$23,1,0),IFERROR(VLOOKUP((LEFT(U25,1)),BASE!$E$12:$F$23,1,0),100))))</f>
        <v>kk</v>
      </c>
      <c r="L25" s="14" t="str">
        <f t="shared" si="0"/>
        <v/>
      </c>
      <c r="M25" s="14" t="str">
        <f t="shared" si="0"/>
        <v/>
      </c>
      <c r="N25" s="14" t="str">
        <f t="shared" si="0"/>
        <v/>
      </c>
      <c r="O25" s="14" t="str">
        <f t="shared" si="0"/>
        <v/>
      </c>
      <c r="P25" s="14" t="str">
        <f t="shared" si="0"/>
        <v/>
      </c>
      <c r="Q25" s="14" t="str">
        <f t="shared" si="0"/>
        <v/>
      </c>
      <c r="R25" s="14" t="str">
        <f t="shared" si="0"/>
        <v/>
      </c>
      <c r="S25" s="14" t="str">
        <f t="shared" si="0"/>
        <v>no</v>
      </c>
      <c r="T25" s="14" t="str">
        <f t="shared" si="0"/>
        <v>kkno</v>
      </c>
      <c r="U25" s="14" t="str">
        <f t="shared" si="1"/>
        <v>kkkkno</v>
      </c>
      <c r="V25" s="13">
        <f>IFERROR(VLOOKUP(LEFT(AZ25,2),BASE!$C$96:$E$342,3,0),IFERROR(VLOOKUP(LEFT(AZ25,1),BASE!$C$96:$E$342,3,0),100))</f>
        <v>100</v>
      </c>
      <c r="W25" s="13">
        <f>IFERROR(VLOOKUP(LEFT(BA25,2),BASE!$C$96:$E$342,3,0),IFERROR(VLOOKUP(LEFT(BA25,1),BASE!$C$96:$E$342,3,0),100))</f>
        <v>100</v>
      </c>
      <c r="X25" s="13">
        <f>IFERROR(VLOOKUP(LEFT(BB25,2),BASE!$C$96:$E$342,3,0),IFERROR(VLOOKUP(LEFT(BB25,1),BASE!$C$96:$E$342,3,0),100))</f>
        <v>100</v>
      </c>
      <c r="Y25" s="13">
        <f>IFERROR(VLOOKUP(LEFT(BC25,2),BASE!$C$96:$E$342,3,0),IFERROR(VLOOKUP(LEFT(BC25,1),BASE!$C$96:$E$342,3,0),100))</f>
        <v>100</v>
      </c>
      <c r="Z25" s="13">
        <f>IFERROR(VLOOKUP(LEFT(BD25,2),BASE!$C$96:$E$342,3,0),IFERROR(VLOOKUP(LEFT(BD25,1),BASE!$C$96:$E$342,3,0),100))</f>
        <v>2</v>
      </c>
      <c r="AA25" s="13">
        <f>IFERROR(VLOOKUP(LEFT(BE25,2),BASE!$C$96:$E$342,3,0),IFERROR(VLOOKUP(LEFT(BE25,1),BASE!$C$96:$E$342,3,0),100))</f>
        <v>2</v>
      </c>
      <c r="AB25" s="13">
        <f>IFERROR(VLOOKUP(LEFT(BF25,2),BASE!$C$96:$E$342,3,0),IFERROR(VLOOKUP(LEFT(BF25,1),BASE!$C$96:$E$342,3,0),100))</f>
        <v>2</v>
      </c>
      <c r="AC25" s="13">
        <f>IFERROR(VLOOKUP(LEFT(BG25,2),BASE!$C$96:$E$342,3,0),IFERROR(VLOOKUP(LEFT(BG25,1),BASE!$C$96:$E$342,3,0),100))</f>
        <v>2</v>
      </c>
      <c r="AD25" s="13">
        <f>IFERROR(VLOOKUP(LEFT(BH25,2),BASE!$C$96:$E$342,3,0),IFERROR(VLOOKUP(LEFT(BH25,1),BASE!$C$96:$E$342,3,0),100))</f>
        <v>2</v>
      </c>
      <c r="AE25" s="13">
        <f>IFERROR(VLOOKUP(LEFT(BI25,2),BASE!$C$96:$E$342,3,0),IFERROR(VLOOKUP(LEFT(BI25,1),BASE!$C$96:$E$342,3,0),100))</f>
        <v>1</v>
      </c>
      <c r="AF25" s="187" t="str">
        <f>IF(AND(BS25=BR25,AG25="o"),"A", (IFERROR(VLOOKUP(LEFT(AZ25,2),BASE!$C$346:$D$592,2,0),IFERROR(VLOOKUP(LEFT(AZ25,1),BASE!$C$346:$D$5922,2,0),AZ25))))</f>
        <v/>
      </c>
      <c r="AG25" s="187" t="str">
        <f>IF(AND(BR25=BQ25,AH25="o"),"A", (IFERROR(VLOOKUP(LEFT(BA25,2),BASE!$C$346:$D$592,2,0),IFERROR(VLOOKUP(LEFT(BA25,1),BASE!$C$346:$D$592,2,0),BA25))))</f>
        <v/>
      </c>
      <c r="AH25" s="187" t="str">
        <f>IF(AND(BQ25=BP25,AI25="o"),"A", (IFERROR(VLOOKUP(LEFT(BB25,2),BASE!$C$346:$D$592,2,0),IFERROR(VLOOKUP(LEFT(BB25,1),BASE!$C$346:$D$592,2,0),BB25))))</f>
        <v/>
      </c>
      <c r="AI25" s="187" t="str">
        <f>IF(AND(BP25=BO25,AJ25="o"),"A", (IFERROR(VLOOKUP(LEFT(BC25,2),BASE!$C$346:$D$592,2,0),IFERROR(VLOOKUP(LEFT(BC25,1),BASE!$C$346:$D$592,2,0),BC25))))</f>
        <v/>
      </c>
      <c r="AJ25" s="187" t="str">
        <f>IF(AND(BO25=BN25,AK25="o"),"A", (IFERROR(VLOOKUP(LEFT(BD25,2),BASE!$C$346:$D$592,2,0),IFERROR(VLOOKUP(LEFT(BD25,1),BASE!$C$346:$D$592,2,0),BD25))))</f>
        <v>o</v>
      </c>
      <c r="AK25" s="187" t="str">
        <f>IF(AND(BN25=BM25,AL25="o"),"A", (IFERROR(VLOOKUP(LEFT(BE25,2),BASE!$C$346:$D$592,2,0),IFERROR(VLOOKUP(LEFT(BE25,1),BASE!$C$346:$D$592,2,0),BE25))))</f>
        <v>n</v>
      </c>
      <c r="AL25" s="187" t="str">
        <f>IF(AND(BM25=BL25,AM25="o"),"A", (IFERROR(VLOOKUP(LEFT(BF25,2),BASE!$C$346:$D$592,2,0),IFERROR(VLOOKUP(LEFT(BF25,1),BASE!$C$346:$D$592,2,0),BF25))))</f>
        <v>k</v>
      </c>
      <c r="AM25" s="187" t="str">
        <f>IF(AND(BL25=BK25,AN25="o"),"A",(IFERROR(VLOOKUP(LEFT(BG25,2),BASE!$C$346:$D$592,2,0),IFERROR(VLOOKUP(LEFT(BG25,1),BASE!$C$346:$D$592,2,0),BG25))))</f>
        <v>k</v>
      </c>
      <c r="AN25" s="187" t="str">
        <f>(IFERROR(VLOOKUP(LEFT(BH25,2),BASE!$C$346:$D$592,2,0),IFERROR(VLOOKUP(LEFT(BH25,1),BASE!$C$346:$D$592,2,0),BH25)))</f>
        <v>k</v>
      </c>
      <c r="AO25" s="187" t="str">
        <f>(IFERROR(VLOOKUP(LEFT(BI25,2),BASE!$C$96:$D$342,2,0),IFERROR(VLOOKUP(LEFT(BI25,1),BASE!$C$96:$D$342,2,0),BI25)))</f>
        <v>k</v>
      </c>
      <c r="AP25" s="5">
        <f t="shared" si="2"/>
        <v>11</v>
      </c>
      <c r="AQ25" s="5">
        <f t="shared" si="2"/>
        <v>11</v>
      </c>
      <c r="AR25" s="5">
        <f t="shared" si="2"/>
        <v>11</v>
      </c>
      <c r="AS25" s="5">
        <f t="shared" si="2"/>
        <v>11</v>
      </c>
      <c r="AT25" s="5">
        <f t="shared" si="2"/>
        <v>11</v>
      </c>
      <c r="AU25" s="5">
        <f t="shared" si="2"/>
        <v>11</v>
      </c>
      <c r="AV25" s="5">
        <f t="shared" si="2"/>
        <v>11</v>
      </c>
      <c r="AW25" s="5">
        <f t="shared" si="2"/>
        <v>11</v>
      </c>
      <c r="AX25" s="5">
        <f t="shared" si="2"/>
        <v>11</v>
      </c>
      <c r="AY25" s="5">
        <f t="shared" si="3"/>
        <v>11</v>
      </c>
      <c r="AZ25" s="12" t="str">
        <f t="shared" si="4"/>
        <v/>
      </c>
      <c r="BA25" s="12" t="str">
        <f t="shared" si="4"/>
        <v/>
      </c>
      <c r="BB25" s="12" t="str">
        <f t="shared" si="4"/>
        <v/>
      </c>
      <c r="BC25" s="12" t="str">
        <f t="shared" si="4"/>
        <v/>
      </c>
      <c r="BD25" s="12" t="str">
        <f t="shared" si="4"/>
        <v>ர்</v>
      </c>
      <c r="BE25" s="12" t="str">
        <f t="shared" si="4"/>
        <v>யார்</v>
      </c>
      <c r="BF25" s="12" t="str">
        <f t="shared" si="4"/>
        <v>லையார்</v>
      </c>
      <c r="BG25" s="12" t="str">
        <f t="shared" si="4"/>
        <v>நிலையார்</v>
      </c>
      <c r="BH25" s="43" t="str">
        <f t="shared" si="4"/>
        <v>ரைநிலையார்</v>
      </c>
      <c r="BI25" s="57" t="str">
        <f>CE10</f>
        <v>வரைநிலையார்</v>
      </c>
      <c r="BJ25" s="58" t="str">
        <f>IFERROR(VLOOKUP(LEFT(BI25,2),BASE!$C$96:$F$342,1,0),IFERROR(VLOOKUP(LEFT(BI25,1),BASE!$C$96:$F$342,1,0),BI25))</f>
        <v>வ</v>
      </c>
      <c r="BK25" s="58" t="str">
        <f>IFERROR(VLOOKUP(LEFT(BH25,2),BASE!$C$96:$D$342,1,0),IFERROR(VLOOKUP(LEFT(BH25,1),BASE!$C$96:$D$342,1,0),BH25))</f>
        <v>ரை</v>
      </c>
      <c r="BL25" s="58" t="str">
        <f>IFERROR(VLOOKUP(LEFT(BG25,2),BASE!$C$96:$D$342,1,0),IFERROR(VLOOKUP(LEFT(BG25,1),BASE!$C$96:$D$342,1,0),BG25))</f>
        <v>நி</v>
      </c>
      <c r="BM25" s="58" t="str">
        <f>IFERROR(VLOOKUP(LEFT(BF25,2),BASE!$C$96:$D$342,1,0),IFERROR(VLOOKUP(LEFT(BF25,1),BASE!$C$96:$D$342,1,0),BF25))</f>
        <v>லை</v>
      </c>
      <c r="BN25" s="58" t="str">
        <f>IFERROR(VLOOKUP(LEFT(BE25,2),BASE!$C$96:$D$342,1,0),IFERROR(VLOOKUP(LEFT(BE25,1),BASE!$C$96:$D$342,1,0),BE25))</f>
        <v>யா</v>
      </c>
      <c r="BO25" s="58" t="str">
        <f>IFERROR(VLOOKUP(LEFT(BD25,2),BASE!$C$96:$D$342,1,0),IFERROR(VLOOKUP(LEFT(BD25,1),BASE!$C$96:$D$342,1,0),BD25))</f>
        <v>ர்</v>
      </c>
      <c r="BP25" s="58" t="str">
        <f>IFERROR(VLOOKUP(LEFT(BC25,2),BASE!$C$96:$D$342,1,0),IFERROR(VLOOKUP(LEFT(BC25,1),BASE!$C$96:$D$342,1,0),BC25))</f>
        <v/>
      </c>
      <c r="BQ25" s="58" t="str">
        <f>IFERROR(VLOOKUP(LEFT(BB25,2),BASE!$C$96:$D$342,1,0),IFERROR(VLOOKUP(LEFT(BB25,1),BASE!$C$96:$D$342,1,0),BB25))</f>
        <v/>
      </c>
      <c r="BR25" s="58" t="str">
        <f>IFERROR(VLOOKUP(LEFT(BA25,2),BASE!$C$96:$D$342,1,0),IFERROR(VLOOKUP(LEFT(BA25,1),BASE!$C$96:$D$342,1,0),BA25))</f>
        <v/>
      </c>
      <c r="BS25" s="58" t="str">
        <f>IFERROR(VLOOKUP(LEFT(AZ25,2),BASE!$C$96:$D$342,1,0),IFERROR(VLOOKUP(LEFT(AZ25,1),BASE!$C$96:$D$342,1,0),AZ25))</f>
        <v/>
      </c>
      <c r="BT25" s="186" t="str">
        <f>(IFERROR(VLOOKUP(LEFT(BI25,2),BASE!$C$96:$F$342,4,0),IFERROR(VLOOKUP(LEFT(BI25,1),BASE!$C$96:$F$342,4,0),BI25)))</f>
        <v>கு</v>
      </c>
      <c r="BU25" s="186" t="str">
        <f>(IFERROR(VLOOKUP(LEFT(BH25,2),BASE!$C$346:$F$592,4,0),IFERROR(VLOOKUP(LEFT(BH25,1),BASE!$C$346:$F$592,4,0),BH25)))</f>
        <v>கு</v>
      </c>
      <c r="BV25" s="186" t="str">
        <f>(IFERROR(VLOOKUP(LEFT(BG25,2),BASE!$C$346:$F$592,4,0),IFERROR(VLOOKUP(LEFT(BG25,1),BASE!$C$346:$F$592,4,0),BG25)))</f>
        <v>கு</v>
      </c>
      <c r="BW25" s="186" t="str">
        <f>(IFERROR(VLOOKUP(LEFT(BF25,2),BASE!$C$346:$F$592,4,0),IFERROR(VLOOKUP(LEFT(BF25,1),BASE!$C$346:$F$592,4,0),BF25)))</f>
        <v>கு</v>
      </c>
      <c r="BX25" s="186" t="str">
        <f>(IFERROR(VLOOKUP(LEFT(BE25,2),BASE!$C$346:$F$592,4,0),IFERROR(VLOOKUP(LEFT(BE25,1),BASE!$C$346:$F$592,4,0),BE25)))</f>
        <v>நெ</v>
      </c>
      <c r="BY25" s="186" t="str">
        <f>(IFERROR(VLOOKUP(LEFT(BD25,2),BASE!$C$346:$F$592,4,0),IFERROR(VLOOKUP(LEFT(BD25,1),BASE!$C$346:$F$592,4,0),BD25)))</f>
        <v>ஒ</v>
      </c>
      <c r="BZ25" s="186" t="str">
        <f>(IFERROR(VLOOKUP(LEFT(BC25,2),BASE!$C$346:$F$592,4,0),IFERROR(VLOOKUP(LEFT(BC25,1),BASE!$C$346:$F$592,4,0),BC25)))</f>
        <v/>
      </c>
      <c r="CA25" s="186" t="str">
        <f>(IFERROR(VLOOKUP(LEFT(BB25,2),BASE!$C$346:$F$592,4,0),IFERROR(VLOOKUP(LEFT(BB25,1),BASE!$C$346:$F$592,4,0),BB25)))</f>
        <v/>
      </c>
      <c r="CB25" s="186" t="str">
        <f>(IFERROR(VLOOKUP(LEFT(BA25,2),BASE!$C$346:$F$592,4,0),IFERROR(VLOOKUP(LEFT(BA25,1),BASE!$C$346:$F$592,4,0),BA25)))</f>
        <v/>
      </c>
      <c r="CC25" s="186" t="str">
        <f>(IFERROR(VLOOKUP(LEFT(AZ25,2),BASE!$C$346:$F$592,4,0),IFERROR(VLOOKUP(LEFT(AZ25,1),BASE!$C$346:$F$592,4,0),AZ25)))</f>
        <v/>
      </c>
      <c r="CD25" s="58" t="str">
        <f t="shared" si="5"/>
        <v>குகுகுகுநெஒ</v>
      </c>
      <c r="CE25" s="58" t="str">
        <f>IFERROR(VLOOKUP((LEFT(U25,4)),BASE!$E$12:$F$23,2,0),IFERROR(VLOOKUP((LEFT(U25,3)),BASE!$E$12:$F$23,2,0),IFERROR(VLOOKUP((LEFT(U25,2)),BASE!$E$12:$F$23,2,0),IFERROR(VLOOKUP((LEFT(U25,1)),BASE!$E$12:$F$23,2,0),U25))))</f>
        <v>நிரை</v>
      </c>
      <c r="CF25" s="58" t="str">
        <f>IFERROR(VLOOKUP((LEFT(T25,4)),BASE!$E$12:$F$24,2,0),IFERROR(VLOOKUP((LEFT(T25,3)),BASE!$E$12:$F$24,2,0),IFERROR(VLOOKUP((LEFT(T25,2)),BASE!$E$12:$F$24,2,0),IFERROR(VLOOKUP((LEFT(T25,1)),BASE!$E$12:$F$24,2,0),T25))))</f>
        <v>நிரை</v>
      </c>
      <c r="CG25" s="58" t="str">
        <f>IFERROR(VLOOKUP((LEFT(S25,4)),BASE!$E$12:$F$23,2,0),IFERROR(VLOOKUP((LEFT(S25,3)),BASE!$E$12:$F$23,2,0),IFERROR(VLOOKUP((LEFT(S25,2)),BASE!$E$12:$F$23,2,0),IFERROR(VLOOKUP((LEFT(S25,1)),BASE!$E$12:$F$23,2,0),S25))))</f>
        <v>நேர்</v>
      </c>
      <c r="CH25" s="58" t="str">
        <f>IFERROR(VLOOKUP((LEFT(R25,4)),BASE!$E$12:$F$23,2,0),IFERROR(VLOOKUP((LEFT(R25,3)),BASE!$E$12:$F$23,2,0),IFERROR(VLOOKUP((LEFT(R25,2)),BASE!$E$12:$F$23,2,0),IFERROR(VLOOKUP((LEFT(R25,1)),BASE!$E$12:$F$23,2,0),R25))))</f>
        <v/>
      </c>
      <c r="CI25" s="58" t="str">
        <f>IFERROR(VLOOKUP((LEFT(Q25,4)),BASE!$E$12:$F$23,2,0),IFERROR(VLOOKUP((LEFT(Q25,3)),BASE!$E$12:$F$23,2,0),IFERROR(VLOOKUP((LEFT(Q25,2)),BASE!$E$12:$F$23,2,0),IFERROR(VLOOKUP((LEFT(Q25,1)),BASE!$E$12:$F$23,2,0),Q25))))</f>
        <v/>
      </c>
      <c r="CJ25" s="58" t="str">
        <f>IFERROR(VLOOKUP((LEFT(P25,4)),BASE!$E$12:$F$23,2,0),IFERROR(VLOOKUP((LEFT(P25,3)),BASE!$E$12:$F$23,2,0),IFERROR(VLOOKUP((LEFT(P25,2)),BASE!$E$12:$F$23,2,0),IFERROR(VLOOKUP((LEFT(P25,1)),BASE!$E$12:$F$23,2,0),P25))))</f>
        <v/>
      </c>
      <c r="CK25" s="58" t="str">
        <f>IFERROR(VLOOKUP((LEFT(O25,4)),BASE!$E$12:$F$23,2,0),IFERROR(VLOOKUP((LEFT(O25,3)),BASE!$E$12:$F$23,2,0),IFERROR(VLOOKUP((LEFT(O25,2)),BASE!$E$12:$F$23,2,0),IFERROR(VLOOKUP((LEFT(O25,1)),BASE!$E$12:$F$23,2,0),O25))))</f>
        <v/>
      </c>
      <c r="CL25" s="58" t="str">
        <f>IFERROR(VLOOKUP((LEFT(N25,4)),BASE!$E$12:$F$23,2,0),IFERROR(VLOOKUP((LEFT(N25,3)),BASE!$E$12:$F$23,2,0),IFERROR(VLOOKUP((LEFT(N25,2)),BASE!$E$12:$F$23,2,0),IFERROR(VLOOKUP((LEFT(N25,1)),BASE!$E$12:$F$23,2,0),N25))))</f>
        <v/>
      </c>
      <c r="CM25" s="58" t="str">
        <f>IFERROR(VLOOKUP((LEFT(M25,4)),BASE!$E$12:$F$23,2,0),IFERROR(VLOOKUP((LEFT(M25,3)),BASE!$E$12:$F$23,2,0),IFERROR(VLOOKUP((LEFT(M25,2)),BASE!$E$12:$F$23,2,0),IFERROR(VLOOKUP((LEFT(M25,1)),BASE!$E$12:$F$23,2,0),M25))))</f>
        <v/>
      </c>
      <c r="CN25" s="58" t="str">
        <f>IFERROR(VLOOKUP((LEFT(L25,4)),BASE!$E$12:$F$23,2,0),IFERROR(VLOOKUP((LEFT(L25,3)),BASE!$E$12:$F$23,2,0),IFERROR(VLOOKUP((LEFT(L25,2)),BASE!$E$12:$F$23,2,0),IFERROR(VLOOKUP((LEFT(L25,1)),BASE!$E$12:$F$23,2,0),L25))))</f>
        <v/>
      </c>
      <c r="CO25" s="58" t="str">
        <f t="shared" si="6"/>
        <v>நிரைநிரைநேர்</v>
      </c>
      <c r="CP25" s="58" t="str">
        <f>VLOOKUP(CO25,BASE!$E$25:$F$79,2,0)</f>
        <v>கருவிளங்காய்</v>
      </c>
      <c r="CQ25" s="58" t="str">
        <f>VLOOKUP(CO25,BASE!$E$25:$G$79,3,0)&amp;CE26</f>
        <v>காய்நேர்</v>
      </c>
      <c r="CR25" s="58" t="str">
        <f>VLOOKUP(CQ25,BASE!$E$86:$G$93,2,0)</f>
        <v>காய் முன் நேர்</v>
      </c>
      <c r="CS25" s="58" t="str">
        <f>VLOOKUP(CQ25,BASE!$E$86:$G$93,3,0)</f>
        <v>வெண்சீர் வெண்டளை</v>
      </c>
      <c r="CT25" s="58" t="str">
        <f t="shared" si="7"/>
        <v>மூவசைக்கு மிகவில்லை</v>
      </c>
      <c r="CU25" s="59" t="str">
        <f t="shared" si="8"/>
        <v>சரி</v>
      </c>
      <c r="DQ25" s="82"/>
    </row>
    <row r="26" spans="1:121" ht="19.5" customHeight="1" x14ac:dyDescent="0.35">
      <c r="A26" s="119"/>
      <c r="B26" s="12">
        <f>IFERROR(VLOOKUP((LEFT(L26,4)),BASE!$E$12:$F$23,1,0),IFERROR(VLOOKUP((LEFT(L26,3)),BASE!$E$12:$F$23,1,0),IFERROR(VLOOKUP((LEFT(L26,2)),BASE!$E$12:$F$23,1,0),IFERROR(VLOOKUP((LEFT(L26,1)),BASE!$E$12:$F$23,1,0),100))))</f>
        <v>100</v>
      </c>
      <c r="C26" s="12">
        <f>IFERROR(VLOOKUP((LEFT(M26,4)),BASE!$E$12:$F$23,1,0),IFERROR(VLOOKUP((LEFT(M26,3)),BASE!$E$12:$F$23,1,0),IFERROR(VLOOKUP((LEFT(M26,2)),BASE!$E$12:$F$23,1,0),IFERROR(VLOOKUP((LEFT(M26,1)),BASE!$E$12:$F$23,1,0),100))))</f>
        <v>100</v>
      </c>
      <c r="D26" s="12">
        <f>IFERROR(VLOOKUP((LEFT(N26,4)),BASE!$E$12:$F$23,1,0),IFERROR(VLOOKUP((LEFT(N26,3)),BASE!$E$12:$F$23,1,0),IFERROR(VLOOKUP((LEFT(N26,2)),BASE!$E$12:$F$23,1,0),IFERROR(VLOOKUP((LEFT(N26,1)),BASE!$E$12:$F$23,1,0),100))))</f>
        <v>100</v>
      </c>
      <c r="E26" s="12">
        <f>IFERROR(VLOOKUP((LEFT(O26,4)),BASE!$E$12:$F$23,1,0),IFERROR(VLOOKUP((LEFT(O26,3)),BASE!$E$12:$F$23,1,0),IFERROR(VLOOKUP((LEFT(O26,2)),BASE!$E$12:$F$23,1,0),IFERROR(VLOOKUP((LEFT(O26,1)),BASE!$E$12:$F$23,1,0),100))))</f>
        <v>100</v>
      </c>
      <c r="F26" s="12">
        <f>IFERROR(VLOOKUP((LEFT(P26,4)),BASE!$E$12:$F$23,1,0),IFERROR(VLOOKUP((LEFT(P26,3)),BASE!$E$12:$F$23,1,0),IFERROR(VLOOKUP((LEFT(P26,2)),BASE!$E$12:$F$23,1,0),IFERROR(VLOOKUP((LEFT(P26,1)),BASE!$E$12:$F$23,1,0),100))))</f>
        <v>100</v>
      </c>
      <c r="G26" s="12">
        <f>IFERROR(VLOOKUP((LEFT(Q26,4)),BASE!$E$12:$F$23,1,0),IFERROR(VLOOKUP((LEFT(Q26,3)),BASE!$E$12:$F$23,1,0),IFERROR(VLOOKUP((LEFT(Q26,2)),BASE!$E$12:$F$23,1,0),IFERROR(VLOOKUP((LEFT(Q26,1)),BASE!$E$12:$F$23,1,0),100))))</f>
        <v>100</v>
      </c>
      <c r="H26" s="12">
        <f>IFERROR(VLOOKUP((LEFT(R26,4)),BASE!$E$12:$F$23,1,0),IFERROR(VLOOKUP((LEFT(R26,3)),BASE!$E$12:$F$23,1,0),IFERROR(VLOOKUP((LEFT(R26,2)),BASE!$E$12:$F$23,1,0),IFERROR(VLOOKUP((LEFT(R26,1)),BASE!$E$12:$F$23,1,0),100))))</f>
        <v>100</v>
      </c>
      <c r="I26" s="12" t="str">
        <f>IFERROR(VLOOKUP((LEFT(S26,4)),BASE!$E$12:$F$23,1,0),IFERROR(VLOOKUP((LEFT(S26,3)),BASE!$E$12:$F$23,1,0),IFERROR(VLOOKUP((LEFT(S26,2)),BASE!$E$12:$F$23,1,0),IFERROR(VLOOKUP((LEFT(S26,1)),BASE!$E$12:$F$23,1,0),100))))</f>
        <v>ko</v>
      </c>
      <c r="J26" s="12" t="str">
        <f>IFERROR(VLOOKUP((LEFT(T26,4)),BASE!$E$12:$F$24,1,0),IFERROR(VLOOKUP((LEFT(T26,3)),BASE!$E$12:$F$24,1,0),IFERROR(VLOOKUP((LEFT(T26,2)),BASE!$E$12:$F$24,1,0),IFERROR(VLOOKUP((LEFT(T26,1)),BASE!$E$12:$F$24,1,0),100))))</f>
        <v>n</v>
      </c>
      <c r="K26" s="12" t="str">
        <f>IFERROR(VLOOKUP((LEFT(U26,4)),BASE!$E$12:$F$23,1,0),IFERROR(VLOOKUP((LEFT(U26,3)),BASE!$E$12:$F$23,1,0),IFERROR(VLOOKUP((LEFT(U26,2)),BASE!$E$12:$F$23,1,0),IFERROR(VLOOKUP((LEFT(U26,1)),BASE!$E$12:$F$23,1,0),100))))</f>
        <v>noo</v>
      </c>
      <c r="L26" s="14" t="str">
        <f t="shared" si="0"/>
        <v/>
      </c>
      <c r="M26" s="14" t="str">
        <f t="shared" si="0"/>
        <v/>
      </c>
      <c r="N26" s="14" t="str">
        <f t="shared" si="0"/>
        <v/>
      </c>
      <c r="O26" s="14" t="str">
        <f t="shared" si="0"/>
        <v/>
      </c>
      <c r="P26" s="14" t="str">
        <f t="shared" si="0"/>
        <v/>
      </c>
      <c r="Q26" s="14" t="str">
        <f t="shared" si="0"/>
        <v/>
      </c>
      <c r="R26" s="14" t="str">
        <f t="shared" si="0"/>
        <v/>
      </c>
      <c r="S26" s="14" t="str">
        <f t="shared" si="0"/>
        <v>ko</v>
      </c>
      <c r="T26" s="14" t="str">
        <f t="shared" si="0"/>
        <v>nko</v>
      </c>
      <c r="U26" s="14" t="str">
        <f t="shared" si="1"/>
        <v>noonko</v>
      </c>
      <c r="V26" s="13">
        <f>IFERROR(VLOOKUP(LEFT(AZ26,2),BASE!$C$96:$E$342,3,0),IFERROR(VLOOKUP(LEFT(AZ26,1),BASE!$C$96:$E$342,3,0),100))</f>
        <v>100</v>
      </c>
      <c r="W26" s="13">
        <f>IFERROR(VLOOKUP(LEFT(BA26,2),BASE!$C$96:$E$342,3,0),IFERROR(VLOOKUP(LEFT(BA26,1),BASE!$C$96:$E$342,3,0),100))</f>
        <v>100</v>
      </c>
      <c r="X26" s="13">
        <f>IFERROR(VLOOKUP(LEFT(BB26,2),BASE!$C$96:$E$342,3,0),IFERROR(VLOOKUP(LEFT(BB26,1),BASE!$C$96:$E$342,3,0),100))</f>
        <v>100</v>
      </c>
      <c r="Y26" s="13">
        <f>IFERROR(VLOOKUP(LEFT(BC26,2),BASE!$C$96:$E$342,3,0),IFERROR(VLOOKUP(LEFT(BC26,1),BASE!$C$96:$E$342,3,0),100))</f>
        <v>100</v>
      </c>
      <c r="Z26" s="13">
        <f>IFERROR(VLOOKUP(LEFT(BD26,2),BASE!$C$96:$E$342,3,0),IFERROR(VLOOKUP(LEFT(BD26,1),BASE!$C$96:$E$342,3,0),100))</f>
        <v>2</v>
      </c>
      <c r="AA26" s="13">
        <f>IFERROR(VLOOKUP(LEFT(BE26,2),BASE!$C$96:$E$342,3,0),IFERROR(VLOOKUP(LEFT(BE26,1),BASE!$C$96:$E$342,3,0),100))</f>
        <v>2</v>
      </c>
      <c r="AB26" s="13">
        <f>IFERROR(VLOOKUP(LEFT(BF26,2),BASE!$C$96:$E$342,3,0),IFERROR(VLOOKUP(LEFT(BF26,1),BASE!$C$96:$E$342,3,0),100))</f>
        <v>2</v>
      </c>
      <c r="AC26" s="13">
        <f>IFERROR(VLOOKUP(LEFT(BG26,2),BASE!$C$96:$E$342,3,0),IFERROR(VLOOKUP(LEFT(BG26,1),BASE!$C$96:$E$342,3,0),100))</f>
        <v>2</v>
      </c>
      <c r="AD26" s="13">
        <f>IFERROR(VLOOKUP(LEFT(BH26,2),BASE!$C$96:$E$342,3,0),IFERROR(VLOOKUP(LEFT(BH26,1),BASE!$C$96:$E$342,3,0),100))</f>
        <v>2</v>
      </c>
      <c r="AE26" s="13">
        <f>IFERROR(VLOOKUP(LEFT(BI26,2),BASE!$C$96:$E$342,3,0),IFERROR(VLOOKUP(LEFT(BI26,1),BASE!$C$96:$E$342,3,0),100))</f>
        <v>2</v>
      </c>
      <c r="AF26" s="187" t="str">
        <f>IF(AND(BS26=BR26,AG26="o"),"A", (IFERROR(VLOOKUP(LEFT(AZ26,2),BASE!$C$346:$D$592,2,0),IFERROR(VLOOKUP(LEFT(AZ26,1),BASE!$C$346:$D$5922,2,0),AZ26))))</f>
        <v/>
      </c>
      <c r="AG26" s="187" t="str">
        <f>IF(AND(BR26=BQ26,AH26="o"),"A", (IFERROR(VLOOKUP(LEFT(BA26,2),BASE!$C$346:$D$592,2,0),IFERROR(VLOOKUP(LEFT(BA26,1),BASE!$C$346:$D$592,2,0),BA26))))</f>
        <v/>
      </c>
      <c r="AH26" s="187" t="str">
        <f>IF(AND(BQ26=BP26,AI26="o"),"A", (IFERROR(VLOOKUP(LEFT(BB26,2),BASE!$C$346:$D$592,2,0),IFERROR(VLOOKUP(LEFT(BB26,1),BASE!$C$346:$D$592,2,0),BB26))))</f>
        <v/>
      </c>
      <c r="AI26" s="187" t="str">
        <f>IF(AND(BP26=BO26,AJ26="o"),"A", (IFERROR(VLOOKUP(LEFT(BC26,2),BASE!$C$346:$D$592,2,0),IFERROR(VLOOKUP(LEFT(BC26,1),BASE!$C$346:$D$592,2,0),BC26))))</f>
        <v/>
      </c>
      <c r="AJ26" s="187" t="str">
        <f>IF(AND(BO26=BN26,AK26="o"),"A", (IFERROR(VLOOKUP(LEFT(BD26,2),BASE!$C$346:$D$592,2,0),IFERROR(VLOOKUP(LEFT(BD26,1),BASE!$C$346:$D$592,2,0),BD26))))</f>
        <v>o</v>
      </c>
      <c r="AK26" s="187" t="str">
        <f>IF(AND(BN26=BM26,AL26="o"),"A", (IFERROR(VLOOKUP(LEFT(BE26,2),BASE!$C$346:$D$592,2,0),IFERROR(VLOOKUP(LEFT(BE26,1),BASE!$C$346:$D$592,2,0),BE26))))</f>
        <v>k</v>
      </c>
      <c r="AL26" s="187" t="str">
        <f>IF(AND(BM26=BL26,AM26="o"),"A", (IFERROR(VLOOKUP(LEFT(BF26,2),BASE!$C$346:$D$592,2,0),IFERROR(VLOOKUP(LEFT(BF26,1),BASE!$C$346:$D$592,2,0),BF26))))</f>
        <v>n</v>
      </c>
      <c r="AM26" s="187" t="str">
        <f>IF(AND(BL26=BK26,AN26="o"),"A",(IFERROR(VLOOKUP(LEFT(BG26,2),BASE!$C$346:$D$592,2,0),IFERROR(VLOOKUP(LEFT(BG26,1),BASE!$C$346:$D$592,2,0),BG26))))</f>
        <v>o</v>
      </c>
      <c r="AN26" s="187" t="str">
        <f>(IFERROR(VLOOKUP(LEFT(BH26,2),BASE!$C$346:$D$592,2,0),IFERROR(VLOOKUP(LEFT(BH26,1),BASE!$C$346:$D$592,2,0),BH26)))</f>
        <v>o</v>
      </c>
      <c r="AO26" s="187" t="str">
        <f>(IFERROR(VLOOKUP(LEFT(BI26,2),BASE!$C$96:$D$342,2,0),IFERROR(VLOOKUP(LEFT(BI26,1),BASE!$C$96:$D$342,2,0),BI26)))</f>
        <v>n</v>
      </c>
      <c r="AP26" s="5">
        <f t="shared" si="2"/>
        <v>12</v>
      </c>
      <c r="AQ26" s="5">
        <f t="shared" si="2"/>
        <v>12</v>
      </c>
      <c r="AR26" s="5">
        <f t="shared" si="2"/>
        <v>12</v>
      </c>
      <c r="AS26" s="5">
        <f t="shared" si="2"/>
        <v>12</v>
      </c>
      <c r="AT26" s="5">
        <f t="shared" si="2"/>
        <v>12</v>
      </c>
      <c r="AU26" s="5">
        <f t="shared" si="2"/>
        <v>12</v>
      </c>
      <c r="AV26" s="5">
        <f t="shared" si="2"/>
        <v>12</v>
      </c>
      <c r="AW26" s="5">
        <f t="shared" si="2"/>
        <v>12</v>
      </c>
      <c r="AX26" s="5">
        <f t="shared" si="2"/>
        <v>12</v>
      </c>
      <c r="AY26" s="5">
        <f t="shared" si="3"/>
        <v>12</v>
      </c>
      <c r="AZ26" s="12" t="str">
        <f t="shared" si="4"/>
        <v/>
      </c>
      <c r="BA26" s="12" t="str">
        <f t="shared" si="4"/>
        <v/>
      </c>
      <c r="BB26" s="12" t="str">
        <f t="shared" si="4"/>
        <v/>
      </c>
      <c r="BC26" s="12" t="str">
        <f t="shared" si="4"/>
        <v/>
      </c>
      <c r="BD26" s="12" t="str">
        <f t="shared" si="4"/>
        <v>ன்</v>
      </c>
      <c r="BE26" s="12" t="str">
        <f t="shared" si="4"/>
        <v>லென்</v>
      </c>
      <c r="BF26" s="12" t="str">
        <f t="shared" si="4"/>
        <v>தாலென்</v>
      </c>
      <c r="BG26" s="12" t="str">
        <f t="shared" si="4"/>
        <v>ந்தாலென்</v>
      </c>
      <c r="BH26" s="43" t="str">
        <f t="shared" si="4"/>
        <v>ய்ந்தாலென்</v>
      </c>
      <c r="BI26" s="57" t="str">
        <f>CF10</f>
        <v>காய்ந்தாலென்</v>
      </c>
      <c r="BJ26" s="58" t="str">
        <f>IFERROR(VLOOKUP(LEFT(BI26,2),BASE!$C$96:$F$342,1,0),IFERROR(VLOOKUP(LEFT(BI26,1),BASE!$C$96:$F$342,1,0),BI26))</f>
        <v>கா</v>
      </c>
      <c r="BK26" s="58" t="str">
        <f>IFERROR(VLOOKUP(LEFT(BH26,2),BASE!$C$96:$D$342,1,0),IFERROR(VLOOKUP(LEFT(BH26,1),BASE!$C$96:$D$342,1,0),BH26))</f>
        <v>ய்</v>
      </c>
      <c r="BL26" s="58" t="str">
        <f>IFERROR(VLOOKUP(LEFT(BG26,2),BASE!$C$96:$D$342,1,0),IFERROR(VLOOKUP(LEFT(BG26,1),BASE!$C$96:$D$342,1,0),BG26))</f>
        <v>ந்</v>
      </c>
      <c r="BM26" s="58" t="str">
        <f>IFERROR(VLOOKUP(LEFT(BF26,2),BASE!$C$96:$D$342,1,0),IFERROR(VLOOKUP(LEFT(BF26,1),BASE!$C$96:$D$342,1,0),BF26))</f>
        <v>தா</v>
      </c>
      <c r="BN26" s="58" t="str">
        <f>IFERROR(VLOOKUP(LEFT(BE26,2),BASE!$C$96:$D$342,1,0),IFERROR(VLOOKUP(LEFT(BE26,1),BASE!$C$96:$D$342,1,0),BE26))</f>
        <v>லெ</v>
      </c>
      <c r="BO26" s="58" t="str">
        <f>IFERROR(VLOOKUP(LEFT(BD26,2),BASE!$C$96:$D$342,1,0),IFERROR(VLOOKUP(LEFT(BD26,1),BASE!$C$96:$D$342,1,0),BD26))</f>
        <v>ன்</v>
      </c>
      <c r="BP26" s="58" t="str">
        <f>IFERROR(VLOOKUP(LEFT(BC26,2),BASE!$C$96:$D$342,1,0),IFERROR(VLOOKUP(LEFT(BC26,1),BASE!$C$96:$D$342,1,0),BC26))</f>
        <v/>
      </c>
      <c r="BQ26" s="58" t="str">
        <f>IFERROR(VLOOKUP(LEFT(BB26,2),BASE!$C$96:$D$342,1,0),IFERROR(VLOOKUP(LEFT(BB26,1),BASE!$C$96:$D$342,1,0),BB26))</f>
        <v/>
      </c>
      <c r="BR26" s="58" t="str">
        <f>IFERROR(VLOOKUP(LEFT(BA26,2),BASE!$C$96:$D$342,1,0),IFERROR(VLOOKUP(LEFT(BA26,1),BASE!$C$96:$D$342,1,0),BA26))</f>
        <v/>
      </c>
      <c r="BS26" s="58" t="str">
        <f>IFERROR(VLOOKUP(LEFT(AZ26,2),BASE!$C$96:$D$342,1,0),IFERROR(VLOOKUP(LEFT(AZ26,1),BASE!$C$96:$D$342,1,0),AZ26))</f>
        <v/>
      </c>
      <c r="BT26" s="186" t="str">
        <f>(IFERROR(VLOOKUP(LEFT(BI26,2),BASE!$C$96:$F$342,4,0),IFERROR(VLOOKUP(LEFT(BI26,1),BASE!$C$96:$F$342,4,0),BI26)))</f>
        <v>நெ</v>
      </c>
      <c r="BU26" s="186" t="str">
        <f>(IFERROR(VLOOKUP(LEFT(BH26,2),BASE!$C$346:$F$592,4,0),IFERROR(VLOOKUP(LEFT(BH26,1),BASE!$C$346:$F$592,4,0),BH26)))</f>
        <v>ஒ</v>
      </c>
      <c r="BV26" s="186" t="str">
        <f>(IFERROR(VLOOKUP(LEFT(BG26,2),BASE!$C$346:$F$592,4,0),IFERROR(VLOOKUP(LEFT(BG26,1),BASE!$C$346:$F$592,4,0),BG26)))</f>
        <v>ஒ</v>
      </c>
      <c r="BW26" s="186" t="str">
        <f>(IFERROR(VLOOKUP(LEFT(BF26,2),BASE!$C$346:$F$592,4,0),IFERROR(VLOOKUP(LEFT(BF26,1),BASE!$C$346:$F$592,4,0),BF26)))</f>
        <v>நெ</v>
      </c>
      <c r="BX26" s="186" t="str">
        <f>(IFERROR(VLOOKUP(LEFT(BE26,2),BASE!$C$346:$F$592,4,0),IFERROR(VLOOKUP(LEFT(BE26,1),BASE!$C$346:$F$592,4,0),BE26)))</f>
        <v>கு</v>
      </c>
      <c r="BY26" s="186" t="str">
        <f>(IFERROR(VLOOKUP(LEFT(BD26,2),BASE!$C$346:$F$592,4,0),IFERROR(VLOOKUP(LEFT(BD26,1),BASE!$C$346:$F$592,4,0),BD26)))</f>
        <v>ஒ</v>
      </c>
      <c r="BZ26" s="186" t="str">
        <f>(IFERROR(VLOOKUP(LEFT(BC26,2),BASE!$C$346:$F$592,4,0),IFERROR(VLOOKUP(LEFT(BC26,1),BASE!$C$346:$F$592,4,0),BC26)))</f>
        <v/>
      </c>
      <c r="CA26" s="186" t="str">
        <f>(IFERROR(VLOOKUP(LEFT(BB26,2),BASE!$C$346:$F$592,4,0),IFERROR(VLOOKUP(LEFT(BB26,1),BASE!$C$346:$F$592,4,0),BB26)))</f>
        <v/>
      </c>
      <c r="CB26" s="186" t="str">
        <f>(IFERROR(VLOOKUP(LEFT(BA26,2),BASE!$C$346:$F$592,4,0),IFERROR(VLOOKUP(LEFT(BA26,1),BASE!$C$346:$F$592,4,0),BA26)))</f>
        <v/>
      </c>
      <c r="CC26" s="186" t="str">
        <f>(IFERROR(VLOOKUP(LEFT(AZ26,2),BASE!$C$346:$F$592,4,0),IFERROR(VLOOKUP(LEFT(AZ26,1),BASE!$C$346:$F$592,4,0),AZ26)))</f>
        <v/>
      </c>
      <c r="CD26" s="58" t="str">
        <f t="shared" si="5"/>
        <v>நெஒஒநெகுஒ</v>
      </c>
      <c r="CE26" s="58" t="str">
        <f>IFERROR(VLOOKUP((LEFT(U26,4)),BASE!$E$12:$F$23,2,0),IFERROR(VLOOKUP((LEFT(U26,3)),BASE!$E$12:$F$23,2,0),IFERROR(VLOOKUP((LEFT(U26,2)),BASE!$E$12:$F$23,2,0),IFERROR(VLOOKUP((LEFT(U26,1)),BASE!$E$12:$F$23,2,0),U26))))</f>
        <v>நேர்</v>
      </c>
      <c r="CF26" s="58" t="str">
        <f>IFERROR(VLOOKUP((LEFT(T26,4)),BASE!$E$12:$F$24,2,0),IFERROR(VLOOKUP((LEFT(T26,3)),BASE!$E$12:$F$24,2,0),IFERROR(VLOOKUP((LEFT(T26,2)),BASE!$E$12:$F$24,2,0),IFERROR(VLOOKUP((LEFT(T26,1)),BASE!$E$12:$F$24,2,0),T26))))</f>
        <v>நேர்</v>
      </c>
      <c r="CG26" s="58" t="str">
        <f>IFERROR(VLOOKUP((LEFT(S26,4)),BASE!$E$12:$F$23,2,0),IFERROR(VLOOKUP((LEFT(S26,3)),BASE!$E$12:$F$23,2,0),IFERROR(VLOOKUP((LEFT(S26,2)),BASE!$E$12:$F$23,2,0),IFERROR(VLOOKUP((LEFT(S26,1)),BASE!$E$12:$F$23,2,0),S26))))</f>
        <v>நேர்</v>
      </c>
      <c r="CH26" s="58" t="str">
        <f>IFERROR(VLOOKUP((LEFT(R26,4)),BASE!$E$12:$F$23,2,0),IFERROR(VLOOKUP((LEFT(R26,3)),BASE!$E$12:$F$23,2,0),IFERROR(VLOOKUP((LEFT(R26,2)),BASE!$E$12:$F$23,2,0),IFERROR(VLOOKUP((LEFT(R26,1)),BASE!$E$12:$F$23,2,0),R26))))</f>
        <v/>
      </c>
      <c r="CI26" s="58" t="str">
        <f>IFERROR(VLOOKUP((LEFT(Q26,4)),BASE!$E$12:$F$23,2,0),IFERROR(VLOOKUP((LEFT(Q26,3)),BASE!$E$12:$F$23,2,0),IFERROR(VLOOKUP((LEFT(Q26,2)),BASE!$E$12:$F$23,2,0),IFERROR(VLOOKUP((LEFT(Q26,1)),BASE!$E$12:$F$23,2,0),Q26))))</f>
        <v/>
      </c>
      <c r="CJ26" s="58" t="str">
        <f>IFERROR(VLOOKUP((LEFT(P26,4)),BASE!$E$12:$F$23,2,0),IFERROR(VLOOKUP((LEFT(P26,3)),BASE!$E$12:$F$23,2,0),IFERROR(VLOOKUP((LEFT(P26,2)),BASE!$E$12:$F$23,2,0),IFERROR(VLOOKUP((LEFT(P26,1)),BASE!$E$12:$F$23,2,0),P26))))</f>
        <v/>
      </c>
      <c r="CK26" s="58" t="str">
        <f>IFERROR(VLOOKUP((LEFT(O26,4)),BASE!$E$12:$F$23,2,0),IFERROR(VLOOKUP((LEFT(O26,3)),BASE!$E$12:$F$23,2,0),IFERROR(VLOOKUP((LEFT(O26,2)),BASE!$E$12:$F$23,2,0),IFERROR(VLOOKUP((LEFT(O26,1)),BASE!$E$12:$F$23,2,0),O26))))</f>
        <v/>
      </c>
      <c r="CL26" s="58" t="str">
        <f>IFERROR(VLOOKUP((LEFT(N26,4)),BASE!$E$12:$F$23,2,0),IFERROR(VLOOKUP((LEFT(N26,3)),BASE!$E$12:$F$23,2,0),IFERROR(VLOOKUP((LEFT(N26,2)),BASE!$E$12:$F$23,2,0),IFERROR(VLOOKUP((LEFT(N26,1)),BASE!$E$12:$F$23,2,0),N26))))</f>
        <v/>
      </c>
      <c r="CM26" s="58" t="str">
        <f>IFERROR(VLOOKUP((LEFT(M26,4)),BASE!$E$12:$F$23,2,0),IFERROR(VLOOKUP((LEFT(M26,3)),BASE!$E$12:$F$23,2,0),IFERROR(VLOOKUP((LEFT(M26,2)),BASE!$E$12:$F$23,2,0),IFERROR(VLOOKUP((LEFT(M26,1)),BASE!$E$12:$F$23,2,0),M26))))</f>
        <v/>
      </c>
      <c r="CN26" s="58" t="str">
        <f>IFERROR(VLOOKUP((LEFT(L26,4)),BASE!$E$12:$F$23,2,0),IFERROR(VLOOKUP((LEFT(L26,3)),BASE!$E$12:$F$23,2,0),IFERROR(VLOOKUP((LEFT(L26,2)),BASE!$E$12:$F$23,2,0),IFERROR(VLOOKUP((LEFT(L26,1)),BASE!$E$12:$F$23,2,0),L26))))</f>
        <v/>
      </c>
      <c r="CO26" s="58" t="str">
        <f t="shared" si="6"/>
        <v>நேர்நேர்நேர்</v>
      </c>
      <c r="CP26" s="58" t="str">
        <f>VLOOKUP(CO26,BASE!$E$25:$F$79,2,0)</f>
        <v>தேமாங்காய்</v>
      </c>
      <c r="CQ26" s="58" t="str">
        <f>VLOOKUP(CO26,BASE!$E$25:$G$79,3,0)&amp;CE27</f>
        <v>காய்நேர்</v>
      </c>
      <c r="CR26" s="58" t="str">
        <f>VLOOKUP(CQ26,BASE!$E$86:$G$93,2,0)</f>
        <v>காய் முன் நேர்</v>
      </c>
      <c r="CS26" s="58" t="str">
        <f>VLOOKUP(CQ26,BASE!$E$86:$G$93,3,0)</f>
        <v>வெண்சீர் வெண்டளை</v>
      </c>
      <c r="CT26" s="58" t="str">
        <f t="shared" si="7"/>
        <v>மூவசைக்கு மிகவில்லை</v>
      </c>
      <c r="CU26" s="59" t="str">
        <f t="shared" si="8"/>
        <v>சரி</v>
      </c>
      <c r="DQ26" s="82"/>
    </row>
    <row r="27" spans="1:121" ht="19.5" customHeight="1" x14ac:dyDescent="0.35">
      <c r="A27" s="119"/>
      <c r="B27" s="12">
        <f>IFERROR(VLOOKUP((LEFT(L27,4)),BASE!$E$12:$F$23,1,0),IFERROR(VLOOKUP((LEFT(L27,3)),BASE!$E$12:$F$23,1,0),IFERROR(VLOOKUP((LEFT(L27,2)),BASE!$E$12:$F$23,1,0),IFERROR(VLOOKUP((LEFT(L27,1)),BASE!$E$12:$F$23,1,0),100))))</f>
        <v>100</v>
      </c>
      <c r="C27" s="12">
        <f>IFERROR(VLOOKUP((LEFT(M27,4)),BASE!$E$12:$F$23,1,0),IFERROR(VLOOKUP((LEFT(M27,3)),BASE!$E$12:$F$23,1,0),IFERROR(VLOOKUP((LEFT(M27,2)),BASE!$E$12:$F$23,1,0),IFERROR(VLOOKUP((LEFT(M27,1)),BASE!$E$12:$F$23,1,0),100))))</f>
        <v>100</v>
      </c>
      <c r="D27" s="12">
        <f>IFERROR(VLOOKUP((LEFT(N27,4)),BASE!$E$12:$F$23,1,0),IFERROR(VLOOKUP((LEFT(N27,3)),BASE!$E$12:$F$23,1,0),IFERROR(VLOOKUP((LEFT(N27,2)),BASE!$E$12:$F$23,1,0),IFERROR(VLOOKUP((LEFT(N27,1)),BASE!$E$12:$F$23,1,0),100))))</f>
        <v>100</v>
      </c>
      <c r="E27" s="12">
        <f>IFERROR(VLOOKUP((LEFT(O27,4)),BASE!$E$12:$F$23,1,0),IFERROR(VLOOKUP((LEFT(O27,3)),BASE!$E$12:$F$23,1,0),IFERROR(VLOOKUP((LEFT(O27,2)),BASE!$E$12:$F$23,1,0),IFERROR(VLOOKUP((LEFT(O27,1)),BASE!$E$12:$F$23,1,0),100))))</f>
        <v>100</v>
      </c>
      <c r="F27" s="12">
        <f>IFERROR(VLOOKUP((LEFT(P27,4)),BASE!$E$12:$F$23,1,0),IFERROR(VLOOKUP((LEFT(P27,3)),BASE!$E$12:$F$23,1,0),IFERROR(VLOOKUP((LEFT(P27,2)),BASE!$E$12:$F$23,1,0),IFERROR(VLOOKUP((LEFT(P27,1)),BASE!$E$12:$F$23,1,0),100))))</f>
        <v>100</v>
      </c>
      <c r="G27" s="12">
        <f>IFERROR(VLOOKUP((LEFT(Q27,4)),BASE!$E$12:$F$23,1,0),IFERROR(VLOOKUP((LEFT(Q27,3)),BASE!$E$12:$F$23,1,0),IFERROR(VLOOKUP((LEFT(Q27,2)),BASE!$E$12:$F$23,1,0),IFERROR(VLOOKUP((LEFT(Q27,1)),BASE!$E$12:$F$23,1,0),100))))</f>
        <v>100</v>
      </c>
      <c r="H27" s="12">
        <f>IFERROR(VLOOKUP((LEFT(R27,4)),BASE!$E$12:$F$23,1,0),IFERROR(VLOOKUP((LEFT(R27,3)),BASE!$E$12:$F$23,1,0),IFERROR(VLOOKUP((LEFT(R27,2)),BASE!$E$12:$F$23,1,0),IFERROR(VLOOKUP((LEFT(R27,1)),BASE!$E$12:$F$23,1,0),100))))</f>
        <v>100</v>
      </c>
      <c r="I27" s="12">
        <f>IFERROR(VLOOKUP((LEFT(S27,4)),BASE!$E$12:$F$23,1,0),IFERROR(VLOOKUP((LEFT(S27,3)),BASE!$E$12:$F$23,1,0),IFERROR(VLOOKUP((LEFT(S27,2)),BASE!$E$12:$F$23,1,0),IFERROR(VLOOKUP((LEFT(S27,1)),BASE!$E$12:$F$23,1,0),100))))</f>
        <v>100</v>
      </c>
      <c r="J27" s="12" t="str">
        <f>IFERROR(VLOOKUP((LEFT(T27,4)),BASE!$E$12:$F$24,1,0),IFERROR(VLOOKUP((LEFT(T27,3)),BASE!$E$12:$F$24,1,0),IFERROR(VLOOKUP((LEFT(T27,2)),BASE!$E$12:$F$24,1,0),IFERROR(VLOOKUP((LEFT(T27,1)),BASE!$E$12:$F$24,1,0),100))))</f>
        <v>no</v>
      </c>
      <c r="K27" s="12" t="str">
        <f>IFERROR(VLOOKUP((LEFT(U27,4)),BASE!$E$12:$F$23,1,0),IFERROR(VLOOKUP((LEFT(U27,3)),BASE!$E$12:$F$23,1,0),IFERROR(VLOOKUP((LEFT(U27,2)),BASE!$E$12:$F$23,1,0),IFERROR(VLOOKUP((LEFT(U27,1)),BASE!$E$12:$F$23,1,0),100))))</f>
        <v>ko</v>
      </c>
      <c r="L27" s="14" t="str">
        <f t="shared" si="0"/>
        <v/>
      </c>
      <c r="M27" s="14" t="str">
        <f t="shared" si="0"/>
        <v/>
      </c>
      <c r="N27" s="14" t="str">
        <f t="shared" si="0"/>
        <v/>
      </c>
      <c r="O27" s="14" t="str">
        <f t="shared" si="0"/>
        <v/>
      </c>
      <c r="P27" s="14" t="str">
        <f t="shared" si="0"/>
        <v/>
      </c>
      <c r="Q27" s="14" t="str">
        <f t="shared" si="0"/>
        <v/>
      </c>
      <c r="R27" s="14" t="str">
        <f t="shared" si="0"/>
        <v/>
      </c>
      <c r="S27" s="14" t="str">
        <f t="shared" si="0"/>
        <v/>
      </c>
      <c r="T27" s="14" t="str">
        <f t="shared" si="0"/>
        <v>no</v>
      </c>
      <c r="U27" s="14" t="str">
        <f t="shared" si="1"/>
        <v>kono</v>
      </c>
      <c r="V27" s="13">
        <f>IFERROR(VLOOKUP(LEFT(AZ27,2),BASE!$C$96:$E$342,3,0),IFERROR(VLOOKUP(LEFT(AZ27,1),BASE!$C$96:$E$342,3,0),100))</f>
        <v>100</v>
      </c>
      <c r="W27" s="13">
        <f>IFERROR(VLOOKUP(LEFT(BA27,2),BASE!$C$96:$E$342,3,0),IFERROR(VLOOKUP(LEFT(BA27,1),BASE!$C$96:$E$342,3,0),100))</f>
        <v>100</v>
      </c>
      <c r="X27" s="13">
        <f>IFERROR(VLOOKUP(LEFT(BB27,2),BASE!$C$96:$E$342,3,0),IFERROR(VLOOKUP(LEFT(BB27,1),BASE!$C$96:$E$342,3,0),100))</f>
        <v>100</v>
      </c>
      <c r="Y27" s="13">
        <f>IFERROR(VLOOKUP(LEFT(BC27,2),BASE!$C$96:$E$342,3,0),IFERROR(VLOOKUP(LEFT(BC27,1),BASE!$C$96:$E$342,3,0),100))</f>
        <v>100</v>
      </c>
      <c r="Z27" s="13">
        <f>IFERROR(VLOOKUP(LEFT(BD27,2),BASE!$C$96:$E$342,3,0),IFERROR(VLOOKUP(LEFT(BD27,1),BASE!$C$96:$E$342,3,0),100))</f>
        <v>100</v>
      </c>
      <c r="AA27" s="13">
        <f>IFERROR(VLOOKUP(LEFT(BE27,2),BASE!$C$96:$E$342,3,0),IFERROR(VLOOKUP(LEFT(BE27,1),BASE!$C$96:$E$342,3,0),100))</f>
        <v>100</v>
      </c>
      <c r="AB27" s="13">
        <f>IFERROR(VLOOKUP(LEFT(BF27,2),BASE!$C$96:$E$342,3,0),IFERROR(VLOOKUP(LEFT(BF27,1),BASE!$C$96:$E$342,3,0),100))</f>
        <v>2</v>
      </c>
      <c r="AC27" s="13">
        <f>IFERROR(VLOOKUP(LEFT(BG27,2),BASE!$C$96:$E$342,3,0),IFERROR(VLOOKUP(LEFT(BG27,1),BASE!$C$96:$E$342,3,0),100))</f>
        <v>2</v>
      </c>
      <c r="AD27" s="13">
        <f>IFERROR(VLOOKUP(LEFT(BH27,2),BASE!$C$96:$E$342,3,0),IFERROR(VLOOKUP(LEFT(BH27,1),BASE!$C$96:$E$342,3,0),100))</f>
        <v>2</v>
      </c>
      <c r="AE27" s="13">
        <f>IFERROR(VLOOKUP(LEFT(BI27,2),BASE!$C$96:$E$342,3,0),IFERROR(VLOOKUP(LEFT(BI27,1),BASE!$C$96:$E$342,3,0),100))</f>
        <v>2</v>
      </c>
      <c r="AF27" s="187" t="str">
        <f>IF(AND(BS27=BR27,AG27="o"),"A", (IFERROR(VLOOKUP(LEFT(AZ27,2),BASE!$C$346:$D$592,2,0),IFERROR(VLOOKUP(LEFT(AZ27,1),BASE!$C$346:$D$5922,2,0),AZ27))))</f>
        <v/>
      </c>
      <c r="AG27" s="187" t="str">
        <f>IF(AND(BR27=BQ27,AH27="o"),"A", (IFERROR(VLOOKUP(LEFT(BA27,2),BASE!$C$346:$D$592,2,0),IFERROR(VLOOKUP(LEFT(BA27,1),BASE!$C$346:$D$592,2,0),BA27))))</f>
        <v/>
      </c>
      <c r="AH27" s="187" t="str">
        <f>IF(AND(BQ27=BP27,AI27="o"),"A", (IFERROR(VLOOKUP(LEFT(BB27,2),BASE!$C$346:$D$592,2,0),IFERROR(VLOOKUP(LEFT(BB27,1),BASE!$C$346:$D$592,2,0),BB27))))</f>
        <v/>
      </c>
      <c r="AI27" s="187" t="str">
        <f>IF(AND(BP27=BO27,AJ27="o"),"A", (IFERROR(VLOOKUP(LEFT(BC27,2),BASE!$C$346:$D$592,2,0),IFERROR(VLOOKUP(LEFT(BC27,1),BASE!$C$346:$D$592,2,0),BC27))))</f>
        <v/>
      </c>
      <c r="AJ27" s="187" t="str">
        <f>IF(AND(BO27=BN27,AK27="o"),"A", (IFERROR(VLOOKUP(LEFT(BD27,2),BASE!$C$346:$D$592,2,0),IFERROR(VLOOKUP(LEFT(BD27,1),BASE!$C$346:$D$592,2,0),BD27))))</f>
        <v/>
      </c>
      <c r="AK27" s="187" t="str">
        <f>IF(AND(BN27=BM27,AL27="o"),"A", (IFERROR(VLOOKUP(LEFT(BE27,2),BASE!$C$346:$D$592,2,0),IFERROR(VLOOKUP(LEFT(BE27,1),BASE!$C$346:$D$592,2,0),BE27))))</f>
        <v/>
      </c>
      <c r="AL27" s="187" t="str">
        <f>IF(AND(BM27=BL27,AM27="o"),"A", (IFERROR(VLOOKUP(LEFT(BF27,2),BASE!$C$346:$D$592,2,0),IFERROR(VLOOKUP(LEFT(BF27,1),BASE!$C$346:$D$592,2,0),BF27))))</f>
        <v>o</v>
      </c>
      <c r="AM27" s="187" t="str">
        <f>IF(AND(BL27=BK27,AN27="o"),"A",(IFERROR(VLOOKUP(LEFT(BG27,2),BASE!$C$346:$D$592,2,0),IFERROR(VLOOKUP(LEFT(BG27,1),BASE!$C$346:$D$592,2,0),BG27))))</f>
        <v>n</v>
      </c>
      <c r="AN27" s="187" t="str">
        <f>(IFERROR(VLOOKUP(LEFT(BH27,2),BASE!$C$346:$D$592,2,0),IFERROR(VLOOKUP(LEFT(BH27,1),BASE!$C$346:$D$592,2,0),BH27)))</f>
        <v>o</v>
      </c>
      <c r="AO27" s="187" t="str">
        <f>(IFERROR(VLOOKUP(LEFT(BI27,2),BASE!$C$96:$D$342,2,0),IFERROR(VLOOKUP(LEFT(BI27,1),BASE!$C$96:$D$342,2,0),BI27)))</f>
        <v>k</v>
      </c>
      <c r="AP27" s="5">
        <f t="shared" si="2"/>
        <v>8</v>
      </c>
      <c r="AQ27" s="5">
        <f t="shared" si="2"/>
        <v>8</v>
      </c>
      <c r="AR27" s="5">
        <f t="shared" si="2"/>
        <v>8</v>
      </c>
      <c r="AS27" s="5">
        <f t="shared" si="2"/>
        <v>8</v>
      </c>
      <c r="AT27" s="5">
        <f t="shared" si="2"/>
        <v>8</v>
      </c>
      <c r="AU27" s="5">
        <f t="shared" si="2"/>
        <v>8</v>
      </c>
      <c r="AV27" s="5">
        <f t="shared" si="2"/>
        <v>8</v>
      </c>
      <c r="AW27" s="5">
        <f t="shared" si="2"/>
        <v>8</v>
      </c>
      <c r="AX27" s="5">
        <f t="shared" si="2"/>
        <v>8</v>
      </c>
      <c r="AY27" s="5">
        <f t="shared" si="3"/>
        <v>8</v>
      </c>
      <c r="AZ27" s="12" t="str">
        <f t="shared" si="4"/>
        <v/>
      </c>
      <c r="BA27" s="12" t="str">
        <f t="shared" si="4"/>
        <v/>
      </c>
      <c r="BB27" s="12" t="str">
        <f t="shared" si="4"/>
        <v/>
      </c>
      <c r="BC27" s="12" t="str">
        <f t="shared" si="4"/>
        <v/>
      </c>
      <c r="BD27" s="12" t="str">
        <f t="shared" si="4"/>
        <v/>
      </c>
      <c r="BE27" s="12" t="str">
        <f t="shared" si="4"/>
        <v/>
      </c>
      <c r="BF27" s="12" t="str">
        <f t="shared" si="4"/>
        <v>ர்</v>
      </c>
      <c r="BG27" s="12" t="str">
        <f t="shared" si="4"/>
        <v>வார்</v>
      </c>
      <c r="BH27" s="43" t="str">
        <f t="shared" si="4"/>
        <v>ய்வார்</v>
      </c>
      <c r="BI27" s="57" t="str">
        <f>CG10</f>
        <v>செய்வார்</v>
      </c>
      <c r="BJ27" s="58" t="str">
        <f>IFERROR(VLOOKUP(LEFT(BI27,2),BASE!$C$96:$F$342,1,0),IFERROR(VLOOKUP(LEFT(BI27,1),BASE!$C$96:$F$342,1,0),BI27))</f>
        <v>செ</v>
      </c>
      <c r="BK27" s="58" t="str">
        <f>IFERROR(VLOOKUP(LEFT(BH27,2),BASE!$C$96:$D$342,1,0),IFERROR(VLOOKUP(LEFT(BH27,1),BASE!$C$96:$D$342,1,0),BH27))</f>
        <v>ய்</v>
      </c>
      <c r="BL27" s="58" t="str">
        <f>IFERROR(VLOOKUP(LEFT(BG27,2),BASE!$C$96:$D$342,1,0),IFERROR(VLOOKUP(LEFT(BG27,1),BASE!$C$96:$D$342,1,0),BG27))</f>
        <v>வா</v>
      </c>
      <c r="BM27" s="58" t="str">
        <f>IFERROR(VLOOKUP(LEFT(BF27,2),BASE!$C$96:$D$342,1,0),IFERROR(VLOOKUP(LEFT(BF27,1),BASE!$C$96:$D$342,1,0),BF27))</f>
        <v>ர்</v>
      </c>
      <c r="BN27" s="58" t="str">
        <f>IFERROR(VLOOKUP(LEFT(BE27,2),BASE!$C$96:$D$342,1,0),IFERROR(VLOOKUP(LEFT(BE27,1),BASE!$C$96:$D$342,1,0),BE27))</f>
        <v/>
      </c>
      <c r="BO27" s="58" t="str">
        <f>IFERROR(VLOOKUP(LEFT(BD27,2),BASE!$C$96:$D$342,1,0),IFERROR(VLOOKUP(LEFT(BD27,1),BASE!$C$96:$D$342,1,0),BD27))</f>
        <v/>
      </c>
      <c r="BP27" s="58" t="str">
        <f>IFERROR(VLOOKUP(LEFT(BC27,2),BASE!$C$96:$D$342,1,0),IFERROR(VLOOKUP(LEFT(BC27,1),BASE!$C$96:$D$342,1,0),BC27))</f>
        <v/>
      </c>
      <c r="BQ27" s="58" t="str">
        <f>IFERROR(VLOOKUP(LEFT(BB27,2),BASE!$C$96:$D$342,1,0),IFERROR(VLOOKUP(LEFT(BB27,1),BASE!$C$96:$D$342,1,0),BB27))</f>
        <v/>
      </c>
      <c r="BR27" s="58" t="str">
        <f>IFERROR(VLOOKUP(LEFT(BA27,2),BASE!$C$96:$D$342,1,0),IFERROR(VLOOKUP(LEFT(BA27,1),BASE!$C$96:$D$342,1,0),BA27))</f>
        <v/>
      </c>
      <c r="BS27" s="58" t="str">
        <f>IFERROR(VLOOKUP(LEFT(AZ27,2),BASE!$C$96:$D$342,1,0),IFERROR(VLOOKUP(LEFT(AZ27,1),BASE!$C$96:$D$342,1,0),AZ27))</f>
        <v/>
      </c>
      <c r="BT27" s="186" t="str">
        <f>(IFERROR(VLOOKUP(LEFT(BI27,2),BASE!$C$96:$F$342,4,0),IFERROR(VLOOKUP(LEFT(BI27,1),BASE!$C$96:$F$342,4,0),BI27)))</f>
        <v>கு</v>
      </c>
      <c r="BU27" s="186" t="str">
        <f>(IFERROR(VLOOKUP(LEFT(BH27,2),BASE!$C$346:$F$592,4,0),IFERROR(VLOOKUP(LEFT(BH27,1),BASE!$C$346:$F$592,4,0),BH27)))</f>
        <v>ஒ</v>
      </c>
      <c r="BV27" s="186" t="str">
        <f>(IFERROR(VLOOKUP(LEFT(BG27,2),BASE!$C$346:$F$592,4,0),IFERROR(VLOOKUP(LEFT(BG27,1),BASE!$C$346:$F$592,4,0),BG27)))</f>
        <v>நெ</v>
      </c>
      <c r="BW27" s="186" t="str">
        <f>(IFERROR(VLOOKUP(LEFT(BF27,2),BASE!$C$346:$F$592,4,0),IFERROR(VLOOKUP(LEFT(BF27,1),BASE!$C$346:$F$592,4,0),BF27)))</f>
        <v>ஒ</v>
      </c>
      <c r="BX27" s="186" t="str">
        <f>(IFERROR(VLOOKUP(LEFT(BE27,2),BASE!$C$346:$F$592,4,0),IFERROR(VLOOKUP(LEFT(BE27,1),BASE!$C$346:$F$592,4,0),BE27)))</f>
        <v/>
      </c>
      <c r="BY27" s="186" t="str">
        <f>(IFERROR(VLOOKUP(LEFT(BD27,2),BASE!$C$346:$F$592,4,0),IFERROR(VLOOKUP(LEFT(BD27,1),BASE!$C$346:$F$592,4,0),BD27)))</f>
        <v/>
      </c>
      <c r="BZ27" s="186" t="str">
        <f>(IFERROR(VLOOKUP(LEFT(BC27,2),BASE!$C$346:$F$592,4,0),IFERROR(VLOOKUP(LEFT(BC27,1),BASE!$C$346:$F$592,4,0),BC27)))</f>
        <v/>
      </c>
      <c r="CA27" s="186" t="str">
        <f>(IFERROR(VLOOKUP(LEFT(BB27,2),BASE!$C$346:$F$592,4,0),IFERROR(VLOOKUP(LEFT(BB27,1),BASE!$C$346:$F$592,4,0),BB27)))</f>
        <v/>
      </c>
      <c r="CB27" s="186" t="str">
        <f>(IFERROR(VLOOKUP(LEFT(BA27,2),BASE!$C$346:$F$592,4,0),IFERROR(VLOOKUP(LEFT(BA27,1),BASE!$C$346:$F$592,4,0),BA27)))</f>
        <v/>
      </c>
      <c r="CC27" s="186" t="str">
        <f>(IFERROR(VLOOKUP(LEFT(AZ27,2),BASE!$C$346:$F$592,4,0),IFERROR(VLOOKUP(LEFT(AZ27,1),BASE!$C$346:$F$592,4,0),AZ27)))</f>
        <v/>
      </c>
      <c r="CD27" s="58" t="str">
        <f t="shared" si="5"/>
        <v>குஒநெஒ</v>
      </c>
      <c r="CE27" s="58" t="str">
        <f>IFERROR(VLOOKUP((LEFT(U27,4)),BASE!$E$12:$F$23,2,0),IFERROR(VLOOKUP((LEFT(U27,3)),BASE!$E$12:$F$23,2,0),IFERROR(VLOOKUP((LEFT(U27,2)),BASE!$E$12:$F$23,2,0),IFERROR(VLOOKUP((LEFT(U27,1)),BASE!$E$12:$F$23,2,0),U27))))</f>
        <v>நேர்</v>
      </c>
      <c r="CF27" s="58" t="str">
        <f>IFERROR(VLOOKUP((LEFT(T27,4)),BASE!$E$12:$F$24,2,0),IFERROR(VLOOKUP((LEFT(T27,3)),BASE!$E$12:$F$24,2,0),IFERROR(VLOOKUP((LEFT(T27,2)),BASE!$E$12:$F$24,2,0),IFERROR(VLOOKUP((LEFT(T27,1)),BASE!$E$12:$F$24,2,0),T27))))</f>
        <v>நேர்</v>
      </c>
      <c r="CG27" s="58" t="str">
        <f>IFERROR(VLOOKUP((LEFT(S27,4)),BASE!$E$12:$F$23,2,0),IFERROR(VLOOKUP((LEFT(S27,3)),BASE!$E$12:$F$23,2,0),IFERROR(VLOOKUP((LEFT(S27,2)),BASE!$E$12:$F$23,2,0),IFERROR(VLOOKUP((LEFT(S27,1)),BASE!$E$12:$F$23,2,0),S27))))</f>
        <v/>
      </c>
      <c r="CH27" s="58" t="str">
        <f>IFERROR(VLOOKUP((LEFT(R27,4)),BASE!$E$12:$F$23,2,0),IFERROR(VLOOKUP((LEFT(R27,3)),BASE!$E$12:$F$23,2,0),IFERROR(VLOOKUP((LEFT(R27,2)),BASE!$E$12:$F$23,2,0),IFERROR(VLOOKUP((LEFT(R27,1)),BASE!$E$12:$F$23,2,0),R27))))</f>
        <v/>
      </c>
      <c r="CI27" s="58" t="str">
        <f>IFERROR(VLOOKUP((LEFT(Q27,4)),BASE!$E$12:$F$23,2,0),IFERROR(VLOOKUP((LEFT(Q27,3)),BASE!$E$12:$F$23,2,0),IFERROR(VLOOKUP((LEFT(Q27,2)),BASE!$E$12:$F$23,2,0),IFERROR(VLOOKUP((LEFT(Q27,1)),BASE!$E$12:$F$23,2,0),Q27))))</f>
        <v/>
      </c>
      <c r="CJ27" s="58" t="str">
        <f>IFERROR(VLOOKUP((LEFT(P27,4)),BASE!$E$12:$F$23,2,0),IFERROR(VLOOKUP((LEFT(P27,3)),BASE!$E$12:$F$23,2,0),IFERROR(VLOOKUP((LEFT(P27,2)),BASE!$E$12:$F$23,2,0),IFERROR(VLOOKUP((LEFT(P27,1)),BASE!$E$12:$F$23,2,0),P27))))</f>
        <v/>
      </c>
      <c r="CK27" s="58" t="str">
        <f>IFERROR(VLOOKUP((LEFT(O27,4)),BASE!$E$12:$F$23,2,0),IFERROR(VLOOKUP((LEFT(O27,3)),BASE!$E$12:$F$23,2,0),IFERROR(VLOOKUP((LEFT(O27,2)),BASE!$E$12:$F$23,2,0),IFERROR(VLOOKUP((LEFT(O27,1)),BASE!$E$12:$F$23,2,0),O27))))</f>
        <v/>
      </c>
      <c r="CL27" s="58" t="str">
        <f>IFERROR(VLOOKUP((LEFT(N27,4)),BASE!$E$12:$F$23,2,0),IFERROR(VLOOKUP((LEFT(N27,3)),BASE!$E$12:$F$23,2,0),IFERROR(VLOOKUP((LEFT(N27,2)),BASE!$E$12:$F$23,2,0),IFERROR(VLOOKUP((LEFT(N27,1)),BASE!$E$12:$F$23,2,0),N27))))</f>
        <v/>
      </c>
      <c r="CM27" s="58" t="str">
        <f>IFERROR(VLOOKUP((LEFT(M27,4)),BASE!$E$12:$F$23,2,0),IFERROR(VLOOKUP((LEFT(M27,3)),BASE!$E$12:$F$23,2,0),IFERROR(VLOOKUP((LEFT(M27,2)),BASE!$E$12:$F$23,2,0),IFERROR(VLOOKUP((LEFT(M27,1)),BASE!$E$12:$F$23,2,0),M27))))</f>
        <v/>
      </c>
      <c r="CN27" s="58" t="str">
        <f>IFERROR(VLOOKUP((LEFT(L27,4)),BASE!$E$12:$F$23,2,0),IFERROR(VLOOKUP((LEFT(L27,3)),BASE!$E$12:$F$23,2,0),IFERROR(VLOOKUP((LEFT(L27,2)),BASE!$E$12:$F$23,2,0),IFERROR(VLOOKUP((LEFT(L27,1)),BASE!$E$12:$F$23,2,0),L27))))</f>
        <v/>
      </c>
      <c r="CO27" s="58" t="str">
        <f t="shared" si="6"/>
        <v>நேர்நேர்</v>
      </c>
      <c r="CP27" s="58" t="str">
        <f>VLOOKUP(CO27,BASE!$E$25:$F$79,2,0)</f>
        <v>தேமா</v>
      </c>
      <c r="CQ27" s="58" t="str">
        <f>VLOOKUP(CO27,BASE!$E$25:$G$79,3,0)&amp;CE28</f>
        <v>மாநிரை</v>
      </c>
      <c r="CR27" s="58" t="str">
        <f>VLOOKUP(CQ27,BASE!$E$86:$G$93,2,0)</f>
        <v>மாமுன் நிரை</v>
      </c>
      <c r="CS27" s="58" t="str">
        <f>VLOOKUP(CQ27,BASE!$E$86:$G$93,3,0)</f>
        <v>இயற்சீர் வெண்டளை</v>
      </c>
      <c r="CT27" s="58" t="str">
        <f t="shared" si="7"/>
        <v>மூவசைக்கு மிகவில்லை</v>
      </c>
      <c r="CU27" s="59" t="str">
        <f t="shared" si="8"/>
        <v>சரி</v>
      </c>
      <c r="DQ27" s="82"/>
    </row>
    <row r="28" spans="1:121" ht="19.5" customHeight="1" x14ac:dyDescent="0.35">
      <c r="A28" s="119"/>
      <c r="B28" s="12">
        <f>IFERROR(VLOOKUP((LEFT(L28,4)),BASE!$E$12:$F$23,1,0),IFERROR(VLOOKUP((LEFT(L28,3)),BASE!$E$12:$F$23,1,0),IFERROR(VLOOKUP((LEFT(L28,2)),BASE!$E$12:$F$23,1,0),IFERROR(VLOOKUP((LEFT(L28,1)),BASE!$E$12:$F$23,1,0),100))))</f>
        <v>100</v>
      </c>
      <c r="C28" s="12">
        <f>IFERROR(VLOOKUP((LEFT(M28,4)),BASE!$E$12:$F$23,1,0),IFERROR(VLOOKUP((LEFT(M28,3)),BASE!$E$12:$F$23,1,0),IFERROR(VLOOKUP((LEFT(M28,2)),BASE!$E$12:$F$23,1,0),IFERROR(VLOOKUP((LEFT(M28,1)),BASE!$E$12:$F$23,1,0),100))))</f>
        <v>100</v>
      </c>
      <c r="D28" s="12">
        <f>IFERROR(VLOOKUP((LEFT(N28,4)),BASE!$E$12:$F$23,1,0),IFERROR(VLOOKUP((LEFT(N28,3)),BASE!$E$12:$F$23,1,0),IFERROR(VLOOKUP((LEFT(N28,2)),BASE!$E$12:$F$23,1,0),IFERROR(VLOOKUP((LEFT(N28,1)),BASE!$E$12:$F$23,1,0),100))))</f>
        <v>100</v>
      </c>
      <c r="E28" s="12">
        <f>IFERROR(VLOOKUP((LEFT(O28,4)),BASE!$E$12:$F$23,1,0),IFERROR(VLOOKUP((LEFT(O28,3)),BASE!$E$12:$F$23,1,0),IFERROR(VLOOKUP((LEFT(O28,2)),BASE!$E$12:$F$23,1,0),IFERROR(VLOOKUP((LEFT(O28,1)),BASE!$E$12:$F$23,1,0),100))))</f>
        <v>100</v>
      </c>
      <c r="F28" s="12">
        <f>IFERROR(VLOOKUP((LEFT(P28,4)),BASE!$E$12:$F$23,1,0),IFERROR(VLOOKUP((LEFT(P28,3)),BASE!$E$12:$F$23,1,0),IFERROR(VLOOKUP((LEFT(P28,2)),BASE!$E$12:$F$23,1,0),IFERROR(VLOOKUP((LEFT(P28,1)),BASE!$E$12:$F$23,1,0),100))))</f>
        <v>100</v>
      </c>
      <c r="G28" s="12">
        <f>IFERROR(VLOOKUP((LEFT(Q28,4)),BASE!$E$12:$F$23,1,0),IFERROR(VLOOKUP((LEFT(Q28,3)),BASE!$E$12:$F$23,1,0),IFERROR(VLOOKUP((LEFT(Q28,2)),BASE!$E$12:$F$23,1,0),IFERROR(VLOOKUP((LEFT(Q28,1)),BASE!$E$12:$F$23,1,0),100))))</f>
        <v>100</v>
      </c>
      <c r="H28" s="12">
        <f>IFERROR(VLOOKUP((LEFT(R28,4)),BASE!$E$12:$F$23,1,0),IFERROR(VLOOKUP((LEFT(R28,3)),BASE!$E$12:$F$23,1,0),IFERROR(VLOOKUP((LEFT(R28,2)),BASE!$E$12:$F$23,1,0),IFERROR(VLOOKUP((LEFT(R28,1)),BASE!$E$12:$F$23,1,0),100))))</f>
        <v>100</v>
      </c>
      <c r="I28" s="12">
        <f>IFERROR(VLOOKUP((LEFT(S28,4)),BASE!$E$12:$F$23,1,0),IFERROR(VLOOKUP((LEFT(S28,3)),BASE!$E$12:$F$23,1,0),IFERROR(VLOOKUP((LEFT(S28,2)),BASE!$E$12:$F$23,1,0),IFERROR(VLOOKUP((LEFT(S28,1)),BASE!$E$12:$F$23,1,0),100))))</f>
        <v>100</v>
      </c>
      <c r="J28" s="12" t="str">
        <f>IFERROR(VLOOKUP((LEFT(T28,4)),BASE!$E$12:$F$24,1,0),IFERROR(VLOOKUP((LEFT(T28,3)),BASE!$E$12:$F$24,1,0),IFERROR(VLOOKUP((LEFT(T28,2)),BASE!$E$12:$F$24,1,0),IFERROR(VLOOKUP((LEFT(T28,1)),BASE!$E$12:$F$24,1,0),100))))</f>
        <v>k</v>
      </c>
      <c r="K28" s="12" t="str">
        <f>IFERROR(VLOOKUP((LEFT(U28,4)),BASE!$E$12:$F$23,1,0),IFERROR(VLOOKUP((LEFT(U28,3)),BASE!$E$12:$F$23,1,0),IFERROR(VLOOKUP((LEFT(U28,2)),BASE!$E$12:$F$23,1,0),IFERROR(VLOOKUP((LEFT(U28,1)),BASE!$E$12:$F$23,1,0),100))))</f>
        <v>kk</v>
      </c>
      <c r="L28" s="14" t="str">
        <f t="shared" si="0"/>
        <v/>
      </c>
      <c r="M28" s="14" t="str">
        <f t="shared" si="0"/>
        <v/>
      </c>
      <c r="N28" s="14" t="str">
        <f t="shared" si="0"/>
        <v/>
      </c>
      <c r="O28" s="14" t="str">
        <f t="shared" si="0"/>
        <v/>
      </c>
      <c r="P28" s="14" t="str">
        <f t="shared" si="0"/>
        <v/>
      </c>
      <c r="Q28" s="14" t="str">
        <f t="shared" si="0"/>
        <v/>
      </c>
      <c r="R28" s="14" t="str">
        <f t="shared" si="0"/>
        <v/>
      </c>
      <c r="S28" s="14" t="str">
        <f t="shared" si="0"/>
        <v/>
      </c>
      <c r="T28" s="14" t="str">
        <f t="shared" si="0"/>
        <v>k</v>
      </c>
      <c r="U28" s="14" t="str">
        <f t="shared" si="1"/>
        <v>kkk</v>
      </c>
      <c r="V28" s="13">
        <f>IFERROR(VLOOKUP(LEFT(AZ28,2),BASE!$C$96:$E$342,3,0),IFERROR(VLOOKUP(LEFT(AZ28,1),BASE!$C$96:$E$342,3,0),100))</f>
        <v>100</v>
      </c>
      <c r="W28" s="13">
        <f>IFERROR(VLOOKUP(LEFT(BA28,2),BASE!$C$96:$E$342,3,0),IFERROR(VLOOKUP(LEFT(BA28,1),BASE!$C$96:$E$342,3,0),100))</f>
        <v>100</v>
      </c>
      <c r="X28" s="13">
        <f>IFERROR(VLOOKUP(LEFT(BB28,2),BASE!$C$96:$E$342,3,0),IFERROR(VLOOKUP(LEFT(BB28,1),BASE!$C$96:$E$342,3,0),100))</f>
        <v>100</v>
      </c>
      <c r="Y28" s="13">
        <f>IFERROR(VLOOKUP(LEFT(BC28,2),BASE!$C$96:$E$342,3,0),IFERROR(VLOOKUP(LEFT(BC28,1),BASE!$C$96:$E$342,3,0),100))</f>
        <v>100</v>
      </c>
      <c r="Z28" s="13">
        <f>IFERROR(VLOOKUP(LEFT(BD28,2),BASE!$C$96:$E$342,3,0),IFERROR(VLOOKUP(LEFT(BD28,1),BASE!$C$96:$E$342,3,0),100))</f>
        <v>100</v>
      </c>
      <c r="AA28" s="13">
        <f>IFERROR(VLOOKUP(LEFT(BE28,2),BASE!$C$96:$E$342,3,0),IFERROR(VLOOKUP(LEFT(BE28,1),BASE!$C$96:$E$342,3,0),100))</f>
        <v>100</v>
      </c>
      <c r="AB28" s="13">
        <f>IFERROR(VLOOKUP(LEFT(BF28,2),BASE!$C$96:$E$342,3,0),IFERROR(VLOOKUP(LEFT(BF28,1),BASE!$C$96:$E$342,3,0),100))</f>
        <v>100</v>
      </c>
      <c r="AC28" s="13">
        <f>IFERROR(VLOOKUP(LEFT(BG28,2),BASE!$C$96:$E$342,3,0),IFERROR(VLOOKUP(LEFT(BG28,1),BASE!$C$96:$E$342,3,0),100))</f>
        <v>1</v>
      </c>
      <c r="AD28" s="13">
        <f>IFERROR(VLOOKUP(LEFT(BH28,2),BASE!$C$96:$E$342,3,0),IFERROR(VLOOKUP(LEFT(BH28,1),BASE!$C$96:$E$342,3,0),100))</f>
        <v>2</v>
      </c>
      <c r="AE28" s="13">
        <f>IFERROR(VLOOKUP(LEFT(BI28,2),BASE!$C$96:$E$342,3,0),IFERROR(VLOOKUP(LEFT(BI28,1),BASE!$C$96:$E$342,3,0),100))</f>
        <v>2</v>
      </c>
      <c r="AF28" s="187" t="str">
        <f>IF(AND(BS28=BR28,AG28="o"),"A", (IFERROR(VLOOKUP(LEFT(AZ28,2),BASE!$C$346:$D$592,2,0),IFERROR(VLOOKUP(LEFT(AZ28,1),BASE!$C$346:$D$5922,2,0),AZ28))))</f>
        <v/>
      </c>
      <c r="AG28" s="187" t="str">
        <f>IF(AND(BR28=BQ28,AH28="o"),"A", (IFERROR(VLOOKUP(LEFT(BA28,2),BASE!$C$346:$D$592,2,0),IFERROR(VLOOKUP(LEFT(BA28,1),BASE!$C$346:$D$592,2,0),BA28))))</f>
        <v/>
      </c>
      <c r="AH28" s="187" t="str">
        <f>IF(AND(BQ28=BP28,AI28="o"),"A", (IFERROR(VLOOKUP(LEFT(BB28,2),BASE!$C$346:$D$592,2,0),IFERROR(VLOOKUP(LEFT(BB28,1),BASE!$C$346:$D$592,2,0),BB28))))</f>
        <v/>
      </c>
      <c r="AI28" s="187" t="str">
        <f>IF(AND(BP28=BO28,AJ28="o"),"A", (IFERROR(VLOOKUP(LEFT(BC28,2),BASE!$C$346:$D$592,2,0),IFERROR(VLOOKUP(LEFT(BC28,1),BASE!$C$346:$D$592,2,0),BC28))))</f>
        <v/>
      </c>
      <c r="AJ28" s="187" t="str">
        <f>IF(AND(BO28=BN28,AK28="o"),"A", (IFERROR(VLOOKUP(LEFT(BD28,2),BASE!$C$346:$D$592,2,0),IFERROR(VLOOKUP(LEFT(BD28,1),BASE!$C$346:$D$592,2,0),BD28))))</f>
        <v/>
      </c>
      <c r="AK28" s="187" t="str">
        <f>IF(AND(BN28=BM28,AL28="o"),"A", (IFERROR(VLOOKUP(LEFT(BE28,2),BASE!$C$346:$D$592,2,0),IFERROR(VLOOKUP(LEFT(BE28,1),BASE!$C$346:$D$592,2,0),BE28))))</f>
        <v/>
      </c>
      <c r="AL28" s="187" t="str">
        <f>IF(AND(BM28=BL28,AM28="o"),"A", (IFERROR(VLOOKUP(LEFT(BF28,2),BASE!$C$346:$D$592,2,0),IFERROR(VLOOKUP(LEFT(BF28,1),BASE!$C$346:$D$592,2,0),BF28))))</f>
        <v/>
      </c>
      <c r="AM28" s="187" t="str">
        <f>IF(AND(BL28=BK28,AN28="o"),"A",(IFERROR(VLOOKUP(LEFT(BG28,2),BASE!$C$346:$D$592,2,0),IFERROR(VLOOKUP(LEFT(BG28,1),BASE!$C$346:$D$592,2,0),BG28))))</f>
        <v>k</v>
      </c>
      <c r="AN28" s="187" t="str">
        <f>(IFERROR(VLOOKUP(LEFT(BH28,2),BASE!$C$346:$D$592,2,0),IFERROR(VLOOKUP(LEFT(BH28,1),BASE!$C$346:$D$592,2,0),BH28)))</f>
        <v>k</v>
      </c>
      <c r="AO28" s="187" t="str">
        <f>(IFERROR(VLOOKUP(LEFT(BI28,2),BASE!$C$96:$D$342,2,0),IFERROR(VLOOKUP(LEFT(BI28,1),BASE!$C$96:$D$342,2,0),BI28)))</f>
        <v>k</v>
      </c>
      <c r="AP28" s="5">
        <f t="shared" si="2"/>
        <v>5</v>
      </c>
      <c r="AQ28" s="5">
        <f t="shared" si="2"/>
        <v>5</v>
      </c>
      <c r="AR28" s="5">
        <f t="shared" si="2"/>
        <v>5</v>
      </c>
      <c r="AS28" s="5">
        <f t="shared" si="2"/>
        <v>5</v>
      </c>
      <c r="AT28" s="5">
        <f t="shared" si="2"/>
        <v>5</v>
      </c>
      <c r="AU28" s="5">
        <f t="shared" si="2"/>
        <v>5</v>
      </c>
      <c r="AV28" s="5">
        <f t="shared" si="2"/>
        <v>5</v>
      </c>
      <c r="AW28" s="5">
        <f t="shared" si="2"/>
        <v>5</v>
      </c>
      <c r="AX28" s="5">
        <f t="shared" si="2"/>
        <v>5</v>
      </c>
      <c r="AY28" s="5">
        <f t="shared" si="3"/>
        <v>5</v>
      </c>
      <c r="AZ28" s="12" t="str">
        <f t="shared" si="4"/>
        <v/>
      </c>
      <c r="BA28" s="12" t="str">
        <f t="shared" si="4"/>
        <v/>
      </c>
      <c r="BB28" s="12" t="str">
        <f t="shared" si="4"/>
        <v/>
      </c>
      <c r="BC28" s="12" t="str">
        <f t="shared" si="4"/>
        <v/>
      </c>
      <c r="BD28" s="12" t="str">
        <f t="shared" si="4"/>
        <v/>
      </c>
      <c r="BE28" s="12" t="str">
        <f t="shared" si="4"/>
        <v/>
      </c>
      <c r="BF28" s="12" t="str">
        <f t="shared" si="4"/>
        <v/>
      </c>
      <c r="BG28" s="12" t="str">
        <f t="shared" si="4"/>
        <v>ய</v>
      </c>
      <c r="BH28" s="43" t="str">
        <f t="shared" si="4"/>
        <v>ரிய</v>
      </c>
      <c r="BI28" s="57" t="str">
        <f>CD12</f>
        <v>பெரிய</v>
      </c>
      <c r="BJ28" s="58" t="str">
        <f>IFERROR(VLOOKUP(LEFT(BI28,2),BASE!$C$96:$F$342,1,0),IFERROR(VLOOKUP(LEFT(BI28,1),BASE!$C$96:$F$342,1,0),BI28))</f>
        <v>பெ</v>
      </c>
      <c r="BK28" s="58" t="str">
        <f>IFERROR(VLOOKUP(LEFT(BH28,2),BASE!$C$96:$D$342,1,0),IFERROR(VLOOKUP(LEFT(BH28,1),BASE!$C$96:$D$342,1,0),BH28))</f>
        <v>ரி</v>
      </c>
      <c r="BL28" s="58" t="str">
        <f>IFERROR(VLOOKUP(LEFT(BG28,2),BASE!$C$96:$D$342,1,0),IFERROR(VLOOKUP(LEFT(BG28,1),BASE!$C$96:$D$342,1,0),BG28))</f>
        <v>ய</v>
      </c>
      <c r="BM28" s="58" t="str">
        <f>IFERROR(VLOOKUP(LEFT(BF28,2),BASE!$C$96:$D$342,1,0),IFERROR(VLOOKUP(LEFT(BF28,1),BASE!$C$96:$D$342,1,0),BF28))</f>
        <v/>
      </c>
      <c r="BN28" s="58" t="str">
        <f>IFERROR(VLOOKUP(LEFT(BE28,2),BASE!$C$96:$D$342,1,0),IFERROR(VLOOKUP(LEFT(BE28,1),BASE!$C$96:$D$342,1,0),BE28))</f>
        <v/>
      </c>
      <c r="BO28" s="58" t="str">
        <f>IFERROR(VLOOKUP(LEFT(BD28,2),BASE!$C$96:$D$342,1,0),IFERROR(VLOOKUP(LEFT(BD28,1),BASE!$C$96:$D$342,1,0),BD28))</f>
        <v/>
      </c>
      <c r="BP28" s="58" t="str">
        <f>IFERROR(VLOOKUP(LEFT(BC28,2),BASE!$C$96:$D$342,1,0),IFERROR(VLOOKUP(LEFT(BC28,1),BASE!$C$96:$D$342,1,0),BC28))</f>
        <v/>
      </c>
      <c r="BQ28" s="58" t="str">
        <f>IFERROR(VLOOKUP(LEFT(BB28,2),BASE!$C$96:$D$342,1,0),IFERROR(VLOOKUP(LEFT(BB28,1),BASE!$C$96:$D$342,1,0),BB28))</f>
        <v/>
      </c>
      <c r="BR28" s="58" t="str">
        <f>IFERROR(VLOOKUP(LEFT(BA28,2),BASE!$C$96:$D$342,1,0),IFERROR(VLOOKUP(LEFT(BA28,1),BASE!$C$96:$D$342,1,0),BA28))</f>
        <v/>
      </c>
      <c r="BS28" s="58" t="str">
        <f>IFERROR(VLOOKUP(LEFT(AZ28,2),BASE!$C$96:$D$342,1,0),IFERROR(VLOOKUP(LEFT(AZ28,1),BASE!$C$96:$D$342,1,0),AZ28))</f>
        <v/>
      </c>
      <c r="BT28" s="186" t="str">
        <f>(IFERROR(VLOOKUP(LEFT(BI28,2),BASE!$C$96:$F$342,4,0),IFERROR(VLOOKUP(LEFT(BI28,1),BASE!$C$96:$F$342,4,0),BI28)))</f>
        <v>கு</v>
      </c>
      <c r="BU28" s="186" t="str">
        <f>(IFERROR(VLOOKUP(LEFT(BH28,2),BASE!$C$346:$F$592,4,0),IFERROR(VLOOKUP(LEFT(BH28,1),BASE!$C$346:$F$592,4,0),BH28)))</f>
        <v>கு</v>
      </c>
      <c r="BV28" s="186" t="str">
        <f>(IFERROR(VLOOKUP(LEFT(BG28,2),BASE!$C$346:$F$592,4,0),IFERROR(VLOOKUP(LEFT(BG28,1),BASE!$C$346:$F$592,4,0),BG28)))</f>
        <v>கு</v>
      </c>
      <c r="BW28" s="186" t="str">
        <f>(IFERROR(VLOOKUP(LEFT(BF28,2),BASE!$C$346:$F$592,4,0),IFERROR(VLOOKUP(LEFT(BF28,1),BASE!$C$346:$F$592,4,0),BF28)))</f>
        <v/>
      </c>
      <c r="BX28" s="186" t="str">
        <f>(IFERROR(VLOOKUP(LEFT(BE28,2),BASE!$C$346:$F$592,4,0),IFERROR(VLOOKUP(LEFT(BE28,1),BASE!$C$346:$F$592,4,0),BE28)))</f>
        <v/>
      </c>
      <c r="BY28" s="186" t="str">
        <f>(IFERROR(VLOOKUP(LEFT(BD28,2),BASE!$C$346:$F$592,4,0),IFERROR(VLOOKUP(LEFT(BD28,1),BASE!$C$346:$F$592,4,0),BD28)))</f>
        <v/>
      </c>
      <c r="BZ28" s="186" t="str">
        <f>(IFERROR(VLOOKUP(LEFT(BC28,2),BASE!$C$346:$F$592,4,0),IFERROR(VLOOKUP(LEFT(BC28,1),BASE!$C$346:$F$592,4,0),BC28)))</f>
        <v/>
      </c>
      <c r="CA28" s="186" t="str">
        <f>(IFERROR(VLOOKUP(LEFT(BB28,2),BASE!$C$346:$F$592,4,0),IFERROR(VLOOKUP(LEFT(BB28,1),BASE!$C$346:$F$592,4,0),BB28)))</f>
        <v/>
      </c>
      <c r="CB28" s="186" t="str">
        <f>(IFERROR(VLOOKUP(LEFT(BA28,2),BASE!$C$346:$F$592,4,0),IFERROR(VLOOKUP(LEFT(BA28,1),BASE!$C$346:$F$592,4,0),BA28)))</f>
        <v/>
      </c>
      <c r="CC28" s="186" t="str">
        <f>(IFERROR(VLOOKUP(LEFT(AZ28,2),BASE!$C$346:$F$592,4,0),IFERROR(VLOOKUP(LEFT(AZ28,1),BASE!$C$346:$F$592,4,0),AZ28)))</f>
        <v/>
      </c>
      <c r="CD28" s="58" t="str">
        <f t="shared" si="5"/>
        <v>குகுகு</v>
      </c>
      <c r="CE28" s="58" t="str">
        <f>IFERROR(VLOOKUP((LEFT(U28,4)),BASE!$E$12:$F$23,2,0),IFERROR(VLOOKUP((LEFT(U28,3)),BASE!$E$12:$F$23,2,0),IFERROR(VLOOKUP((LEFT(U28,2)),BASE!$E$12:$F$23,2,0),IFERROR(VLOOKUP((LEFT(U28,1)),BASE!$E$12:$F$23,2,0),U28))))</f>
        <v>நிரை</v>
      </c>
      <c r="CF28" s="58" t="str">
        <f>IFERROR(VLOOKUP((LEFT(T28,4)),BASE!$E$12:$F$24,2,0),IFERROR(VLOOKUP((LEFT(T28,3)),BASE!$E$12:$F$24,2,0),IFERROR(VLOOKUP((LEFT(T28,2)),BASE!$E$12:$F$24,2,0),IFERROR(VLOOKUP((LEFT(T28,1)),BASE!$E$12:$F$24,2,0),T28))))</f>
        <v>நேர்</v>
      </c>
      <c r="CG28" s="58" t="str">
        <f>IFERROR(VLOOKUP((LEFT(S28,4)),BASE!$E$12:$F$23,2,0),IFERROR(VLOOKUP((LEFT(S28,3)),BASE!$E$12:$F$23,2,0),IFERROR(VLOOKUP((LEFT(S28,2)),BASE!$E$12:$F$23,2,0),IFERROR(VLOOKUP((LEFT(S28,1)),BASE!$E$12:$F$23,2,0),S28))))</f>
        <v/>
      </c>
      <c r="CH28" s="58" t="str">
        <f>IFERROR(VLOOKUP((LEFT(R28,4)),BASE!$E$12:$F$23,2,0),IFERROR(VLOOKUP((LEFT(R28,3)),BASE!$E$12:$F$23,2,0),IFERROR(VLOOKUP((LEFT(R28,2)),BASE!$E$12:$F$23,2,0),IFERROR(VLOOKUP((LEFT(R28,1)),BASE!$E$12:$F$23,2,0),R28))))</f>
        <v/>
      </c>
      <c r="CI28" s="58" t="str">
        <f>IFERROR(VLOOKUP((LEFT(Q28,4)),BASE!$E$12:$F$23,2,0),IFERROR(VLOOKUP((LEFT(Q28,3)),BASE!$E$12:$F$23,2,0),IFERROR(VLOOKUP((LEFT(Q28,2)),BASE!$E$12:$F$23,2,0),IFERROR(VLOOKUP((LEFT(Q28,1)),BASE!$E$12:$F$23,2,0),Q28))))</f>
        <v/>
      </c>
      <c r="CJ28" s="58" t="str">
        <f>IFERROR(VLOOKUP((LEFT(P28,4)),BASE!$E$12:$F$23,2,0),IFERROR(VLOOKUP((LEFT(P28,3)),BASE!$E$12:$F$23,2,0),IFERROR(VLOOKUP((LEFT(P28,2)),BASE!$E$12:$F$23,2,0),IFERROR(VLOOKUP((LEFT(P28,1)),BASE!$E$12:$F$23,2,0),P28))))</f>
        <v/>
      </c>
      <c r="CK28" s="58" t="str">
        <f>IFERROR(VLOOKUP((LEFT(O28,4)),BASE!$E$12:$F$23,2,0),IFERROR(VLOOKUP((LEFT(O28,3)),BASE!$E$12:$F$23,2,0),IFERROR(VLOOKUP((LEFT(O28,2)),BASE!$E$12:$F$23,2,0),IFERROR(VLOOKUP((LEFT(O28,1)),BASE!$E$12:$F$23,2,0),O28))))</f>
        <v/>
      </c>
      <c r="CL28" s="58" t="str">
        <f>IFERROR(VLOOKUP((LEFT(N28,4)),BASE!$E$12:$F$23,2,0),IFERROR(VLOOKUP((LEFT(N28,3)),BASE!$E$12:$F$23,2,0),IFERROR(VLOOKUP((LEFT(N28,2)),BASE!$E$12:$F$23,2,0),IFERROR(VLOOKUP((LEFT(N28,1)),BASE!$E$12:$F$23,2,0),N28))))</f>
        <v/>
      </c>
      <c r="CM28" s="58" t="str">
        <f>IFERROR(VLOOKUP((LEFT(M28,4)),BASE!$E$12:$F$23,2,0),IFERROR(VLOOKUP((LEFT(M28,3)),BASE!$E$12:$F$23,2,0),IFERROR(VLOOKUP((LEFT(M28,2)),BASE!$E$12:$F$23,2,0),IFERROR(VLOOKUP((LEFT(M28,1)),BASE!$E$12:$F$23,2,0),M28))))</f>
        <v/>
      </c>
      <c r="CN28" s="58" t="str">
        <f>IFERROR(VLOOKUP((LEFT(L28,4)),BASE!$E$12:$F$23,2,0),IFERROR(VLOOKUP((LEFT(L28,3)),BASE!$E$12:$F$23,2,0),IFERROR(VLOOKUP((LEFT(L28,2)),BASE!$E$12:$F$23,2,0),IFERROR(VLOOKUP((LEFT(L28,1)),BASE!$E$12:$F$23,2,0),L28))))</f>
        <v/>
      </c>
      <c r="CO28" s="58" t="str">
        <f t="shared" si="6"/>
        <v>நிரைநேர்</v>
      </c>
      <c r="CP28" s="58" t="str">
        <f>VLOOKUP(CO28,BASE!$E$25:$F$79,2,0)</f>
        <v>புளிமா</v>
      </c>
      <c r="CQ28" s="58" t="str">
        <f>VLOOKUP(CO28,BASE!$E$25:$G$79,3,0)&amp;CE29</f>
        <v>மாநிரை</v>
      </c>
      <c r="CR28" s="58" t="str">
        <f>VLOOKUP(CQ28,BASE!$E$86:$G$93,2,0)</f>
        <v>மாமுன் நிரை</v>
      </c>
      <c r="CS28" s="58" t="str">
        <f>VLOOKUP(CQ28,BASE!$E$86:$G$93,3,0)</f>
        <v>இயற்சீர் வெண்டளை</v>
      </c>
      <c r="CT28" s="58" t="str">
        <f t="shared" si="7"/>
        <v>மூவசைக்கு மிகவில்லை</v>
      </c>
      <c r="CU28" s="59" t="str">
        <f t="shared" si="8"/>
        <v>சரி</v>
      </c>
      <c r="DQ28" s="82"/>
    </row>
    <row r="29" spans="1:121" ht="19.5" customHeight="1" x14ac:dyDescent="0.35">
      <c r="A29" s="119"/>
      <c r="B29" s="12">
        <f>IFERROR(VLOOKUP((LEFT(L29,4)),BASE!$E$12:$F$23,1,0),IFERROR(VLOOKUP((LEFT(L29,3)),BASE!$E$12:$F$23,1,0),IFERROR(VLOOKUP((LEFT(L29,2)),BASE!$E$12:$F$23,1,0),IFERROR(VLOOKUP((LEFT(L29,1)),BASE!$E$12:$F$23,1,0),100))))</f>
        <v>100</v>
      </c>
      <c r="C29" s="12">
        <f>IFERROR(VLOOKUP((LEFT(M29,4)),BASE!$E$12:$F$23,1,0),IFERROR(VLOOKUP((LEFT(M29,3)),BASE!$E$12:$F$23,1,0),IFERROR(VLOOKUP((LEFT(M29,2)),BASE!$E$12:$F$23,1,0),IFERROR(VLOOKUP((LEFT(M29,1)),BASE!$E$12:$F$23,1,0),100))))</f>
        <v>100</v>
      </c>
      <c r="D29" s="12">
        <f>IFERROR(VLOOKUP((LEFT(N29,4)),BASE!$E$12:$F$23,1,0),IFERROR(VLOOKUP((LEFT(N29,3)),BASE!$E$12:$F$23,1,0),IFERROR(VLOOKUP((LEFT(N29,2)),BASE!$E$12:$F$23,1,0),IFERROR(VLOOKUP((LEFT(N29,1)),BASE!$E$12:$F$23,1,0),100))))</f>
        <v>100</v>
      </c>
      <c r="E29" s="12">
        <f>IFERROR(VLOOKUP((LEFT(O29,4)),BASE!$E$12:$F$23,1,0),IFERROR(VLOOKUP((LEFT(O29,3)),BASE!$E$12:$F$23,1,0),IFERROR(VLOOKUP((LEFT(O29,2)),BASE!$E$12:$F$23,1,0),IFERROR(VLOOKUP((LEFT(O29,1)),BASE!$E$12:$F$23,1,0),100))))</f>
        <v>100</v>
      </c>
      <c r="F29" s="12">
        <f>IFERROR(VLOOKUP((LEFT(P29,4)),BASE!$E$12:$F$23,1,0),IFERROR(VLOOKUP((LEFT(P29,3)),BASE!$E$12:$F$23,1,0),IFERROR(VLOOKUP((LEFT(P29,2)),BASE!$E$12:$F$23,1,0),IFERROR(VLOOKUP((LEFT(P29,1)),BASE!$E$12:$F$23,1,0),100))))</f>
        <v>100</v>
      </c>
      <c r="G29" s="12">
        <f>IFERROR(VLOOKUP((LEFT(Q29,4)),BASE!$E$12:$F$23,1,0),IFERROR(VLOOKUP((LEFT(Q29,3)),BASE!$E$12:$F$23,1,0),IFERROR(VLOOKUP((LEFT(Q29,2)),BASE!$E$12:$F$23,1,0),IFERROR(VLOOKUP((LEFT(Q29,1)),BASE!$E$12:$F$23,1,0),100))))</f>
        <v>100</v>
      </c>
      <c r="H29" s="12">
        <f>IFERROR(VLOOKUP((LEFT(R29,4)),BASE!$E$12:$F$23,1,0),IFERROR(VLOOKUP((LEFT(R29,3)),BASE!$E$12:$F$23,1,0),IFERROR(VLOOKUP((LEFT(R29,2)),BASE!$E$12:$F$23,1,0),IFERROR(VLOOKUP((LEFT(R29,1)),BASE!$E$12:$F$23,1,0),100))))</f>
        <v>100</v>
      </c>
      <c r="I29" s="12" t="str">
        <f>IFERROR(VLOOKUP((LEFT(S29,4)),BASE!$E$12:$F$23,1,0),IFERROR(VLOOKUP((LEFT(S29,3)),BASE!$E$12:$F$23,1,0),IFERROR(VLOOKUP((LEFT(S29,2)),BASE!$E$12:$F$23,1,0),IFERROR(VLOOKUP((LEFT(S29,1)),BASE!$E$12:$F$23,1,0),100))))</f>
        <v>ko</v>
      </c>
      <c r="J29" s="12" t="str">
        <f>IFERROR(VLOOKUP((LEFT(T29,4)),BASE!$E$12:$F$24,1,0),IFERROR(VLOOKUP((LEFT(T29,3)),BASE!$E$12:$F$24,1,0),IFERROR(VLOOKUP((LEFT(T29,2)),BASE!$E$12:$F$24,1,0),IFERROR(VLOOKUP((LEFT(T29,1)),BASE!$E$12:$F$24,1,0),100))))</f>
        <v>kk</v>
      </c>
      <c r="K29" s="12" t="str">
        <f>IFERROR(VLOOKUP((LEFT(U29,4)),BASE!$E$12:$F$23,1,0),IFERROR(VLOOKUP((LEFT(U29,3)),BASE!$E$12:$F$23,1,0),IFERROR(VLOOKUP((LEFT(U29,2)),BASE!$E$12:$F$23,1,0),IFERROR(VLOOKUP((LEFT(U29,1)),BASE!$E$12:$F$23,1,0),100))))</f>
        <v>kk</v>
      </c>
      <c r="L29" s="14" t="str">
        <f t="shared" si="0"/>
        <v/>
      </c>
      <c r="M29" s="14" t="str">
        <f t="shared" si="0"/>
        <v/>
      </c>
      <c r="N29" s="14" t="str">
        <f t="shared" si="0"/>
        <v/>
      </c>
      <c r="O29" s="14" t="str">
        <f t="shared" si="0"/>
        <v/>
      </c>
      <c r="P29" s="14" t="str">
        <f t="shared" si="0"/>
        <v/>
      </c>
      <c r="Q29" s="14" t="str">
        <f t="shared" si="0"/>
        <v/>
      </c>
      <c r="R29" s="14" t="str">
        <f t="shared" si="0"/>
        <v/>
      </c>
      <c r="S29" s="14" t="str">
        <f t="shared" si="0"/>
        <v>ko</v>
      </c>
      <c r="T29" s="14" t="str">
        <f t="shared" si="0"/>
        <v>kkko</v>
      </c>
      <c r="U29" s="14" t="str">
        <f t="shared" si="1"/>
        <v>kkkkko</v>
      </c>
      <c r="V29" s="13">
        <f>IFERROR(VLOOKUP(LEFT(AZ29,2),BASE!$C$96:$E$342,3,0),IFERROR(VLOOKUP(LEFT(AZ29,1),BASE!$C$96:$E$342,3,0),100))</f>
        <v>100</v>
      </c>
      <c r="W29" s="13">
        <f>IFERROR(VLOOKUP(LEFT(BA29,2),BASE!$C$96:$E$342,3,0),IFERROR(VLOOKUP(LEFT(BA29,1),BASE!$C$96:$E$342,3,0),100))</f>
        <v>100</v>
      </c>
      <c r="X29" s="13">
        <f>IFERROR(VLOOKUP(LEFT(BB29,2),BASE!$C$96:$E$342,3,0),IFERROR(VLOOKUP(LEFT(BB29,1),BASE!$C$96:$E$342,3,0),100))</f>
        <v>100</v>
      </c>
      <c r="Y29" s="13">
        <f>IFERROR(VLOOKUP(LEFT(BC29,2),BASE!$C$96:$E$342,3,0),IFERROR(VLOOKUP(LEFT(BC29,1),BASE!$C$96:$E$342,3,0),100))</f>
        <v>100</v>
      </c>
      <c r="Z29" s="13">
        <f>IFERROR(VLOOKUP(LEFT(BD29,2),BASE!$C$96:$E$342,3,0),IFERROR(VLOOKUP(LEFT(BD29,1),BASE!$C$96:$E$342,3,0),100))</f>
        <v>2</v>
      </c>
      <c r="AA29" s="13">
        <f>IFERROR(VLOOKUP(LEFT(BE29,2),BASE!$C$96:$E$342,3,0),IFERROR(VLOOKUP(LEFT(BE29,1),BASE!$C$96:$E$342,3,0),100))</f>
        <v>1</v>
      </c>
      <c r="AB29" s="13">
        <f>IFERROR(VLOOKUP(LEFT(BF29,2),BASE!$C$96:$E$342,3,0),IFERROR(VLOOKUP(LEFT(BF29,1),BASE!$C$96:$E$342,3,0),100))</f>
        <v>2</v>
      </c>
      <c r="AC29" s="13">
        <f>IFERROR(VLOOKUP(LEFT(BG29,2),BASE!$C$96:$E$342,3,0),IFERROR(VLOOKUP(LEFT(BG29,1),BASE!$C$96:$E$342,3,0),100))</f>
        <v>2</v>
      </c>
      <c r="AD29" s="13">
        <f>IFERROR(VLOOKUP(LEFT(BH29,2),BASE!$C$96:$E$342,3,0),IFERROR(VLOOKUP(LEFT(BH29,1),BASE!$C$96:$E$342,3,0),100))</f>
        <v>2</v>
      </c>
      <c r="AE29" s="13">
        <f>IFERROR(VLOOKUP(LEFT(BI29,2),BASE!$C$96:$E$342,3,0),IFERROR(VLOOKUP(LEFT(BI29,1),BASE!$C$96:$E$342,3,0),100))</f>
        <v>1</v>
      </c>
      <c r="AF29" s="187" t="str">
        <f>IF(AND(BS29=BR29,AG29="o"),"A", (IFERROR(VLOOKUP(LEFT(AZ29,2),BASE!$C$346:$D$592,2,0),IFERROR(VLOOKUP(LEFT(AZ29,1),BASE!$C$346:$D$5922,2,0),AZ29))))</f>
        <v/>
      </c>
      <c r="AG29" s="187" t="str">
        <f>IF(AND(BR29=BQ29,AH29="o"),"A", (IFERROR(VLOOKUP(LEFT(BA29,2),BASE!$C$346:$D$592,2,0),IFERROR(VLOOKUP(LEFT(BA29,1),BASE!$C$346:$D$592,2,0),BA29))))</f>
        <v/>
      </c>
      <c r="AH29" s="187" t="str">
        <f>IF(AND(BQ29=BP29,AI29="o"),"A", (IFERROR(VLOOKUP(LEFT(BB29,2),BASE!$C$346:$D$592,2,0),IFERROR(VLOOKUP(LEFT(BB29,1),BASE!$C$346:$D$592,2,0),BB29))))</f>
        <v/>
      </c>
      <c r="AI29" s="187" t="str">
        <f>IF(AND(BP29=BO29,AJ29="o"),"A", (IFERROR(VLOOKUP(LEFT(BC29,2),BASE!$C$346:$D$592,2,0),IFERROR(VLOOKUP(LEFT(BC29,1),BASE!$C$346:$D$592,2,0),BC29))))</f>
        <v/>
      </c>
      <c r="AJ29" s="187" t="str">
        <f>IF(AND(BO29=BN29,AK29="o"),"A", (IFERROR(VLOOKUP(LEFT(BD29,2),BASE!$C$346:$D$592,2,0),IFERROR(VLOOKUP(LEFT(BD29,1),BASE!$C$346:$D$592,2,0),BD29))))</f>
        <v>o</v>
      </c>
      <c r="AK29" s="187" t="str">
        <f>IF(AND(BN29=BM29,AL29="o"),"A", (IFERROR(VLOOKUP(LEFT(BE29,2),BASE!$C$346:$D$592,2,0),IFERROR(VLOOKUP(LEFT(BE29,1),BASE!$C$346:$D$592,2,0),BE29))))</f>
        <v>k</v>
      </c>
      <c r="AL29" s="187" t="str">
        <f>IF(AND(BM29=BL29,AM29="o"),"A", (IFERROR(VLOOKUP(LEFT(BF29,2),BASE!$C$346:$D$592,2,0),IFERROR(VLOOKUP(LEFT(BF29,1),BASE!$C$346:$D$592,2,0),BF29))))</f>
        <v>k</v>
      </c>
      <c r="AM29" s="187" t="str">
        <f>IF(AND(BL29=BK29,AN29="o"),"A",(IFERROR(VLOOKUP(LEFT(BG29,2),BASE!$C$346:$D$592,2,0),IFERROR(VLOOKUP(LEFT(BG29,1),BASE!$C$346:$D$592,2,0),BG29))))</f>
        <v>k</v>
      </c>
      <c r="AN29" s="187" t="str">
        <f>(IFERROR(VLOOKUP(LEFT(BH29,2),BASE!$C$346:$D$592,2,0),IFERROR(VLOOKUP(LEFT(BH29,1),BASE!$C$346:$D$592,2,0),BH29)))</f>
        <v>k</v>
      </c>
      <c r="AO29" s="187" t="str">
        <f>(IFERROR(VLOOKUP(LEFT(BI29,2),BASE!$C$96:$D$342,2,0),IFERROR(VLOOKUP(LEFT(BI29,1),BASE!$C$96:$D$342,2,0),BI29)))</f>
        <v>k</v>
      </c>
      <c r="AP29" s="5">
        <f t="shared" si="2"/>
        <v>10</v>
      </c>
      <c r="AQ29" s="5">
        <f t="shared" si="2"/>
        <v>10</v>
      </c>
      <c r="AR29" s="5">
        <f t="shared" si="2"/>
        <v>10</v>
      </c>
      <c r="AS29" s="5">
        <f t="shared" si="2"/>
        <v>10</v>
      </c>
      <c r="AT29" s="5">
        <f t="shared" si="2"/>
        <v>10</v>
      </c>
      <c r="AU29" s="5">
        <f t="shared" si="2"/>
        <v>10</v>
      </c>
      <c r="AV29" s="5">
        <f t="shared" si="2"/>
        <v>10</v>
      </c>
      <c r="AW29" s="5">
        <f t="shared" si="2"/>
        <v>10</v>
      </c>
      <c r="AX29" s="5">
        <f t="shared" si="2"/>
        <v>10</v>
      </c>
      <c r="AY29" s="5">
        <f t="shared" si="3"/>
        <v>10</v>
      </c>
      <c r="AZ29" s="12" t="str">
        <f t="shared" si="4"/>
        <v/>
      </c>
      <c r="BA29" s="12" t="str">
        <f t="shared" si="4"/>
        <v/>
      </c>
      <c r="BB29" s="12" t="str">
        <f t="shared" si="4"/>
        <v/>
      </c>
      <c r="BC29" s="12" t="str">
        <f t="shared" si="4"/>
        <v/>
      </c>
      <c r="BD29" s="12" t="str">
        <f t="shared" si="4"/>
        <v>ம்</v>
      </c>
      <c r="BE29" s="12" t="str">
        <f t="shared" si="4"/>
        <v>ரம்</v>
      </c>
      <c r="BF29" s="12" t="str">
        <f t="shared" si="4"/>
        <v>யிரம்</v>
      </c>
      <c r="BG29" s="12" t="str">
        <f t="shared" si="4"/>
        <v>வையிரம்</v>
      </c>
      <c r="BH29" s="43" t="str">
        <f t="shared" si="4"/>
        <v>ரைவையிரம்</v>
      </c>
      <c r="BI29" s="57" t="str">
        <f>CE12</f>
        <v>வரைவையிரம்</v>
      </c>
      <c r="BJ29" s="58" t="str">
        <f>IFERROR(VLOOKUP(LEFT(BI29,2),BASE!$C$96:$F$342,1,0),IFERROR(VLOOKUP(LEFT(BI29,1),BASE!$C$96:$F$342,1,0),BI29))</f>
        <v>வ</v>
      </c>
      <c r="BK29" s="58" t="str">
        <f>IFERROR(VLOOKUP(LEFT(BH29,2),BASE!$C$96:$D$342,1,0),IFERROR(VLOOKUP(LEFT(BH29,1),BASE!$C$96:$D$342,1,0),BH29))</f>
        <v>ரை</v>
      </c>
      <c r="BL29" s="58" t="str">
        <f>IFERROR(VLOOKUP(LEFT(BG29,2),BASE!$C$96:$D$342,1,0),IFERROR(VLOOKUP(LEFT(BG29,1),BASE!$C$96:$D$342,1,0),BG29))</f>
        <v>வை</v>
      </c>
      <c r="BM29" s="58" t="str">
        <f>IFERROR(VLOOKUP(LEFT(BF29,2),BASE!$C$96:$D$342,1,0),IFERROR(VLOOKUP(LEFT(BF29,1),BASE!$C$96:$D$342,1,0),BF29))</f>
        <v>யி</v>
      </c>
      <c r="BN29" s="58" t="str">
        <f>IFERROR(VLOOKUP(LEFT(BE29,2),BASE!$C$96:$D$342,1,0),IFERROR(VLOOKUP(LEFT(BE29,1),BASE!$C$96:$D$342,1,0),BE29))</f>
        <v>ர</v>
      </c>
      <c r="BO29" s="58" t="str">
        <f>IFERROR(VLOOKUP(LEFT(BD29,2),BASE!$C$96:$D$342,1,0),IFERROR(VLOOKUP(LEFT(BD29,1),BASE!$C$96:$D$342,1,0),BD29))</f>
        <v>ம்</v>
      </c>
      <c r="BP29" s="58" t="str">
        <f>IFERROR(VLOOKUP(LEFT(BC29,2),BASE!$C$96:$D$342,1,0),IFERROR(VLOOKUP(LEFT(BC29,1),BASE!$C$96:$D$342,1,0),BC29))</f>
        <v/>
      </c>
      <c r="BQ29" s="58" t="str">
        <f>IFERROR(VLOOKUP(LEFT(BB29,2),BASE!$C$96:$D$342,1,0),IFERROR(VLOOKUP(LEFT(BB29,1),BASE!$C$96:$D$342,1,0),BB29))</f>
        <v/>
      </c>
      <c r="BR29" s="58" t="str">
        <f>IFERROR(VLOOKUP(LEFT(BA29,2),BASE!$C$96:$D$342,1,0),IFERROR(VLOOKUP(LEFT(BA29,1),BASE!$C$96:$D$342,1,0),BA29))</f>
        <v/>
      </c>
      <c r="BS29" s="58" t="str">
        <f>IFERROR(VLOOKUP(LEFT(AZ29,2),BASE!$C$96:$D$342,1,0),IFERROR(VLOOKUP(LEFT(AZ29,1),BASE!$C$96:$D$342,1,0),AZ29))</f>
        <v/>
      </c>
      <c r="BT29" s="186" t="str">
        <f>(IFERROR(VLOOKUP(LEFT(BI29,2),BASE!$C$96:$F$342,4,0),IFERROR(VLOOKUP(LEFT(BI29,1),BASE!$C$96:$F$342,4,0),BI29)))</f>
        <v>கு</v>
      </c>
      <c r="BU29" s="186" t="str">
        <f>(IFERROR(VLOOKUP(LEFT(BH29,2),BASE!$C$346:$F$592,4,0),IFERROR(VLOOKUP(LEFT(BH29,1),BASE!$C$346:$F$592,4,0),BH29)))</f>
        <v>கு</v>
      </c>
      <c r="BV29" s="186" t="str">
        <f>(IFERROR(VLOOKUP(LEFT(BG29,2),BASE!$C$346:$F$592,4,0),IFERROR(VLOOKUP(LEFT(BG29,1),BASE!$C$346:$F$592,4,0),BG29)))</f>
        <v>கு</v>
      </c>
      <c r="BW29" s="186" t="str">
        <f>(IFERROR(VLOOKUP(LEFT(BF29,2),BASE!$C$346:$F$592,4,0),IFERROR(VLOOKUP(LEFT(BF29,1),BASE!$C$346:$F$592,4,0),BF29)))</f>
        <v>கு</v>
      </c>
      <c r="BX29" s="186" t="str">
        <f>(IFERROR(VLOOKUP(LEFT(BE29,2),BASE!$C$346:$F$592,4,0),IFERROR(VLOOKUP(LEFT(BE29,1),BASE!$C$346:$F$592,4,0),BE29)))</f>
        <v>கு</v>
      </c>
      <c r="BY29" s="186" t="str">
        <f>(IFERROR(VLOOKUP(LEFT(BD29,2),BASE!$C$346:$F$592,4,0),IFERROR(VLOOKUP(LEFT(BD29,1),BASE!$C$346:$F$592,4,0),BD29)))</f>
        <v>ஒ</v>
      </c>
      <c r="BZ29" s="186" t="str">
        <f>(IFERROR(VLOOKUP(LEFT(BC29,2),BASE!$C$346:$F$592,4,0),IFERROR(VLOOKUP(LEFT(BC29,1),BASE!$C$346:$F$592,4,0),BC29)))</f>
        <v/>
      </c>
      <c r="CA29" s="186" t="str">
        <f>(IFERROR(VLOOKUP(LEFT(BB29,2),BASE!$C$346:$F$592,4,0),IFERROR(VLOOKUP(LEFT(BB29,1),BASE!$C$346:$F$592,4,0),BB29)))</f>
        <v/>
      </c>
      <c r="CB29" s="186" t="str">
        <f>(IFERROR(VLOOKUP(LEFT(BA29,2),BASE!$C$346:$F$592,4,0),IFERROR(VLOOKUP(LEFT(BA29,1),BASE!$C$346:$F$592,4,0),BA29)))</f>
        <v/>
      </c>
      <c r="CC29" s="186" t="str">
        <f>(IFERROR(VLOOKUP(LEFT(AZ29,2),BASE!$C$346:$F$592,4,0),IFERROR(VLOOKUP(LEFT(AZ29,1),BASE!$C$346:$F$592,4,0),AZ29)))</f>
        <v/>
      </c>
      <c r="CD29" s="58" t="str">
        <f t="shared" si="5"/>
        <v>குகுகுகுகுஒ</v>
      </c>
      <c r="CE29" s="58" t="str">
        <f>IFERROR(VLOOKUP((LEFT(U29,4)),BASE!$E$12:$F$23,2,0),IFERROR(VLOOKUP((LEFT(U29,3)),BASE!$E$12:$F$23,2,0),IFERROR(VLOOKUP((LEFT(U29,2)),BASE!$E$12:$F$23,2,0),IFERROR(VLOOKUP((LEFT(U29,1)),BASE!$E$12:$F$23,2,0),U29))))</f>
        <v>நிரை</v>
      </c>
      <c r="CF29" s="58" t="str">
        <f>IFERROR(VLOOKUP((LEFT(T29,4)),BASE!$E$12:$F$24,2,0),IFERROR(VLOOKUP((LEFT(T29,3)),BASE!$E$12:$F$24,2,0),IFERROR(VLOOKUP((LEFT(T29,2)),BASE!$E$12:$F$24,2,0),IFERROR(VLOOKUP((LEFT(T29,1)),BASE!$E$12:$F$24,2,0),T29))))</f>
        <v>நிரை</v>
      </c>
      <c r="CG29" s="58" t="str">
        <f>IFERROR(VLOOKUP((LEFT(S29,4)),BASE!$E$12:$F$23,2,0),IFERROR(VLOOKUP((LEFT(S29,3)),BASE!$E$12:$F$23,2,0),IFERROR(VLOOKUP((LEFT(S29,2)),BASE!$E$12:$F$23,2,0),IFERROR(VLOOKUP((LEFT(S29,1)),BASE!$E$12:$F$23,2,0),S29))))</f>
        <v>நேர்</v>
      </c>
      <c r="CH29" s="58" t="str">
        <f>IFERROR(VLOOKUP((LEFT(R29,4)),BASE!$E$12:$F$23,2,0),IFERROR(VLOOKUP((LEFT(R29,3)),BASE!$E$12:$F$23,2,0),IFERROR(VLOOKUP((LEFT(R29,2)),BASE!$E$12:$F$23,2,0),IFERROR(VLOOKUP((LEFT(R29,1)),BASE!$E$12:$F$23,2,0),R29))))</f>
        <v/>
      </c>
      <c r="CI29" s="58" t="str">
        <f>IFERROR(VLOOKUP((LEFT(Q29,4)),BASE!$E$12:$F$23,2,0),IFERROR(VLOOKUP((LEFT(Q29,3)),BASE!$E$12:$F$23,2,0),IFERROR(VLOOKUP((LEFT(Q29,2)),BASE!$E$12:$F$23,2,0),IFERROR(VLOOKUP((LEFT(Q29,1)),BASE!$E$12:$F$23,2,0),Q29))))</f>
        <v/>
      </c>
      <c r="CJ29" s="58" t="str">
        <f>IFERROR(VLOOKUP((LEFT(P29,4)),BASE!$E$12:$F$23,2,0),IFERROR(VLOOKUP((LEFT(P29,3)),BASE!$E$12:$F$23,2,0),IFERROR(VLOOKUP((LEFT(P29,2)),BASE!$E$12:$F$23,2,0),IFERROR(VLOOKUP((LEFT(P29,1)),BASE!$E$12:$F$23,2,0),P29))))</f>
        <v/>
      </c>
      <c r="CK29" s="58" t="str">
        <f>IFERROR(VLOOKUP((LEFT(O29,4)),BASE!$E$12:$F$23,2,0),IFERROR(VLOOKUP((LEFT(O29,3)),BASE!$E$12:$F$23,2,0),IFERROR(VLOOKUP((LEFT(O29,2)),BASE!$E$12:$F$23,2,0),IFERROR(VLOOKUP((LEFT(O29,1)),BASE!$E$12:$F$23,2,0),O29))))</f>
        <v/>
      </c>
      <c r="CL29" s="58" t="str">
        <f>IFERROR(VLOOKUP((LEFT(N29,4)),BASE!$E$12:$F$23,2,0),IFERROR(VLOOKUP((LEFT(N29,3)),BASE!$E$12:$F$23,2,0),IFERROR(VLOOKUP((LEFT(N29,2)),BASE!$E$12:$F$23,2,0),IFERROR(VLOOKUP((LEFT(N29,1)),BASE!$E$12:$F$23,2,0),N29))))</f>
        <v/>
      </c>
      <c r="CM29" s="58" t="str">
        <f>IFERROR(VLOOKUP((LEFT(M29,4)),BASE!$E$12:$F$23,2,0),IFERROR(VLOOKUP((LEFT(M29,3)),BASE!$E$12:$F$23,2,0),IFERROR(VLOOKUP((LEFT(M29,2)),BASE!$E$12:$F$23,2,0),IFERROR(VLOOKUP((LEFT(M29,1)),BASE!$E$12:$F$23,2,0),M29))))</f>
        <v/>
      </c>
      <c r="CN29" s="58" t="str">
        <f>IFERROR(VLOOKUP((LEFT(L29,4)),BASE!$E$12:$F$23,2,0),IFERROR(VLOOKUP((LEFT(L29,3)),BASE!$E$12:$F$23,2,0),IFERROR(VLOOKUP((LEFT(L29,2)),BASE!$E$12:$F$23,2,0),IFERROR(VLOOKUP((LEFT(L29,1)),BASE!$E$12:$F$23,2,0),L29))))</f>
        <v/>
      </c>
      <c r="CO29" s="58" t="str">
        <f t="shared" si="6"/>
        <v>நிரைநிரைநேர்</v>
      </c>
      <c r="CP29" s="58" t="str">
        <f>VLOOKUP(CO29,BASE!$E$25:$F$79,2,0)</f>
        <v>கருவிளங்காய்</v>
      </c>
      <c r="CQ29" s="58" t="str">
        <f>VLOOKUP(CO29,BASE!$E$25:$G$79,3,0)&amp;CE30</f>
        <v>காய்நேர்</v>
      </c>
      <c r="CR29" s="58" t="str">
        <f>VLOOKUP(CQ29,BASE!$E$86:$G$93,2,0)</f>
        <v>காய் முன் நேர்</v>
      </c>
      <c r="CS29" s="58" t="str">
        <f>VLOOKUP(CQ29,BASE!$E$86:$G$93,3,0)</f>
        <v>வெண்சீர் வெண்டளை</v>
      </c>
      <c r="CT29" s="58" t="str">
        <f t="shared" si="7"/>
        <v>மூவசைக்கு மிகவில்லை</v>
      </c>
      <c r="CU29" s="59" t="str">
        <f t="shared" si="8"/>
        <v>சரி</v>
      </c>
      <c r="DQ29" s="82"/>
    </row>
    <row r="30" spans="1:121" ht="19.5" customHeight="1" x14ac:dyDescent="0.35">
      <c r="A30" s="119"/>
      <c r="B30" s="12">
        <f>IFERROR(VLOOKUP((LEFT(L30,4)),BASE!$E$12:$F$23,1,0),IFERROR(VLOOKUP((LEFT(L30,3)),BASE!$E$12:$F$23,1,0),IFERROR(VLOOKUP((LEFT(L30,2)),BASE!$E$12:$F$23,1,0),IFERROR(VLOOKUP((LEFT(L30,1)),BASE!$E$12:$F$23,1,0),100))))</f>
        <v>100</v>
      </c>
      <c r="C30" s="12">
        <f>IFERROR(VLOOKUP((LEFT(M30,4)),BASE!$E$12:$F$23,1,0),IFERROR(VLOOKUP((LEFT(M30,3)),BASE!$E$12:$F$23,1,0),IFERROR(VLOOKUP((LEFT(M30,2)),BASE!$E$12:$F$23,1,0),IFERROR(VLOOKUP((LEFT(M30,1)),BASE!$E$12:$F$23,1,0),100))))</f>
        <v>100</v>
      </c>
      <c r="D30" s="12">
        <f>IFERROR(VLOOKUP((LEFT(N30,4)),BASE!$E$12:$F$23,1,0),IFERROR(VLOOKUP((LEFT(N30,3)),BASE!$E$12:$F$23,1,0),IFERROR(VLOOKUP((LEFT(N30,2)),BASE!$E$12:$F$23,1,0),IFERROR(VLOOKUP((LEFT(N30,1)),BASE!$E$12:$F$23,1,0),100))))</f>
        <v>100</v>
      </c>
      <c r="E30" s="12">
        <f>IFERROR(VLOOKUP((LEFT(O30,4)),BASE!$E$12:$F$23,1,0),IFERROR(VLOOKUP((LEFT(O30,3)),BASE!$E$12:$F$23,1,0),IFERROR(VLOOKUP((LEFT(O30,2)),BASE!$E$12:$F$23,1,0),IFERROR(VLOOKUP((LEFT(O30,1)),BASE!$E$12:$F$23,1,0),100))))</f>
        <v>100</v>
      </c>
      <c r="F30" s="12">
        <f>IFERROR(VLOOKUP((LEFT(P30,4)),BASE!$E$12:$F$23,1,0),IFERROR(VLOOKUP((LEFT(P30,3)),BASE!$E$12:$F$23,1,0),IFERROR(VLOOKUP((LEFT(P30,2)),BASE!$E$12:$F$23,1,0),IFERROR(VLOOKUP((LEFT(P30,1)),BASE!$E$12:$F$23,1,0),100))))</f>
        <v>100</v>
      </c>
      <c r="G30" s="12">
        <f>IFERROR(VLOOKUP((LEFT(Q30,4)),BASE!$E$12:$F$23,1,0),IFERROR(VLOOKUP((LEFT(Q30,3)),BASE!$E$12:$F$23,1,0),IFERROR(VLOOKUP((LEFT(Q30,2)),BASE!$E$12:$F$23,1,0),IFERROR(VLOOKUP((LEFT(Q30,1)),BASE!$E$12:$F$23,1,0),100))))</f>
        <v>100</v>
      </c>
      <c r="H30" s="12">
        <f>IFERROR(VLOOKUP((LEFT(R30,4)),BASE!$E$12:$F$23,1,0),IFERROR(VLOOKUP((LEFT(R30,3)),BASE!$E$12:$F$23,1,0),IFERROR(VLOOKUP((LEFT(R30,2)),BASE!$E$12:$F$23,1,0),IFERROR(VLOOKUP((LEFT(R30,1)),BASE!$E$12:$F$23,1,0),100))))</f>
        <v>100</v>
      </c>
      <c r="I30" s="12">
        <f>IFERROR(VLOOKUP((LEFT(S30,4)),BASE!$E$12:$F$23,1,0),IFERROR(VLOOKUP((LEFT(S30,3)),BASE!$E$12:$F$23,1,0),IFERROR(VLOOKUP((LEFT(S30,2)),BASE!$E$12:$F$23,1,0),IFERROR(VLOOKUP((LEFT(S30,1)),BASE!$E$12:$F$23,1,0),100))))</f>
        <v>100</v>
      </c>
      <c r="J30" s="12" t="str">
        <f>IFERROR(VLOOKUP((LEFT(T30,4)),BASE!$E$12:$F$24,1,0),IFERROR(VLOOKUP((LEFT(T30,3)),BASE!$E$12:$F$24,1,0),IFERROR(VLOOKUP((LEFT(T30,2)),BASE!$E$12:$F$24,1,0),IFERROR(VLOOKUP((LEFT(T30,1)),BASE!$E$12:$F$24,1,0),100))))</f>
        <v>k</v>
      </c>
      <c r="K30" s="12" t="str">
        <f>IFERROR(VLOOKUP((LEFT(U30,4)),BASE!$E$12:$F$23,1,0),IFERROR(VLOOKUP((LEFT(U30,3)),BASE!$E$12:$F$23,1,0),IFERROR(VLOOKUP((LEFT(U30,2)),BASE!$E$12:$F$23,1,0),IFERROR(VLOOKUP((LEFT(U30,1)),BASE!$E$12:$F$23,1,0),100))))</f>
        <v>ko</v>
      </c>
      <c r="L30" s="14" t="str">
        <f t="shared" si="0"/>
        <v/>
      </c>
      <c r="M30" s="14" t="str">
        <f t="shared" si="0"/>
        <v/>
      </c>
      <c r="N30" s="14" t="str">
        <f t="shared" si="0"/>
        <v/>
      </c>
      <c r="O30" s="14" t="str">
        <f t="shared" si="0"/>
        <v/>
      </c>
      <c r="P30" s="14" t="str">
        <f t="shared" si="0"/>
        <v/>
      </c>
      <c r="Q30" s="14" t="str">
        <f t="shared" si="0"/>
        <v/>
      </c>
      <c r="R30" s="14" t="str">
        <f t="shared" si="0"/>
        <v/>
      </c>
      <c r="S30" s="14" t="str">
        <f t="shared" si="0"/>
        <v/>
      </c>
      <c r="T30" s="14" t="str">
        <f t="shared" si="0"/>
        <v>k</v>
      </c>
      <c r="U30" s="14" t="str">
        <f t="shared" si="1"/>
        <v>kok</v>
      </c>
      <c r="V30" s="13">
        <f>IFERROR(VLOOKUP(LEFT(AZ30,2),BASE!$C$96:$E$342,3,0),IFERROR(VLOOKUP(LEFT(AZ30,1),BASE!$C$96:$E$342,3,0),100))</f>
        <v>100</v>
      </c>
      <c r="W30" s="13">
        <f>IFERROR(VLOOKUP(LEFT(BA30,2),BASE!$C$96:$E$342,3,0),IFERROR(VLOOKUP(LEFT(BA30,1),BASE!$C$96:$E$342,3,0),100))</f>
        <v>100</v>
      </c>
      <c r="X30" s="13">
        <f>IFERROR(VLOOKUP(LEFT(BB30,2),BASE!$C$96:$E$342,3,0),IFERROR(VLOOKUP(LEFT(BB30,1),BASE!$C$96:$E$342,3,0),100))</f>
        <v>100</v>
      </c>
      <c r="Y30" s="13">
        <f>IFERROR(VLOOKUP(LEFT(BC30,2),BASE!$C$96:$E$342,3,0),IFERROR(VLOOKUP(LEFT(BC30,1),BASE!$C$96:$E$342,3,0),100))</f>
        <v>100</v>
      </c>
      <c r="Z30" s="13">
        <f>IFERROR(VLOOKUP(LEFT(BD30,2),BASE!$C$96:$E$342,3,0),IFERROR(VLOOKUP(LEFT(BD30,1),BASE!$C$96:$E$342,3,0),100))</f>
        <v>100</v>
      </c>
      <c r="AA30" s="13">
        <f>IFERROR(VLOOKUP(LEFT(BE30,2),BASE!$C$96:$E$342,3,0),IFERROR(VLOOKUP(LEFT(BE30,1),BASE!$C$96:$E$342,3,0),100))</f>
        <v>100</v>
      </c>
      <c r="AB30" s="13">
        <f>IFERROR(VLOOKUP(LEFT(BF30,2),BASE!$C$96:$E$342,3,0),IFERROR(VLOOKUP(LEFT(BF30,1),BASE!$C$96:$E$342,3,0),100))</f>
        <v>100</v>
      </c>
      <c r="AC30" s="13">
        <f>IFERROR(VLOOKUP(LEFT(BG30,2),BASE!$C$96:$E$342,3,0),IFERROR(VLOOKUP(LEFT(BG30,1),BASE!$C$96:$E$342,3,0),100))</f>
        <v>2</v>
      </c>
      <c r="AD30" s="13">
        <f>IFERROR(VLOOKUP(LEFT(BH30,2),BASE!$C$96:$E$342,3,0),IFERROR(VLOOKUP(LEFT(BH30,1),BASE!$C$96:$E$342,3,0),100))</f>
        <v>2</v>
      </c>
      <c r="AE30" s="13">
        <f>IFERROR(VLOOKUP(LEFT(BI30,2),BASE!$C$96:$E$342,3,0),IFERROR(VLOOKUP(LEFT(BI30,1),BASE!$C$96:$E$342,3,0),100))</f>
        <v>2</v>
      </c>
      <c r="AF30" s="187" t="str">
        <f>IF(AND(BS30=BR30,AG30="o"),"A", (IFERROR(VLOOKUP(LEFT(AZ30,2),BASE!$C$346:$D$592,2,0),IFERROR(VLOOKUP(LEFT(AZ30,1),BASE!$C$346:$D$5922,2,0),AZ30))))</f>
        <v/>
      </c>
      <c r="AG30" s="187" t="str">
        <f>IF(AND(BR30=BQ30,AH30="o"),"A", (IFERROR(VLOOKUP(LEFT(BA30,2),BASE!$C$346:$D$592,2,0),IFERROR(VLOOKUP(LEFT(BA30,1),BASE!$C$346:$D$592,2,0),BA30))))</f>
        <v/>
      </c>
      <c r="AH30" s="187" t="str">
        <f>IF(AND(BQ30=BP30,AI30="o"),"A", (IFERROR(VLOOKUP(LEFT(BB30,2),BASE!$C$346:$D$592,2,0),IFERROR(VLOOKUP(LEFT(BB30,1),BASE!$C$346:$D$592,2,0),BB30))))</f>
        <v/>
      </c>
      <c r="AI30" s="187" t="str">
        <f>IF(AND(BP30=BO30,AJ30="o"),"A", (IFERROR(VLOOKUP(LEFT(BC30,2),BASE!$C$346:$D$592,2,0),IFERROR(VLOOKUP(LEFT(BC30,1),BASE!$C$346:$D$592,2,0),BC30))))</f>
        <v/>
      </c>
      <c r="AJ30" s="187" t="str">
        <f>IF(AND(BO30=BN30,AK30="o"),"A", (IFERROR(VLOOKUP(LEFT(BD30,2),BASE!$C$346:$D$592,2,0),IFERROR(VLOOKUP(LEFT(BD30,1),BASE!$C$346:$D$592,2,0),BD30))))</f>
        <v/>
      </c>
      <c r="AK30" s="187" t="str">
        <f>IF(AND(BN30=BM30,AL30="o"),"A", (IFERROR(VLOOKUP(LEFT(BE30,2),BASE!$C$346:$D$592,2,0),IFERROR(VLOOKUP(LEFT(BE30,1),BASE!$C$346:$D$592,2,0),BE30))))</f>
        <v/>
      </c>
      <c r="AL30" s="187" t="str">
        <f>IF(AND(BM30=BL30,AM30="o"),"A", (IFERROR(VLOOKUP(LEFT(BF30,2),BASE!$C$346:$D$592,2,0),IFERROR(VLOOKUP(LEFT(BF30,1),BASE!$C$346:$D$592,2,0),BF30))))</f>
        <v/>
      </c>
      <c r="AM30" s="187" t="str">
        <f>IF(AND(BL30=BK30,AN30="o"),"A",(IFERROR(VLOOKUP(LEFT(BG30,2),BASE!$C$346:$D$592,2,0),IFERROR(VLOOKUP(LEFT(BG30,1),BASE!$C$346:$D$592,2,0),BG30))))</f>
        <v>k</v>
      </c>
      <c r="AN30" s="187" t="str">
        <f>(IFERROR(VLOOKUP(LEFT(BH30,2),BASE!$C$346:$D$592,2,0),IFERROR(VLOOKUP(LEFT(BH30,1),BASE!$C$346:$D$592,2,0),BH30)))</f>
        <v>o</v>
      </c>
      <c r="AO30" s="187" t="str">
        <f>(IFERROR(VLOOKUP(LEFT(BI30,2),BASE!$C$96:$D$342,2,0),IFERROR(VLOOKUP(LEFT(BI30,1),BASE!$C$96:$D$342,2,0),BI30)))</f>
        <v>k</v>
      </c>
      <c r="AP30" s="5">
        <f t="shared" si="2"/>
        <v>6</v>
      </c>
      <c r="AQ30" s="5">
        <f t="shared" si="2"/>
        <v>6</v>
      </c>
      <c r="AR30" s="5">
        <f t="shared" si="2"/>
        <v>6</v>
      </c>
      <c r="AS30" s="5">
        <f t="shared" si="2"/>
        <v>6</v>
      </c>
      <c r="AT30" s="5">
        <f t="shared" si="2"/>
        <v>6</v>
      </c>
      <c r="AU30" s="5">
        <f t="shared" si="2"/>
        <v>6</v>
      </c>
      <c r="AV30" s="5">
        <f t="shared" si="2"/>
        <v>6</v>
      </c>
      <c r="AW30" s="5">
        <f t="shared" si="2"/>
        <v>6</v>
      </c>
      <c r="AX30" s="5">
        <f t="shared" si="2"/>
        <v>6</v>
      </c>
      <c r="AY30" s="5">
        <f t="shared" si="3"/>
        <v>6</v>
      </c>
      <c r="AZ30" s="12" t="str">
        <f t="shared" si="4"/>
        <v/>
      </c>
      <c r="BA30" s="12" t="str">
        <f t="shared" si="4"/>
        <v/>
      </c>
      <c r="BB30" s="12" t="str">
        <f t="shared" si="4"/>
        <v/>
      </c>
      <c r="BC30" s="12" t="str">
        <f t="shared" si="4"/>
        <v/>
      </c>
      <c r="BD30" s="12" t="str">
        <f t="shared" si="4"/>
        <v/>
      </c>
      <c r="BE30" s="12" t="str">
        <f t="shared" si="4"/>
        <v/>
      </c>
      <c r="BF30" s="12" t="str">
        <f t="shared" si="4"/>
        <v/>
      </c>
      <c r="BG30" s="12" t="str">
        <f t="shared" si="4"/>
        <v>டு</v>
      </c>
      <c r="BH30" s="43" t="str">
        <f t="shared" si="4"/>
        <v>ண்டு</v>
      </c>
      <c r="BI30" s="57" t="str">
        <f>CF12</f>
        <v>கொண்டு</v>
      </c>
      <c r="BJ30" s="58" t="str">
        <f>IFERROR(VLOOKUP(LEFT(BI30,2),BASE!$C$96:$F$342,1,0),IFERROR(VLOOKUP(LEFT(BI30,1),BASE!$C$96:$F$342,1,0),BI30))</f>
        <v>கொ</v>
      </c>
      <c r="BK30" s="58" t="str">
        <f>IFERROR(VLOOKUP(LEFT(BH30,2),BASE!$C$96:$D$342,1,0),IFERROR(VLOOKUP(LEFT(BH30,1),BASE!$C$96:$D$342,1,0),BH30))</f>
        <v>ண்</v>
      </c>
      <c r="BL30" s="58" t="str">
        <f>IFERROR(VLOOKUP(LEFT(BG30,2),BASE!$C$96:$D$342,1,0),IFERROR(VLOOKUP(LEFT(BG30,1),BASE!$C$96:$D$342,1,0),BG30))</f>
        <v>டு</v>
      </c>
      <c r="BM30" s="58" t="str">
        <f>IFERROR(VLOOKUP(LEFT(BF30,2),BASE!$C$96:$D$342,1,0),IFERROR(VLOOKUP(LEFT(BF30,1),BASE!$C$96:$D$342,1,0),BF30))</f>
        <v/>
      </c>
      <c r="BN30" s="58" t="str">
        <f>IFERROR(VLOOKUP(LEFT(BE30,2),BASE!$C$96:$D$342,1,0),IFERROR(VLOOKUP(LEFT(BE30,1),BASE!$C$96:$D$342,1,0),BE30))</f>
        <v/>
      </c>
      <c r="BO30" s="58" t="str">
        <f>IFERROR(VLOOKUP(LEFT(BD30,2),BASE!$C$96:$D$342,1,0),IFERROR(VLOOKUP(LEFT(BD30,1),BASE!$C$96:$D$342,1,0),BD30))</f>
        <v/>
      </c>
      <c r="BP30" s="58" t="str">
        <f>IFERROR(VLOOKUP(LEFT(BC30,2),BASE!$C$96:$D$342,1,0),IFERROR(VLOOKUP(LEFT(BC30,1),BASE!$C$96:$D$342,1,0),BC30))</f>
        <v/>
      </c>
      <c r="BQ30" s="58" t="str">
        <f>IFERROR(VLOOKUP(LEFT(BB30,2),BASE!$C$96:$D$342,1,0),IFERROR(VLOOKUP(LEFT(BB30,1),BASE!$C$96:$D$342,1,0),BB30))</f>
        <v/>
      </c>
      <c r="BR30" s="58" t="str">
        <f>IFERROR(VLOOKUP(LEFT(BA30,2),BASE!$C$96:$D$342,1,0),IFERROR(VLOOKUP(LEFT(BA30,1),BASE!$C$96:$D$342,1,0),BA30))</f>
        <v/>
      </c>
      <c r="BS30" s="58" t="str">
        <f>IFERROR(VLOOKUP(LEFT(AZ30,2),BASE!$C$96:$D$342,1,0),IFERROR(VLOOKUP(LEFT(AZ30,1),BASE!$C$96:$D$342,1,0),AZ30))</f>
        <v/>
      </c>
      <c r="BT30" s="186" t="str">
        <f>(IFERROR(VLOOKUP(LEFT(BI30,2),BASE!$C$96:$F$342,4,0),IFERROR(VLOOKUP(LEFT(BI30,1),BASE!$C$96:$F$342,4,0),BI30)))</f>
        <v>கு</v>
      </c>
      <c r="BU30" s="186" t="str">
        <f>(IFERROR(VLOOKUP(LEFT(BH30,2),BASE!$C$346:$F$592,4,0),IFERROR(VLOOKUP(LEFT(BH30,1),BASE!$C$346:$F$592,4,0),BH30)))</f>
        <v>ஒ</v>
      </c>
      <c r="BV30" s="186" t="str">
        <f>(IFERROR(VLOOKUP(LEFT(BG30,2),BASE!$C$346:$F$592,4,0),IFERROR(VLOOKUP(LEFT(BG30,1),BASE!$C$346:$F$592,4,0),BG30)))</f>
        <v>கு</v>
      </c>
      <c r="BW30" s="186" t="str">
        <f>(IFERROR(VLOOKUP(LEFT(BF30,2),BASE!$C$346:$F$592,4,0),IFERROR(VLOOKUP(LEFT(BF30,1),BASE!$C$346:$F$592,4,0),BF30)))</f>
        <v/>
      </c>
      <c r="BX30" s="186" t="str">
        <f>(IFERROR(VLOOKUP(LEFT(BE30,2),BASE!$C$346:$F$592,4,0),IFERROR(VLOOKUP(LEFT(BE30,1),BASE!$C$346:$F$592,4,0),BE30)))</f>
        <v/>
      </c>
      <c r="BY30" s="186" t="str">
        <f>(IFERROR(VLOOKUP(LEFT(BD30,2),BASE!$C$346:$F$592,4,0),IFERROR(VLOOKUP(LEFT(BD30,1),BASE!$C$346:$F$592,4,0),BD30)))</f>
        <v/>
      </c>
      <c r="BZ30" s="186" t="str">
        <f>(IFERROR(VLOOKUP(LEFT(BC30,2),BASE!$C$346:$F$592,4,0),IFERROR(VLOOKUP(LEFT(BC30,1),BASE!$C$346:$F$592,4,0),BC30)))</f>
        <v/>
      </c>
      <c r="CA30" s="186" t="str">
        <f>(IFERROR(VLOOKUP(LEFT(BB30,2),BASE!$C$346:$F$592,4,0),IFERROR(VLOOKUP(LEFT(BB30,1),BASE!$C$346:$F$592,4,0),BB30)))</f>
        <v/>
      </c>
      <c r="CB30" s="186" t="str">
        <f>(IFERROR(VLOOKUP(LEFT(BA30,2),BASE!$C$346:$F$592,4,0),IFERROR(VLOOKUP(LEFT(BA30,1),BASE!$C$346:$F$592,4,0),BA30)))</f>
        <v/>
      </c>
      <c r="CC30" s="186" t="str">
        <f>(IFERROR(VLOOKUP(LEFT(AZ30,2),BASE!$C$346:$F$592,4,0),IFERROR(VLOOKUP(LEFT(AZ30,1),BASE!$C$346:$F$592,4,0),AZ30)))</f>
        <v/>
      </c>
      <c r="CD30" s="58" t="str">
        <f t="shared" si="5"/>
        <v>குஒகு</v>
      </c>
      <c r="CE30" s="58" t="str">
        <f>IFERROR(VLOOKUP((LEFT(U30,4)),BASE!$E$12:$F$23,2,0),IFERROR(VLOOKUP((LEFT(U30,3)),BASE!$E$12:$F$23,2,0),IFERROR(VLOOKUP((LEFT(U30,2)),BASE!$E$12:$F$23,2,0),IFERROR(VLOOKUP((LEFT(U30,1)),BASE!$E$12:$F$23,2,0),U30))))</f>
        <v>நேர்</v>
      </c>
      <c r="CF30" s="58" t="str">
        <f>IFERROR(VLOOKUP((LEFT(T30,4)),BASE!$E$12:$F$24,2,0),IFERROR(VLOOKUP((LEFT(T30,3)),BASE!$E$12:$F$24,2,0),IFERROR(VLOOKUP((LEFT(T30,2)),BASE!$E$12:$F$24,2,0),IFERROR(VLOOKUP((LEFT(T30,1)),BASE!$E$12:$F$24,2,0),T30))))</f>
        <v>நேர்</v>
      </c>
      <c r="CG30" s="58" t="str">
        <f>IFERROR(VLOOKUP((LEFT(S30,4)),BASE!$E$12:$F$23,2,0),IFERROR(VLOOKUP((LEFT(S30,3)),BASE!$E$12:$F$23,2,0),IFERROR(VLOOKUP((LEFT(S30,2)),BASE!$E$12:$F$23,2,0),IFERROR(VLOOKUP((LEFT(S30,1)),BASE!$E$12:$F$23,2,0),S30))))</f>
        <v/>
      </c>
      <c r="CH30" s="58" t="str">
        <f>IFERROR(VLOOKUP((LEFT(R30,4)),BASE!$E$12:$F$23,2,0),IFERROR(VLOOKUP((LEFT(R30,3)),BASE!$E$12:$F$23,2,0),IFERROR(VLOOKUP((LEFT(R30,2)),BASE!$E$12:$F$23,2,0),IFERROR(VLOOKUP((LEFT(R30,1)),BASE!$E$12:$F$23,2,0),R30))))</f>
        <v/>
      </c>
      <c r="CI30" s="58" t="str">
        <f>IFERROR(VLOOKUP((LEFT(Q30,4)),BASE!$E$12:$F$23,2,0),IFERROR(VLOOKUP((LEFT(Q30,3)),BASE!$E$12:$F$23,2,0),IFERROR(VLOOKUP((LEFT(Q30,2)),BASE!$E$12:$F$23,2,0),IFERROR(VLOOKUP((LEFT(Q30,1)),BASE!$E$12:$F$23,2,0),Q30))))</f>
        <v/>
      </c>
      <c r="CJ30" s="58" t="str">
        <f>IFERROR(VLOOKUP((LEFT(P30,4)),BASE!$E$12:$F$23,2,0),IFERROR(VLOOKUP((LEFT(P30,3)),BASE!$E$12:$F$23,2,0),IFERROR(VLOOKUP((LEFT(P30,2)),BASE!$E$12:$F$23,2,0),IFERROR(VLOOKUP((LEFT(P30,1)),BASE!$E$12:$F$23,2,0),P30))))</f>
        <v/>
      </c>
      <c r="CK30" s="58" t="str">
        <f>IFERROR(VLOOKUP((LEFT(O30,4)),BASE!$E$12:$F$23,2,0),IFERROR(VLOOKUP((LEFT(O30,3)),BASE!$E$12:$F$23,2,0),IFERROR(VLOOKUP((LEFT(O30,2)),BASE!$E$12:$F$23,2,0),IFERROR(VLOOKUP((LEFT(O30,1)),BASE!$E$12:$F$23,2,0),O30))))</f>
        <v/>
      </c>
      <c r="CL30" s="58" t="str">
        <f>IFERROR(VLOOKUP((LEFT(N30,4)),BASE!$E$12:$F$23,2,0),IFERROR(VLOOKUP((LEFT(N30,3)),BASE!$E$12:$F$23,2,0),IFERROR(VLOOKUP((LEFT(N30,2)),BASE!$E$12:$F$23,2,0),IFERROR(VLOOKUP((LEFT(N30,1)),BASE!$E$12:$F$23,2,0),N30))))</f>
        <v/>
      </c>
      <c r="CM30" s="58" t="str">
        <f>IFERROR(VLOOKUP((LEFT(M30,4)),BASE!$E$12:$F$23,2,0),IFERROR(VLOOKUP((LEFT(M30,3)),BASE!$E$12:$F$23,2,0),IFERROR(VLOOKUP((LEFT(M30,2)),BASE!$E$12:$F$23,2,0),IFERROR(VLOOKUP((LEFT(M30,1)),BASE!$E$12:$F$23,2,0),M30))))</f>
        <v/>
      </c>
      <c r="CN30" s="58" t="str">
        <f>IFERROR(VLOOKUP((LEFT(L30,4)),BASE!$E$12:$F$23,2,0),IFERROR(VLOOKUP((LEFT(L30,3)),BASE!$E$12:$F$23,2,0),IFERROR(VLOOKUP((LEFT(L30,2)),BASE!$E$12:$F$23,2,0),IFERROR(VLOOKUP((LEFT(L30,1)),BASE!$E$12:$F$23,2,0),L30))))</f>
        <v/>
      </c>
      <c r="CO30" s="58" t="str">
        <f t="shared" si="6"/>
        <v>நேர்நேர்</v>
      </c>
      <c r="CP30" s="58" t="str">
        <f>VLOOKUP(CO30,BASE!E80:F83,2,0)</f>
        <v>காசு</v>
      </c>
      <c r="CQ30" s="58"/>
      <c r="CR30" s="58"/>
      <c r="CS30" s="58"/>
      <c r="CT30" s="58" t="str">
        <f>IF((OR(CG30="நிரை",CG30="நேர்")),"இரு அசைகட்கு மிகக்கூடாது","ஈரசைக்கு மிகவில்லை")</f>
        <v>ஈரசைக்கு மிகவில்லை</v>
      </c>
      <c r="CU30" s="59" t="str">
        <f>IFERROR((IF((OR(CP30="நாள்",CP30="மலர்",CP30="காசு",CP30="பிறப்பு")),"சரி","தளை தட்டுகிறது")),"பிழை")</f>
        <v>சரி</v>
      </c>
      <c r="DQ30" s="82"/>
    </row>
    <row r="31" spans="1:121" s="82" customFormat="1" ht="17.399999999999999" thickBot="1" x14ac:dyDescent="0.4">
      <c r="A31" s="119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12"/>
      <c r="BA31" s="12"/>
      <c r="BB31" s="12"/>
      <c r="BC31" s="12"/>
      <c r="BD31" s="12"/>
      <c r="BE31" s="12"/>
      <c r="BF31" s="12"/>
      <c r="BG31" s="12"/>
      <c r="BH31" s="43"/>
      <c r="BI31" s="109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110"/>
      <c r="BY31" s="110"/>
      <c r="BZ31" s="110"/>
      <c r="CA31" s="110"/>
      <c r="CB31" s="110"/>
      <c r="CC31" s="110"/>
      <c r="CD31" s="110"/>
      <c r="CE31" s="110"/>
      <c r="CF31" s="110"/>
      <c r="CG31" s="110"/>
      <c r="CH31" s="110"/>
      <c r="CI31" s="110"/>
      <c r="CJ31" s="110"/>
      <c r="CK31" s="110"/>
      <c r="CL31" s="110"/>
      <c r="CM31" s="110"/>
      <c r="CN31" s="110"/>
      <c r="CO31" s="110"/>
      <c r="CP31" s="110"/>
      <c r="CQ31" s="110"/>
      <c r="CR31" s="110"/>
      <c r="CS31" s="110"/>
      <c r="CT31" s="110"/>
      <c r="CU31" s="111"/>
    </row>
    <row r="32" spans="1:121" s="82" customFormat="1" ht="17.399999999999999" thickBot="1" x14ac:dyDescent="0.4">
      <c r="A32" s="119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12"/>
      <c r="BA32" s="12"/>
      <c r="BB32" s="12"/>
      <c r="BC32" s="12"/>
      <c r="BD32" s="12"/>
      <c r="BE32" s="12"/>
      <c r="BF32" s="12"/>
      <c r="BG32" s="12"/>
      <c r="BH32" s="43"/>
      <c r="BI32" s="145" t="s">
        <v>484</v>
      </c>
      <c r="BJ32" s="146"/>
      <c r="BK32" s="146"/>
      <c r="BL32" s="146"/>
      <c r="BM32" s="146"/>
      <c r="BN32" s="146"/>
      <c r="BO32" s="146"/>
      <c r="BP32" s="146"/>
      <c r="BQ32" s="146"/>
      <c r="BR32" s="146"/>
      <c r="BS32" s="146"/>
      <c r="BT32" s="146"/>
      <c r="BU32" s="146"/>
      <c r="BV32" s="146"/>
      <c r="BW32" s="146"/>
      <c r="BX32" s="146"/>
      <c r="BY32" s="146"/>
      <c r="BZ32" s="146"/>
      <c r="CA32" s="146"/>
      <c r="CB32" s="146"/>
      <c r="CC32" s="146"/>
      <c r="CD32" s="146"/>
      <c r="CE32" s="146" t="s">
        <v>502</v>
      </c>
      <c r="CF32" s="146"/>
      <c r="CG32" s="146" t="s">
        <v>504</v>
      </c>
      <c r="CH32" s="146"/>
      <c r="CI32" s="146"/>
      <c r="CJ32" s="146"/>
      <c r="CK32" s="146"/>
      <c r="CL32" s="146"/>
      <c r="CM32" s="146"/>
      <c r="CN32" s="146"/>
      <c r="CO32" s="146"/>
      <c r="CP32" s="146" t="s">
        <v>503</v>
      </c>
      <c r="CQ32" s="147"/>
      <c r="CR32" s="146" t="s">
        <v>502</v>
      </c>
      <c r="CS32" s="148"/>
      <c r="CT32" s="110"/>
      <c r="CU32" s="111"/>
    </row>
    <row r="33" spans="1:99" s="82" customFormat="1" ht="31.2" x14ac:dyDescent="0.35">
      <c r="A33" s="119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12"/>
      <c r="BA33" s="12"/>
      <c r="BB33" s="12"/>
      <c r="BC33" s="12"/>
      <c r="BD33" s="12"/>
      <c r="BE33" s="12"/>
      <c r="BF33" s="12"/>
      <c r="BG33" s="12"/>
      <c r="BH33" s="43"/>
      <c r="BI33" s="138" t="str">
        <f>CD6</f>
        <v>அரிய</v>
      </c>
      <c r="BJ33" s="139"/>
      <c r="BK33" s="139"/>
      <c r="BL33" s="139"/>
      <c r="BM33" s="139"/>
      <c r="BN33" s="139"/>
      <c r="BO33" s="139"/>
      <c r="BP33" s="139"/>
      <c r="BQ33" s="139"/>
      <c r="BR33" s="139"/>
      <c r="BS33" s="139"/>
      <c r="BT33" s="139"/>
      <c r="BU33" s="139"/>
      <c r="BV33" s="139"/>
      <c r="BW33" s="139"/>
      <c r="BX33" s="139"/>
      <c r="BY33" s="139"/>
      <c r="BZ33" s="139"/>
      <c r="CA33" s="139"/>
      <c r="CB33" s="139"/>
      <c r="CC33" s="139"/>
      <c r="CD33" s="139" t="str">
        <f t="shared" ref="CD33:CD38" si="9">MID(BI33,2,1)</f>
        <v>ர</v>
      </c>
      <c r="CE33" s="139" t="str">
        <f t="shared" ref="CE33:CE38" si="10">IF(OR(CD33="ா",CD33="ி",CD33="ீ",CD33="ு",CD33="ூ",CD33="ெ",CD33="ே",CD33="ை",CD33="ொ",CD33="ோ",CD33="ௌ"),MID(BI33,1,2),MID(BI33,1,1))</f>
        <v>அ</v>
      </c>
      <c r="CF33" s="139" t="str">
        <f t="shared" ref="CF33:CF38" si="11">IF(OR(CD33="ா",CD33="ி",CD33="ீ",CD33="ு",CD33="ூ",CD33="ெ",CD33="ே",CD33="ை",CD33="ொ",CD33="ோ",CD33="ௌ"),MID(BI33,3,2),MID(BI33,2,2))</f>
        <v>ரி</v>
      </c>
      <c r="CG33" s="139" t="str">
        <f t="shared" ref="CG33:CG38" si="12">IF(OR(CD33="ா",CD33="ி",CD33="ீ",CD33="ு",CD33="ூ",CD33="ெ",CD33="ே",CD33="ை",CD33="ொ",CD33="ோ",CD33="ௌ"),MID(BI33,3,1),MID(BI33,2,1))</f>
        <v>ர</v>
      </c>
      <c r="CH33" s="139"/>
      <c r="CI33" s="139"/>
      <c r="CJ33" s="139"/>
      <c r="CK33" s="139"/>
      <c r="CL33" s="139"/>
      <c r="CM33" s="139"/>
      <c r="CN33" s="139"/>
      <c r="CO33" s="139"/>
      <c r="CP33" s="139" t="str">
        <f>CG33&amp;CG34</f>
        <v>ரர</v>
      </c>
      <c r="CQ33" s="139"/>
      <c r="CR33" s="142" t="str">
        <f>VLOOKUP(CE33,BASE!$C$96:$F$342,4,0)</f>
        <v>கு</v>
      </c>
      <c r="CS33" s="149" t="str">
        <f>IF((AND((AND(CR33=CR34,CR33=CR36)),AND(RIGHT(CP34,2)="கை",RIGHT(CP36,2)="கை"))),"1,5,8-ஆம் சீர்களில் அடி எதுகை","அடி எதுகை அமையப் பெறவில்லை")</f>
        <v>1,5,8-ஆம் சீர்களில் அடி எதுகை</v>
      </c>
      <c r="CT33" s="110"/>
      <c r="CU33" s="111"/>
    </row>
    <row r="34" spans="1:99" s="82" customFormat="1" ht="16.8" x14ac:dyDescent="0.35">
      <c r="A34" s="119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12"/>
      <c r="BA34" s="12"/>
      <c r="BB34" s="12"/>
      <c r="BC34" s="12"/>
      <c r="BD34" s="12"/>
      <c r="BE34" s="12"/>
      <c r="BF34" s="12"/>
      <c r="BG34" s="12"/>
      <c r="BH34" s="43"/>
      <c r="BI34" s="131" t="str">
        <f>CD8</f>
        <v>பெரிய</v>
      </c>
      <c r="BJ34" s="114"/>
      <c r="BK34" s="114"/>
      <c r="BL34" s="114"/>
      <c r="BM34" s="114"/>
      <c r="BN34" s="114"/>
      <c r="BO34" s="114"/>
      <c r="BP34" s="114"/>
      <c r="BQ34" s="114"/>
      <c r="BR34" s="114"/>
      <c r="BS34" s="114"/>
      <c r="BT34" s="114"/>
      <c r="BU34" s="114"/>
      <c r="BV34" s="114"/>
      <c r="BW34" s="114"/>
      <c r="BX34" s="114"/>
      <c r="BY34" s="114"/>
      <c r="BZ34" s="114"/>
      <c r="CA34" s="114"/>
      <c r="CB34" s="114"/>
      <c r="CC34" s="114"/>
      <c r="CD34" s="114" t="str">
        <f t="shared" si="9"/>
        <v>ெ</v>
      </c>
      <c r="CE34" s="114" t="str">
        <f t="shared" si="10"/>
        <v>பெ</v>
      </c>
      <c r="CF34" s="114" t="str">
        <f t="shared" si="11"/>
        <v>ரி</v>
      </c>
      <c r="CG34" s="114" t="str">
        <f t="shared" si="12"/>
        <v>ர</v>
      </c>
      <c r="CH34" s="114"/>
      <c r="CI34" s="114"/>
      <c r="CJ34" s="114"/>
      <c r="CK34" s="114"/>
      <c r="CL34" s="114"/>
      <c r="CM34" s="114"/>
      <c r="CN34" s="114"/>
      <c r="CO34" s="114"/>
      <c r="CP34" s="114" t="str">
        <f>IF(EXACT(CF33,CF34),"எதுகை",IF(EXACT(CG33,CG34),"2-எதுகை",IFERROR((VLOOKUP(CP33,BASE!V1:W108,2,0)),"எதுகை அமையவில்லை")))</f>
        <v>எதுகை</v>
      </c>
      <c r="CQ34" s="114"/>
      <c r="CR34" s="143" t="str">
        <f>VLOOKUP(CE34,BASE!$C$96:$F$342,4,0)</f>
        <v>கு</v>
      </c>
      <c r="CS34" s="151" t="str">
        <f>IF((RIGHT(CS33,2)="கை"),"சரி","அடி எதுகை அமையவில்லை")</f>
        <v>சரி</v>
      </c>
      <c r="CT34" s="110"/>
      <c r="CU34" s="111"/>
    </row>
    <row r="35" spans="1:99" s="82" customFormat="1" ht="16.8" x14ac:dyDescent="0.35">
      <c r="A35" s="119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12"/>
      <c r="BA35" s="12"/>
      <c r="BB35" s="12"/>
      <c r="BC35" s="12"/>
      <c r="BD35" s="12"/>
      <c r="BE35" s="12"/>
      <c r="BF35" s="12"/>
      <c r="BG35" s="12"/>
      <c r="BH35" s="43"/>
      <c r="BI35" s="131" t="str">
        <f>BI34</f>
        <v>பெரிய</v>
      </c>
      <c r="BJ35" s="114"/>
      <c r="BK35" s="114"/>
      <c r="BL35" s="114"/>
      <c r="BM35" s="114"/>
      <c r="BN35" s="114"/>
      <c r="BO35" s="114"/>
      <c r="BP35" s="114"/>
      <c r="BQ35" s="114"/>
      <c r="BR35" s="114"/>
      <c r="BS35" s="114"/>
      <c r="BT35" s="114"/>
      <c r="BU35" s="114"/>
      <c r="BV35" s="114"/>
      <c r="BW35" s="114"/>
      <c r="BX35" s="114"/>
      <c r="BY35" s="114"/>
      <c r="BZ35" s="114"/>
      <c r="CA35" s="114"/>
      <c r="CB35" s="114"/>
      <c r="CC35" s="114"/>
      <c r="CD35" s="114" t="str">
        <f t="shared" si="9"/>
        <v>ெ</v>
      </c>
      <c r="CE35" s="114" t="str">
        <f t="shared" si="10"/>
        <v>பெ</v>
      </c>
      <c r="CF35" s="114" t="str">
        <f t="shared" si="11"/>
        <v>ரி</v>
      </c>
      <c r="CG35" s="114" t="str">
        <f t="shared" si="12"/>
        <v>ர</v>
      </c>
      <c r="CH35" s="114"/>
      <c r="CI35" s="114"/>
      <c r="CJ35" s="114"/>
      <c r="CK35" s="114"/>
      <c r="CL35" s="114"/>
      <c r="CM35" s="114"/>
      <c r="CN35" s="114"/>
      <c r="CO35" s="114"/>
      <c r="CP35" s="114" t="str">
        <f>CG35&amp;CG36</f>
        <v>ரர</v>
      </c>
      <c r="CQ35" s="114"/>
      <c r="CR35" s="143"/>
      <c r="CS35" s="152"/>
      <c r="CT35" s="110"/>
      <c r="CU35" s="111"/>
    </row>
    <row r="36" spans="1:99" s="82" customFormat="1" ht="17.399999999999999" thickBot="1" x14ac:dyDescent="0.4">
      <c r="A36" s="119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12"/>
      <c r="BA36" s="12"/>
      <c r="BB36" s="12"/>
      <c r="BC36" s="12"/>
      <c r="BD36" s="12"/>
      <c r="BE36" s="12"/>
      <c r="BF36" s="12"/>
      <c r="BG36" s="12"/>
      <c r="BH36" s="43"/>
      <c r="BI36" s="140" t="str">
        <f>CG8</f>
        <v>தெரியின்</v>
      </c>
      <c r="BJ36" s="141"/>
      <c r="BK36" s="141"/>
      <c r="BL36" s="141"/>
      <c r="BM36" s="141"/>
      <c r="BN36" s="141"/>
      <c r="BO36" s="141"/>
      <c r="BP36" s="141"/>
      <c r="BQ36" s="141"/>
      <c r="BR36" s="141"/>
      <c r="BS36" s="141"/>
      <c r="BT36" s="141"/>
      <c r="BU36" s="141"/>
      <c r="BV36" s="141"/>
      <c r="BW36" s="141"/>
      <c r="BX36" s="141"/>
      <c r="BY36" s="141"/>
      <c r="BZ36" s="141"/>
      <c r="CA36" s="141"/>
      <c r="CB36" s="141"/>
      <c r="CC36" s="141"/>
      <c r="CD36" s="141" t="str">
        <f t="shared" si="9"/>
        <v>ெ</v>
      </c>
      <c r="CE36" s="141" t="str">
        <f t="shared" si="10"/>
        <v>தெ</v>
      </c>
      <c r="CF36" s="141" t="str">
        <f t="shared" si="11"/>
        <v>ரி</v>
      </c>
      <c r="CG36" s="141" t="str">
        <f t="shared" si="12"/>
        <v>ர</v>
      </c>
      <c r="CH36" s="141"/>
      <c r="CI36" s="141"/>
      <c r="CJ36" s="141"/>
      <c r="CK36" s="141"/>
      <c r="CL36" s="141"/>
      <c r="CM36" s="141"/>
      <c r="CN36" s="141"/>
      <c r="CO36" s="141"/>
      <c r="CP36" s="141" t="str">
        <f>IF(EXACT(CF35,CF36),"எதுகை",IF(EXACT(CG35,CG36),"2-எதுகை",IFERROR((VLOOKUP(CP35,DG41:DH148,2,0)),"எதுகை அமையவில்லை")))</f>
        <v>எதுகை</v>
      </c>
      <c r="CQ36" s="141"/>
      <c r="CR36" s="144" t="str">
        <f>VLOOKUP(CE36,BASE!$C$96:$F$342,4,0)</f>
        <v>கு</v>
      </c>
      <c r="CS36" s="150"/>
      <c r="CT36" s="31"/>
      <c r="CU36" s="49"/>
    </row>
    <row r="37" spans="1:99" s="82" customFormat="1" ht="31.2" x14ac:dyDescent="0.35">
      <c r="A37" s="119"/>
      <c r="B37" s="133"/>
      <c r="C37" s="133"/>
      <c r="D37" s="133"/>
      <c r="E37" s="133"/>
      <c r="F37" s="133"/>
      <c r="G37" s="133"/>
      <c r="H37" s="133"/>
      <c r="I37" s="133"/>
      <c r="J37" s="133"/>
      <c r="K37" s="133"/>
      <c r="L37" s="134"/>
      <c r="M37" s="134"/>
      <c r="N37" s="134"/>
      <c r="O37" s="134"/>
      <c r="P37" s="134"/>
      <c r="Q37" s="134"/>
      <c r="R37" s="134"/>
      <c r="S37" s="134"/>
      <c r="T37" s="134"/>
      <c r="U37" s="134"/>
      <c r="V37" s="135"/>
      <c r="W37" s="135"/>
      <c r="X37" s="135"/>
      <c r="Y37" s="135"/>
      <c r="Z37" s="135"/>
      <c r="AA37" s="135"/>
      <c r="AB37" s="135"/>
      <c r="AC37" s="135"/>
      <c r="AD37" s="135"/>
      <c r="AE37" s="135"/>
      <c r="AF37" s="133"/>
      <c r="AG37" s="133"/>
      <c r="AH37" s="133"/>
      <c r="AI37" s="133"/>
      <c r="AJ37" s="133"/>
      <c r="AK37" s="133"/>
      <c r="AL37" s="133"/>
      <c r="AM37" s="133"/>
      <c r="AN37" s="133"/>
      <c r="AO37" s="133"/>
      <c r="AP37" s="136"/>
      <c r="AQ37" s="136"/>
      <c r="AR37" s="136"/>
      <c r="AS37" s="136"/>
      <c r="AT37" s="136"/>
      <c r="AU37" s="136"/>
      <c r="AV37" s="136"/>
      <c r="AW37" s="136"/>
      <c r="AX37" s="136"/>
      <c r="AY37" s="136"/>
      <c r="AZ37" s="133"/>
      <c r="BA37" s="133"/>
      <c r="BB37" s="133"/>
      <c r="BC37" s="133"/>
      <c r="BD37" s="133"/>
      <c r="BE37" s="133"/>
      <c r="BF37" s="133"/>
      <c r="BG37" s="133"/>
      <c r="BH37" s="137"/>
      <c r="BI37" s="153" t="str">
        <f>CD10</f>
        <v>கரிய</v>
      </c>
      <c r="BJ37" s="154"/>
      <c r="BK37" s="154"/>
      <c r="BL37" s="154"/>
      <c r="BM37" s="154"/>
      <c r="BN37" s="154"/>
      <c r="BO37" s="154"/>
      <c r="BP37" s="154"/>
      <c r="BQ37" s="154"/>
      <c r="BR37" s="154"/>
      <c r="BS37" s="154"/>
      <c r="BT37" s="154"/>
      <c r="BU37" s="154"/>
      <c r="BV37" s="154"/>
      <c r="BW37" s="154"/>
      <c r="BX37" s="154"/>
      <c r="BY37" s="154"/>
      <c r="BZ37" s="154"/>
      <c r="CA37" s="154"/>
      <c r="CB37" s="154"/>
      <c r="CC37" s="154"/>
      <c r="CD37" s="154" t="str">
        <f t="shared" si="9"/>
        <v>ர</v>
      </c>
      <c r="CE37" s="154" t="str">
        <f t="shared" si="10"/>
        <v>க</v>
      </c>
      <c r="CF37" s="154" t="str">
        <f t="shared" si="11"/>
        <v>ரி</v>
      </c>
      <c r="CG37" s="154" t="str">
        <f t="shared" si="12"/>
        <v>ர</v>
      </c>
      <c r="CH37" s="154"/>
      <c r="CI37" s="154"/>
      <c r="CJ37" s="154"/>
      <c r="CK37" s="154"/>
      <c r="CL37" s="154"/>
      <c r="CM37" s="154"/>
      <c r="CN37" s="154"/>
      <c r="CO37" s="154"/>
      <c r="CP37" s="154" t="str">
        <f>CG37&amp;CG38</f>
        <v>ரர</v>
      </c>
      <c r="CQ37" s="154"/>
      <c r="CR37" s="154" t="str">
        <f>VLOOKUP(CE37,BASE!$C$96:$F$342,4,0)</f>
        <v>கு</v>
      </c>
      <c r="CS37" s="149" t="str">
        <f>IF((RIGHT(CP38,2))="கை","9 &amp;13-ஆம் சீர்களில் அடி எதுகை","அடி எதுகை அமையப் பெறவில்லை")</f>
        <v>9 &amp;13-ஆம் சீர்களில் அடி எதுகை</v>
      </c>
      <c r="CT37" s="31"/>
      <c r="CU37" s="49"/>
    </row>
    <row r="38" spans="1:99" s="82" customFormat="1" ht="17.399999999999999" thickBot="1" x14ac:dyDescent="0.4">
      <c r="A38" s="119"/>
      <c r="B38" s="133"/>
      <c r="C38" s="133"/>
      <c r="D38" s="133"/>
      <c r="E38" s="133"/>
      <c r="F38" s="133"/>
      <c r="G38" s="133"/>
      <c r="H38" s="133"/>
      <c r="I38" s="133"/>
      <c r="J38" s="133"/>
      <c r="K38" s="133"/>
      <c r="L38" s="134"/>
      <c r="M38" s="134"/>
      <c r="N38" s="134"/>
      <c r="O38" s="134"/>
      <c r="P38" s="134"/>
      <c r="Q38" s="134"/>
      <c r="R38" s="134"/>
      <c r="S38" s="134"/>
      <c r="T38" s="134"/>
      <c r="U38" s="134"/>
      <c r="V38" s="135"/>
      <c r="W38" s="135"/>
      <c r="X38" s="135"/>
      <c r="Y38" s="135"/>
      <c r="Z38" s="135"/>
      <c r="AA38" s="135"/>
      <c r="AB38" s="135"/>
      <c r="AC38" s="135"/>
      <c r="AD38" s="135"/>
      <c r="AE38" s="135"/>
      <c r="AF38" s="133"/>
      <c r="AG38" s="133"/>
      <c r="AH38" s="133"/>
      <c r="AI38" s="133"/>
      <c r="AJ38" s="133"/>
      <c r="AK38" s="133"/>
      <c r="AL38" s="133"/>
      <c r="AM38" s="133"/>
      <c r="AN38" s="133"/>
      <c r="AO38" s="133"/>
      <c r="AP38" s="136"/>
      <c r="AQ38" s="136"/>
      <c r="AR38" s="136"/>
      <c r="AS38" s="136"/>
      <c r="AT38" s="136"/>
      <c r="AU38" s="136"/>
      <c r="AV38" s="136"/>
      <c r="AW38" s="136"/>
      <c r="AX38" s="136"/>
      <c r="AY38" s="136"/>
      <c r="AZ38" s="133"/>
      <c r="BA38" s="133"/>
      <c r="BB38" s="133"/>
      <c r="BC38" s="133"/>
      <c r="BD38" s="133"/>
      <c r="BE38" s="133"/>
      <c r="BF38" s="133"/>
      <c r="BG38" s="133"/>
      <c r="BH38" s="137"/>
      <c r="BI38" s="131" t="str">
        <f>CD12</f>
        <v>பெரிய</v>
      </c>
      <c r="BJ38" s="114"/>
      <c r="BK38" s="114"/>
      <c r="BL38" s="114"/>
      <c r="BM38" s="114"/>
      <c r="BN38" s="114"/>
      <c r="BO38" s="114"/>
      <c r="BP38" s="114"/>
      <c r="BQ38" s="114"/>
      <c r="BR38" s="114"/>
      <c r="BS38" s="114"/>
      <c r="BT38" s="114"/>
      <c r="BU38" s="114"/>
      <c r="BV38" s="114"/>
      <c r="BW38" s="114"/>
      <c r="BX38" s="114"/>
      <c r="BY38" s="114"/>
      <c r="BZ38" s="114"/>
      <c r="CA38" s="114"/>
      <c r="CB38" s="114"/>
      <c r="CC38" s="114"/>
      <c r="CD38" s="114" t="str">
        <f t="shared" si="9"/>
        <v>ெ</v>
      </c>
      <c r="CE38" s="114" t="str">
        <f t="shared" si="10"/>
        <v>பெ</v>
      </c>
      <c r="CF38" s="114" t="str">
        <f t="shared" si="11"/>
        <v>ரி</v>
      </c>
      <c r="CG38" s="114" t="str">
        <f t="shared" si="12"/>
        <v>ர</v>
      </c>
      <c r="CH38" s="114"/>
      <c r="CI38" s="114"/>
      <c r="CJ38" s="114"/>
      <c r="CK38" s="114"/>
      <c r="CL38" s="114"/>
      <c r="CM38" s="114"/>
      <c r="CN38" s="114"/>
      <c r="CO38" s="114"/>
      <c r="CP38" s="114" t="str">
        <f>IF(EXACT(CF37,CF38),"எதுகை",IF(EXACT(CG37,CG38),"2-எதுகை",IFERROR((VLOOKUP(CP37,BASE!V1:W108,2,0)),"எதுகை அமையவில்லை")))</f>
        <v>எதுகை</v>
      </c>
      <c r="CQ38" s="114"/>
      <c r="CR38" s="114" t="str">
        <f>VLOOKUP(CE38,BASE!$C$96:$F$342,4,0)</f>
        <v>கு</v>
      </c>
      <c r="CS38" s="112" t="str">
        <f>IF((RIGHT(CS37,2)="கை"),"சரி","அடி எதுகை அமையவில்லை")</f>
        <v>சரி</v>
      </c>
      <c r="CT38" s="31"/>
      <c r="CU38" s="49"/>
    </row>
    <row r="39" spans="1:99" s="82" customFormat="1" ht="31.8" thickBot="1" x14ac:dyDescent="0.4">
      <c r="A39" s="123"/>
      <c r="B39" s="124"/>
      <c r="C39" s="124"/>
      <c r="D39" s="124"/>
      <c r="E39" s="124"/>
      <c r="F39" s="124"/>
      <c r="G39" s="124"/>
      <c r="H39" s="124"/>
      <c r="I39" s="124"/>
      <c r="J39" s="124"/>
      <c r="K39" s="124"/>
      <c r="L39" s="125"/>
      <c r="M39" s="125"/>
      <c r="N39" s="125"/>
      <c r="O39" s="125"/>
      <c r="P39" s="125"/>
      <c r="Q39" s="125"/>
      <c r="R39" s="125"/>
      <c r="S39" s="125"/>
      <c r="T39" s="125"/>
      <c r="U39" s="125"/>
      <c r="V39" s="126"/>
      <c r="W39" s="126"/>
      <c r="X39" s="126"/>
      <c r="Y39" s="126"/>
      <c r="Z39" s="126"/>
      <c r="AA39" s="126"/>
      <c r="AB39" s="126"/>
      <c r="AC39" s="126"/>
      <c r="AD39" s="126"/>
      <c r="AE39" s="126"/>
      <c r="AF39" s="124"/>
      <c r="AG39" s="124"/>
      <c r="AH39" s="124"/>
      <c r="AI39" s="124"/>
      <c r="AJ39" s="124"/>
      <c r="AK39" s="124"/>
      <c r="AL39" s="124"/>
      <c r="AM39" s="124"/>
      <c r="AN39" s="124"/>
      <c r="AO39" s="124"/>
      <c r="AP39" s="127"/>
      <c r="AQ39" s="127"/>
      <c r="AR39" s="127"/>
      <c r="AS39" s="127"/>
      <c r="AT39" s="127"/>
      <c r="AU39" s="127"/>
      <c r="AV39" s="127"/>
      <c r="AW39" s="127"/>
      <c r="AX39" s="127"/>
      <c r="AY39" s="127"/>
      <c r="AZ39" s="124"/>
      <c r="BA39" s="124"/>
      <c r="BB39" s="124"/>
      <c r="BC39" s="124"/>
      <c r="BD39" s="124"/>
      <c r="BE39" s="124"/>
      <c r="BF39" s="124"/>
      <c r="BG39" s="124"/>
      <c r="BH39" s="128"/>
      <c r="BI39" s="145"/>
      <c r="BJ39" s="146"/>
      <c r="BK39" s="146"/>
      <c r="BL39" s="146"/>
      <c r="BM39" s="146"/>
      <c r="BN39" s="146"/>
      <c r="BO39" s="146"/>
      <c r="BP39" s="146"/>
      <c r="BQ39" s="146"/>
      <c r="BR39" s="146"/>
      <c r="BS39" s="146"/>
      <c r="BT39" s="146"/>
      <c r="BU39" s="146"/>
      <c r="BV39" s="146"/>
      <c r="BW39" s="146"/>
      <c r="BX39" s="146"/>
      <c r="BY39" s="146"/>
      <c r="BZ39" s="146"/>
      <c r="CA39" s="146"/>
      <c r="CB39" s="146"/>
      <c r="CC39" s="146"/>
      <c r="CD39" s="146"/>
      <c r="CE39" s="146"/>
      <c r="CF39" s="146"/>
      <c r="CG39" s="156" t="s">
        <v>508</v>
      </c>
      <c r="CH39" s="146"/>
      <c r="CI39" s="146"/>
      <c r="CJ39" s="146"/>
      <c r="CK39" s="146"/>
      <c r="CL39" s="146"/>
      <c r="CM39" s="146"/>
      <c r="CN39" s="146"/>
      <c r="CO39" s="146"/>
      <c r="CP39" s="157" t="str">
        <f>IF(EXACT(CF36,CF37),"எதுகை",IF(EXACT(CG36,CG37),"2-எதுகை","எதுகை அமையவில்லை"))</f>
        <v>எதுகை</v>
      </c>
      <c r="CQ39" s="147"/>
      <c r="CR39" s="155" t="s">
        <v>505</v>
      </c>
      <c r="CS39" s="158" t="str">
        <f>IF((CS34&amp;CS38&amp;CP39)="சரிசரிஎதுகை","ஒரு விகற்ப எதுகை",IF((CS34&amp;CS38&amp;CP39)="சரிசரிஎதுகை அமையவில்லை","இரு விகற்ப எதுகை"))</f>
        <v>ஒரு விகற்ப எதுகை</v>
      </c>
      <c r="CT39" s="55"/>
      <c r="CU39" s="56"/>
    </row>
    <row r="40" spans="1:99" s="82" customFormat="1" ht="19.5" customHeight="1" x14ac:dyDescent="0.35">
      <c r="B40" s="115"/>
      <c r="C40" s="115"/>
      <c r="D40" s="115"/>
      <c r="E40" s="115"/>
      <c r="F40" s="115"/>
      <c r="G40" s="115"/>
      <c r="H40" s="115"/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5"/>
      <c r="V40" s="115"/>
      <c r="W40" s="115"/>
      <c r="X40" s="115"/>
      <c r="Y40" s="115"/>
      <c r="Z40" s="115"/>
      <c r="AA40" s="115"/>
      <c r="AB40" s="115"/>
      <c r="AC40" s="115"/>
      <c r="AD40" s="115"/>
      <c r="AE40" s="115"/>
      <c r="AF40" s="115"/>
      <c r="AG40" s="115"/>
      <c r="AH40" s="115"/>
      <c r="AI40" s="115"/>
      <c r="AJ40" s="115"/>
      <c r="AK40" s="115"/>
      <c r="AL40" s="115"/>
      <c r="AM40" s="115"/>
      <c r="AN40" s="115"/>
      <c r="AO40" s="115"/>
      <c r="AP40" s="115"/>
      <c r="AQ40" s="115"/>
      <c r="AR40" s="115"/>
      <c r="AS40" s="115"/>
      <c r="AT40" s="115"/>
      <c r="AU40" s="115"/>
      <c r="AV40" s="115"/>
      <c r="AW40" s="115"/>
      <c r="AX40" s="115"/>
      <c r="AY40" s="115"/>
      <c r="AZ40" s="115"/>
      <c r="BA40" s="115"/>
      <c r="BB40" s="115"/>
      <c r="BC40" s="115"/>
      <c r="BD40" s="115"/>
      <c r="BE40" s="115"/>
      <c r="BF40" s="115"/>
      <c r="BG40" s="115"/>
      <c r="BH40" s="116"/>
    </row>
    <row r="41" spans="1:99" s="82" customFormat="1" ht="19.5" customHeight="1" x14ac:dyDescent="0.35"/>
    <row r="42" spans="1:99" s="82" customFormat="1" ht="19.5" customHeight="1" x14ac:dyDescent="0.35">
      <c r="B42" s="80"/>
      <c r="C42" s="80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  <c r="O42" s="80"/>
      <c r="P42" s="80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</row>
    <row r="43" spans="1:99" s="82" customFormat="1" ht="19.5" customHeight="1" x14ac:dyDescent="0.35"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</row>
    <row r="44" spans="1:99" s="82" customFormat="1" ht="19.5" customHeight="1" x14ac:dyDescent="0.35">
      <c r="B44" s="80"/>
      <c r="C44" s="80"/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</row>
    <row r="45" spans="1:99" s="82" customFormat="1" ht="19.5" customHeight="1" x14ac:dyDescent="0.35">
      <c r="B45" s="80"/>
      <c r="C45" s="80"/>
      <c r="D45" s="80"/>
      <c r="E45" s="80"/>
      <c r="F45" s="80"/>
      <c r="G45" s="80"/>
      <c r="H45" s="80"/>
      <c r="I45" s="80"/>
      <c r="J45" s="80"/>
      <c r="K45" s="80"/>
      <c r="L45" s="80"/>
      <c r="M45" s="80"/>
      <c r="N45" s="80"/>
      <c r="O45" s="80"/>
      <c r="P45" s="80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</row>
    <row r="46" spans="1:99" s="82" customFormat="1" ht="19.5" customHeight="1" x14ac:dyDescent="0.35">
      <c r="B46" s="80"/>
      <c r="C46" s="80"/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</row>
    <row r="47" spans="1:99" s="82" customFormat="1" ht="19.5" customHeight="1" x14ac:dyDescent="0.35">
      <c r="B47" s="80"/>
      <c r="C47" s="80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</row>
    <row r="48" spans="1:99" s="82" customFormat="1" ht="19.5" customHeight="1" x14ac:dyDescent="0.35">
      <c r="B48" s="80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</row>
    <row r="49" spans="2:92" s="82" customFormat="1" ht="19.5" customHeight="1" x14ac:dyDescent="0.35">
      <c r="B49" s="80"/>
      <c r="C49" s="80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</row>
    <row r="50" spans="2:92" s="82" customFormat="1" ht="19.5" customHeight="1" x14ac:dyDescent="0.35"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</row>
    <row r="51" spans="2:92" s="82" customFormat="1" ht="19.5" customHeight="1" x14ac:dyDescent="0.35">
      <c r="B51" s="80"/>
      <c r="C51" s="80"/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  <c r="T51" s="80"/>
      <c r="U51" s="80"/>
      <c r="V51" s="80"/>
      <c r="W51" s="80"/>
      <c r="X51" s="80"/>
      <c r="Y51" s="80"/>
      <c r="Z51" s="80"/>
      <c r="AA51" s="80"/>
      <c r="AB51" s="80"/>
      <c r="AC51" s="80"/>
      <c r="AD51" s="80"/>
      <c r="AE51" s="80"/>
      <c r="AF51" s="80"/>
      <c r="AG51" s="80"/>
      <c r="AH51" s="80"/>
      <c r="AI51" s="80"/>
      <c r="AJ51" s="80"/>
      <c r="AK51" s="80"/>
      <c r="AL51" s="80"/>
      <c r="AM51" s="80"/>
      <c r="AN51" s="80"/>
      <c r="AO51" s="80"/>
      <c r="AP51" s="80"/>
      <c r="AQ51" s="80"/>
      <c r="AR51" s="80"/>
      <c r="AS51" s="80"/>
      <c r="AT51" s="80"/>
      <c r="AU51" s="80"/>
      <c r="AV51" s="80"/>
      <c r="AW51" s="80"/>
      <c r="AX51" s="80"/>
      <c r="AY51" s="80"/>
      <c r="AZ51" s="80"/>
      <c r="BA51" s="80"/>
      <c r="BB51" s="80"/>
      <c r="BC51" s="80"/>
      <c r="BD51" s="80"/>
      <c r="BE51" s="80"/>
      <c r="BF51" s="80"/>
      <c r="BG51" s="80"/>
      <c r="BH51" s="80"/>
    </row>
    <row r="52" spans="2:92" s="82" customFormat="1" ht="19.5" customHeight="1" x14ac:dyDescent="0.35">
      <c r="B52" s="80"/>
      <c r="C52" s="80"/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  <c r="T52" s="80"/>
      <c r="U52" s="80"/>
      <c r="V52" s="80"/>
      <c r="W52" s="80"/>
      <c r="X52" s="80"/>
      <c r="Y52" s="80"/>
      <c r="Z52" s="80"/>
      <c r="AA52" s="80"/>
      <c r="AB52" s="80"/>
      <c r="AC52" s="80"/>
      <c r="AD52" s="80"/>
      <c r="AE52" s="80"/>
      <c r="AF52" s="80"/>
      <c r="AG52" s="80"/>
      <c r="AH52" s="80"/>
      <c r="AI52" s="80"/>
      <c r="AJ52" s="80"/>
      <c r="AK52" s="80"/>
      <c r="AL52" s="80"/>
      <c r="AM52" s="80"/>
      <c r="AN52" s="80"/>
      <c r="AO52" s="80"/>
      <c r="AP52" s="80"/>
      <c r="AQ52" s="80"/>
      <c r="AR52" s="80"/>
      <c r="AS52" s="80"/>
      <c r="AT52" s="80"/>
      <c r="AU52" s="80"/>
      <c r="AV52" s="80"/>
      <c r="AW52" s="80"/>
      <c r="AX52" s="80"/>
      <c r="AY52" s="80"/>
      <c r="AZ52" s="80"/>
      <c r="BA52" s="80"/>
      <c r="BB52" s="80"/>
      <c r="BC52" s="80"/>
      <c r="BD52" s="80"/>
      <c r="BE52" s="80"/>
      <c r="BF52" s="80"/>
      <c r="BG52" s="80"/>
      <c r="BH52" s="80"/>
    </row>
    <row r="53" spans="2:92" s="82" customFormat="1" ht="15.75" customHeight="1" x14ac:dyDescent="0.35">
      <c r="B53" s="80"/>
      <c r="C53" s="80"/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  <c r="T53" s="80"/>
      <c r="U53" s="80"/>
      <c r="V53" s="80"/>
      <c r="W53" s="80"/>
      <c r="X53" s="80"/>
      <c r="Y53" s="80"/>
      <c r="Z53" s="80"/>
      <c r="AA53" s="80"/>
      <c r="AB53" s="80"/>
      <c r="AC53" s="80"/>
      <c r="AD53" s="80"/>
      <c r="AE53" s="80"/>
      <c r="AF53" s="80"/>
      <c r="AG53" s="80"/>
      <c r="AH53" s="80"/>
      <c r="AI53" s="80"/>
      <c r="AJ53" s="80"/>
      <c r="AK53" s="80"/>
      <c r="AL53" s="80"/>
      <c r="AM53" s="80"/>
      <c r="AN53" s="80"/>
      <c r="AO53" s="80"/>
      <c r="AP53" s="80"/>
      <c r="AQ53" s="80"/>
      <c r="AR53" s="80"/>
      <c r="AS53" s="80"/>
      <c r="AT53" s="80"/>
      <c r="AU53" s="80"/>
      <c r="AV53" s="80"/>
      <c r="AW53" s="80"/>
      <c r="AX53" s="80"/>
      <c r="AY53" s="80"/>
      <c r="AZ53" s="80"/>
      <c r="BA53" s="80"/>
      <c r="BB53" s="80"/>
      <c r="BC53" s="80"/>
      <c r="BD53" s="80"/>
      <c r="BE53" s="80"/>
      <c r="BF53" s="80"/>
      <c r="BG53" s="80"/>
      <c r="BH53" s="83"/>
    </row>
    <row r="54" spans="2:92" s="82" customFormat="1" ht="29.25" customHeight="1" x14ac:dyDescent="0.35">
      <c r="BH54" s="84"/>
      <c r="BI54" s="85"/>
      <c r="BJ54" s="86"/>
      <c r="BK54" s="86"/>
      <c r="BL54" s="86"/>
      <c r="BM54" s="86"/>
      <c r="BN54" s="84"/>
      <c r="BO54" s="84"/>
      <c r="BP54" s="84"/>
      <c r="BQ54" s="84"/>
      <c r="BR54" s="84"/>
      <c r="BS54" s="84"/>
      <c r="BT54" s="84"/>
      <c r="BU54" s="84"/>
      <c r="BV54" s="84"/>
      <c r="BW54" s="84"/>
      <c r="BX54" s="84"/>
      <c r="BY54" s="84"/>
      <c r="BZ54" s="84"/>
      <c r="CA54" s="84"/>
      <c r="CB54" s="84"/>
      <c r="CC54" s="84"/>
      <c r="CD54" s="84"/>
      <c r="CE54" s="84"/>
      <c r="CF54" s="84"/>
      <c r="CG54" s="84"/>
      <c r="CH54" s="84"/>
      <c r="CI54" s="84"/>
      <c r="CJ54" s="84"/>
      <c r="CK54" s="84"/>
      <c r="CL54" s="84"/>
      <c r="CM54" s="84"/>
      <c r="CN54" s="84"/>
    </row>
    <row r="55" spans="2:92" s="82" customFormat="1" ht="15.75" customHeight="1" x14ac:dyDescent="0.35">
      <c r="BH55" s="84"/>
      <c r="BI55" s="85"/>
      <c r="BJ55" s="86"/>
      <c r="BK55" s="86"/>
      <c r="BL55" s="86"/>
      <c r="BM55" s="86"/>
      <c r="BN55" s="84"/>
      <c r="BO55" s="84"/>
      <c r="BP55" s="84"/>
      <c r="BQ55" s="84"/>
      <c r="BR55" s="84"/>
      <c r="BS55" s="84"/>
      <c r="BT55" s="84"/>
      <c r="BU55" s="84"/>
      <c r="BV55" s="84"/>
      <c r="BW55" s="84"/>
      <c r="BX55" s="84"/>
      <c r="BY55" s="84"/>
      <c r="BZ55" s="84"/>
      <c r="CA55" s="84"/>
      <c r="CB55" s="84"/>
      <c r="CC55" s="84"/>
      <c r="CD55" s="84"/>
      <c r="CE55" s="84"/>
      <c r="CF55" s="84"/>
      <c r="CG55" s="84"/>
      <c r="CH55" s="84"/>
      <c r="CI55" s="84"/>
      <c r="CJ55" s="84"/>
      <c r="CK55" s="84"/>
      <c r="CL55" s="84"/>
      <c r="CM55" s="84"/>
      <c r="CN55" s="84"/>
    </row>
    <row r="56" spans="2:92" s="82" customFormat="1" ht="18" x14ac:dyDescent="0.35">
      <c r="BH56" s="84"/>
      <c r="BI56" s="85"/>
      <c r="BJ56" s="86"/>
      <c r="BK56" s="86"/>
      <c r="BL56" s="86"/>
      <c r="BM56" s="86"/>
      <c r="BN56" s="84"/>
      <c r="BO56" s="84"/>
      <c r="BP56" s="84"/>
      <c r="BQ56" s="84"/>
      <c r="BR56" s="84"/>
      <c r="BS56" s="84"/>
      <c r="BT56" s="84"/>
      <c r="BU56" s="84"/>
      <c r="BV56" s="84"/>
      <c r="BW56" s="84"/>
      <c r="BX56" s="84"/>
      <c r="BY56" s="84"/>
      <c r="BZ56" s="84"/>
      <c r="CA56" s="84"/>
      <c r="CB56" s="84"/>
      <c r="CC56" s="84"/>
      <c r="CD56" s="84"/>
      <c r="CE56" s="84"/>
      <c r="CF56" s="84"/>
      <c r="CG56" s="84"/>
      <c r="CH56" s="84"/>
      <c r="CI56" s="84"/>
      <c r="CJ56" s="84"/>
      <c r="CK56" s="84"/>
      <c r="CL56" s="84"/>
      <c r="CM56" s="84"/>
      <c r="CN56" s="84"/>
    </row>
    <row r="57" spans="2:92" s="82" customFormat="1" ht="18" x14ac:dyDescent="0.35">
      <c r="BH57" s="84"/>
      <c r="BI57" s="85"/>
      <c r="BJ57" s="86"/>
      <c r="BK57" s="86"/>
      <c r="BL57" s="86"/>
      <c r="BM57" s="86"/>
      <c r="BN57" s="84"/>
      <c r="BO57" s="84"/>
      <c r="BP57" s="84"/>
      <c r="BQ57" s="84"/>
      <c r="BR57" s="84"/>
      <c r="BS57" s="84"/>
      <c r="BT57" s="84"/>
      <c r="BU57" s="84"/>
      <c r="BV57" s="84"/>
      <c r="BW57" s="84"/>
      <c r="BX57" s="84"/>
      <c r="BY57" s="84"/>
      <c r="BZ57" s="84"/>
      <c r="CA57" s="84"/>
      <c r="CB57" s="84"/>
      <c r="CC57" s="84"/>
      <c r="CD57" s="84"/>
      <c r="CE57" s="84"/>
      <c r="CF57" s="84"/>
      <c r="CG57" s="84"/>
      <c r="CH57" s="84"/>
      <c r="CI57" s="84"/>
      <c r="CJ57" s="84"/>
      <c r="CK57" s="84"/>
      <c r="CL57" s="84"/>
      <c r="CM57" s="84"/>
      <c r="CN57" s="84"/>
    </row>
    <row r="58" spans="2:92" s="82" customFormat="1" ht="18" x14ac:dyDescent="0.35">
      <c r="BH58" s="84"/>
      <c r="BI58" s="85"/>
      <c r="BJ58" s="86"/>
      <c r="BK58" s="86"/>
      <c r="BL58" s="86"/>
      <c r="BM58" s="86"/>
      <c r="BN58" s="84"/>
      <c r="BO58" s="84"/>
      <c r="BP58" s="84"/>
      <c r="BQ58" s="84"/>
      <c r="BR58" s="84"/>
      <c r="BS58" s="84"/>
      <c r="BT58" s="84"/>
      <c r="BU58" s="84"/>
      <c r="BV58" s="84"/>
      <c r="BW58" s="84"/>
      <c r="BX58" s="84"/>
      <c r="BY58" s="84"/>
      <c r="BZ58" s="84"/>
      <c r="CA58" s="84"/>
      <c r="CB58" s="84"/>
      <c r="CC58" s="84"/>
      <c r="CD58" s="84"/>
      <c r="CE58" s="84"/>
      <c r="CF58" s="84"/>
      <c r="CG58" s="84"/>
      <c r="CH58" s="84"/>
      <c r="CI58" s="84"/>
      <c r="CJ58" s="84"/>
      <c r="CK58" s="84"/>
      <c r="CL58" s="84"/>
      <c r="CM58" s="84"/>
      <c r="CN58" s="84"/>
    </row>
    <row r="59" spans="2:92" ht="15.75" customHeight="1" x14ac:dyDescent="0.35">
      <c r="BH59"/>
      <c r="BI59" s="16"/>
      <c r="BJ59" s="10"/>
      <c r="BK59" s="10"/>
      <c r="BL59" s="10"/>
      <c r="BM59" s="10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</row>
    <row r="60" spans="2:92" ht="15.75" customHeight="1" x14ac:dyDescent="0.35">
      <c r="BH60"/>
      <c r="BI60" s="16"/>
      <c r="BJ60" s="10"/>
      <c r="BK60" s="10"/>
      <c r="BL60" s="10"/>
      <c r="BM60" s="1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</row>
    <row r="61" spans="2:92" ht="15.75" customHeight="1" x14ac:dyDescent="0.35">
      <c r="BH61"/>
      <c r="BI61" s="16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</row>
    <row r="62" spans="2:92" ht="15.75" customHeight="1" x14ac:dyDescent="0.35">
      <c r="BH62"/>
      <c r="BI62" s="16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</row>
    <row r="63" spans="2:92" ht="15.75" customHeight="1" x14ac:dyDescent="0.35">
      <c r="BH63"/>
      <c r="BI63" s="16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</row>
    <row r="64" spans="2:92" ht="15.75" customHeight="1" x14ac:dyDescent="0.35">
      <c r="BH64"/>
      <c r="BI64" s="16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</row>
    <row r="65" spans="60:92" ht="15.75" customHeight="1" x14ac:dyDescent="0.35">
      <c r="BH65"/>
      <c r="BI65" s="16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</row>
    <row r="66" spans="60:92" ht="15.75" customHeight="1" x14ac:dyDescent="0.35">
      <c r="BH66"/>
      <c r="BI66" s="1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</row>
    <row r="67" spans="60:92" ht="15.75" customHeight="1" x14ac:dyDescent="0.35">
      <c r="BH67"/>
      <c r="BI67" s="16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</row>
    <row r="68" spans="60:92" ht="15.75" customHeight="1" x14ac:dyDescent="0.35">
      <c r="BH68"/>
      <c r="BI68" s="16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</row>
    <row r="69" spans="60:92" ht="15.75" customHeight="1" x14ac:dyDescent="0.35">
      <c r="BH69"/>
      <c r="BI69" s="16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</row>
    <row r="70" spans="60:92" ht="15.75" customHeight="1" x14ac:dyDescent="0.35">
      <c r="BH70"/>
      <c r="BI70" s="16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</row>
    <row r="71" spans="60:92" ht="15.75" customHeight="1" x14ac:dyDescent="0.35">
      <c r="BH71"/>
      <c r="BI71" s="16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</row>
    <row r="72" spans="60:92" ht="15.75" customHeight="1" x14ac:dyDescent="0.35">
      <c r="BH72"/>
      <c r="BI72" s="16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</row>
    <row r="73" spans="60:92" ht="15.75" customHeight="1" x14ac:dyDescent="0.35">
      <c r="BH73"/>
      <c r="BI73" s="16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</row>
    <row r="74" spans="60:92" ht="15.75" customHeight="1" x14ac:dyDescent="0.35">
      <c r="BH74"/>
      <c r="BI74" s="16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</row>
    <row r="75" spans="60:92" ht="15.75" customHeight="1" x14ac:dyDescent="0.35">
      <c r="BH75"/>
      <c r="BI75" s="16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</row>
    <row r="76" spans="60:92" ht="15.75" customHeight="1" x14ac:dyDescent="0.35">
      <c r="BH76"/>
      <c r="BI76" s="1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</row>
    <row r="77" spans="60:92" ht="15.75" customHeight="1" x14ac:dyDescent="0.35">
      <c r="BH77"/>
      <c r="BI77" s="16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</row>
    <row r="78" spans="60:92" ht="15.75" customHeight="1" x14ac:dyDescent="0.35">
      <c r="BH78"/>
      <c r="BI78" s="16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</row>
    <row r="79" spans="60:92" ht="15.75" customHeight="1" x14ac:dyDescent="0.35">
      <c r="BH79"/>
      <c r="BI79" s="16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</row>
    <row r="80" spans="60:92" ht="15.75" customHeight="1" x14ac:dyDescent="0.35">
      <c r="BH80"/>
      <c r="BI80" s="16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</row>
    <row r="81" spans="60:92" ht="15.75" customHeight="1" x14ac:dyDescent="0.35">
      <c r="BH81"/>
      <c r="BI81" s="16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</row>
    <row r="82" spans="60:92" ht="15.75" customHeight="1" x14ac:dyDescent="0.35">
      <c r="BH82"/>
      <c r="BI82" s="16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</row>
    <row r="83" spans="60:92" ht="15.75" customHeight="1" x14ac:dyDescent="0.35">
      <c r="BH83"/>
      <c r="BI83" s="16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</row>
    <row r="84" spans="60:92" ht="15.75" customHeight="1" x14ac:dyDescent="0.35">
      <c r="BH84"/>
      <c r="BI84" s="16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</row>
    <row r="85" spans="60:92" ht="15.75" customHeight="1" x14ac:dyDescent="0.35">
      <c r="BH85"/>
      <c r="BI85" s="16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</row>
    <row r="86" spans="60:92" ht="15.75" customHeight="1" x14ac:dyDescent="0.35">
      <c r="BH86"/>
      <c r="BI86" s="1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</row>
    <row r="87" spans="60:92" ht="15.75" customHeight="1" x14ac:dyDescent="0.35">
      <c r="BH87"/>
      <c r="BI87" s="16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</row>
    <row r="88" spans="60:92" ht="15.75" customHeight="1" x14ac:dyDescent="0.35">
      <c r="BH88"/>
      <c r="BI88" s="16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</row>
    <row r="89" spans="60:92" ht="15.75" customHeight="1" x14ac:dyDescent="0.35">
      <c r="BH89"/>
      <c r="BI89" s="16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</row>
    <row r="90" spans="60:92" ht="15.75" customHeight="1" x14ac:dyDescent="0.35">
      <c r="BH90"/>
      <c r="BI90" s="16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</row>
    <row r="91" spans="60:92" ht="15.75" customHeight="1" x14ac:dyDescent="0.35">
      <c r="BH91"/>
      <c r="BI91" s="16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</row>
    <row r="92" spans="60:92" ht="15.75" customHeight="1" x14ac:dyDescent="0.35">
      <c r="BH92"/>
      <c r="BI92" s="16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</row>
    <row r="93" spans="60:92" ht="15.75" customHeight="1" x14ac:dyDescent="0.35">
      <c r="BH93"/>
      <c r="BI93" s="16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</row>
    <row r="94" spans="60:92" ht="15.75" customHeight="1" x14ac:dyDescent="0.35">
      <c r="BH94"/>
      <c r="BI94" s="16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</row>
    <row r="95" spans="60:92" ht="15.75" customHeight="1" x14ac:dyDescent="0.35">
      <c r="BH95"/>
      <c r="BI95" s="16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</row>
    <row r="96" spans="60:92" ht="15.75" customHeight="1" x14ac:dyDescent="0.35">
      <c r="BH96"/>
      <c r="BI96" s="1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</row>
    <row r="97" spans="60:92" ht="15.75" customHeight="1" x14ac:dyDescent="0.35">
      <c r="BH97"/>
      <c r="BI97" s="16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</row>
    <row r="98" spans="60:92" ht="15.75" customHeight="1" x14ac:dyDescent="0.35">
      <c r="BH98"/>
      <c r="BI98" s="16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</row>
    <row r="99" spans="60:92" ht="15.75" customHeight="1" x14ac:dyDescent="0.35">
      <c r="BH99"/>
      <c r="BI99" s="16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</row>
    <row r="100" spans="60:92" ht="15.75" customHeight="1" x14ac:dyDescent="0.35">
      <c r="BH100"/>
      <c r="BI100" s="16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</row>
    <row r="101" spans="60:92" ht="15.75" customHeight="1" x14ac:dyDescent="0.35">
      <c r="BH101"/>
      <c r="BI101" s="16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</row>
    <row r="102" spans="60:92" ht="15.75" customHeight="1" x14ac:dyDescent="0.45">
      <c r="BK102" s="2"/>
      <c r="BL102" s="2"/>
    </row>
    <row r="103" spans="60:92" ht="15.75" customHeight="1" x14ac:dyDescent="0.45">
      <c r="BK103" s="2"/>
      <c r="BL103" s="2"/>
    </row>
    <row r="104" spans="60:92" ht="15.75" customHeight="1" x14ac:dyDescent="0.45">
      <c r="BK104" s="2"/>
      <c r="BL104" s="2"/>
    </row>
    <row r="105" spans="60:92" ht="15.75" customHeight="1" x14ac:dyDescent="0.45">
      <c r="BK105" s="2"/>
      <c r="BL105" s="2"/>
    </row>
    <row r="106" spans="60:92" ht="15.75" customHeight="1" x14ac:dyDescent="0.45">
      <c r="BK106" s="2"/>
      <c r="BL106" s="2"/>
    </row>
    <row r="107" spans="60:92" ht="15.75" customHeight="1" x14ac:dyDescent="0.45">
      <c r="BK107" s="2"/>
      <c r="BL107" s="2"/>
    </row>
    <row r="108" spans="60:92" ht="15.75" customHeight="1" x14ac:dyDescent="0.45">
      <c r="BK108" s="2"/>
      <c r="BL108" s="2"/>
    </row>
    <row r="109" spans="60:92" ht="15.75" customHeight="1" x14ac:dyDescent="0.45">
      <c r="BK109" s="2"/>
      <c r="BL109" s="2"/>
    </row>
    <row r="110" spans="60:92" ht="15.75" customHeight="1" x14ac:dyDescent="0.45">
      <c r="BK110" s="2"/>
      <c r="BL110" s="2"/>
    </row>
    <row r="111" spans="60:92" ht="15.75" customHeight="1" x14ac:dyDescent="0.45">
      <c r="BK111" s="2"/>
      <c r="BL111" s="2"/>
    </row>
    <row r="112" spans="60:92" ht="15.75" customHeight="1" x14ac:dyDescent="0.45">
      <c r="BK112" s="2"/>
      <c r="BL112" s="2"/>
    </row>
    <row r="113" spans="63:64" ht="15.75" customHeight="1" x14ac:dyDescent="0.45">
      <c r="BK113" s="2"/>
      <c r="BL113" s="2"/>
    </row>
    <row r="114" spans="63:64" ht="15.75" customHeight="1" x14ac:dyDescent="0.45">
      <c r="BK114" s="2"/>
      <c r="BL114" s="2"/>
    </row>
    <row r="115" spans="63:64" ht="15.75" customHeight="1" x14ac:dyDescent="0.45">
      <c r="BK115" s="2"/>
      <c r="BL115" s="2"/>
    </row>
    <row r="116" spans="63:64" ht="15.75" customHeight="1" x14ac:dyDescent="0.45">
      <c r="BK116" s="2"/>
      <c r="BL116" s="2"/>
    </row>
    <row r="117" spans="63:64" ht="15.75" customHeight="1" x14ac:dyDescent="0.45">
      <c r="BK117" s="2"/>
      <c r="BL117" s="2"/>
    </row>
    <row r="118" spans="63:64" ht="15.75" customHeight="1" x14ac:dyDescent="0.45">
      <c r="BK118" s="2"/>
      <c r="BL118" s="2"/>
    </row>
    <row r="119" spans="63:64" ht="15.75" customHeight="1" x14ac:dyDescent="0.45">
      <c r="BK119" s="2"/>
      <c r="BL119" s="2"/>
    </row>
    <row r="120" spans="63:64" ht="15.75" customHeight="1" x14ac:dyDescent="0.45">
      <c r="BK120" s="2"/>
      <c r="BL120" s="2"/>
    </row>
    <row r="121" spans="63:64" ht="15.75" customHeight="1" x14ac:dyDescent="0.45">
      <c r="BK121" s="2"/>
      <c r="BL121" s="2"/>
    </row>
    <row r="122" spans="63:64" ht="15.75" customHeight="1" x14ac:dyDescent="0.45">
      <c r="BK122" s="2"/>
      <c r="BL122" s="2"/>
    </row>
    <row r="123" spans="63:64" ht="15.75" customHeight="1" x14ac:dyDescent="0.45">
      <c r="BK123" s="2"/>
      <c r="BL123" s="2"/>
    </row>
    <row r="124" spans="63:64" ht="15.75" customHeight="1" x14ac:dyDescent="0.45">
      <c r="BK124" s="2"/>
      <c r="BL124" s="2"/>
    </row>
    <row r="125" spans="63:64" ht="15.75" customHeight="1" x14ac:dyDescent="0.45">
      <c r="BK125" s="2"/>
      <c r="BL125" s="2"/>
    </row>
    <row r="126" spans="63:64" ht="15.75" customHeight="1" x14ac:dyDescent="0.45">
      <c r="BK126" s="2"/>
      <c r="BL126" s="2"/>
    </row>
    <row r="127" spans="63:64" ht="15.75" customHeight="1" x14ac:dyDescent="0.45">
      <c r="BK127" s="2"/>
      <c r="BL127" s="2"/>
    </row>
    <row r="128" spans="63:64" ht="15.75" customHeight="1" x14ac:dyDescent="0.45">
      <c r="BK128" s="2"/>
      <c r="BL128" s="2"/>
    </row>
    <row r="129" spans="63:64" ht="15.75" customHeight="1" x14ac:dyDescent="0.45">
      <c r="BK129" s="2"/>
      <c r="BL129" s="2"/>
    </row>
    <row r="130" spans="63:64" ht="15.75" customHeight="1" x14ac:dyDescent="0.45">
      <c r="BK130" s="2"/>
      <c r="BL130" s="2"/>
    </row>
    <row r="131" spans="63:64" ht="15.75" customHeight="1" x14ac:dyDescent="0.45">
      <c r="BK131" s="2"/>
      <c r="BL131" s="2"/>
    </row>
    <row r="132" spans="63:64" ht="15.75" customHeight="1" x14ac:dyDescent="0.45">
      <c r="BK132" s="2"/>
      <c r="BL132" s="2"/>
    </row>
    <row r="133" spans="63:64" ht="15.75" customHeight="1" x14ac:dyDescent="0.45">
      <c r="BK133" s="2"/>
      <c r="BL133" s="2"/>
    </row>
    <row r="134" spans="63:64" ht="15.75" customHeight="1" x14ac:dyDescent="0.45">
      <c r="BK134" s="2"/>
      <c r="BL134" s="2"/>
    </row>
    <row r="135" spans="63:64" ht="15.75" customHeight="1" x14ac:dyDescent="0.45">
      <c r="BK135" s="2"/>
      <c r="BL135" s="2"/>
    </row>
    <row r="136" spans="63:64" ht="15.75" customHeight="1" x14ac:dyDescent="0.45">
      <c r="BK136" s="2"/>
      <c r="BL136" s="2"/>
    </row>
    <row r="137" spans="63:64" ht="15.75" customHeight="1" x14ac:dyDescent="0.45">
      <c r="BK137" s="2"/>
      <c r="BL137" s="2"/>
    </row>
    <row r="138" spans="63:64" ht="15.75" customHeight="1" x14ac:dyDescent="0.45">
      <c r="BK138" s="2"/>
      <c r="BL138" s="2"/>
    </row>
    <row r="139" spans="63:64" ht="15.75" customHeight="1" x14ac:dyDescent="0.45">
      <c r="BK139" s="2"/>
      <c r="BL139" s="2"/>
    </row>
    <row r="140" spans="63:64" ht="15.75" customHeight="1" x14ac:dyDescent="0.45">
      <c r="BK140" s="2"/>
      <c r="BL140" s="2"/>
    </row>
    <row r="141" spans="63:64" ht="15.75" customHeight="1" x14ac:dyDescent="0.45">
      <c r="BK141" s="2"/>
      <c r="BL141" s="2"/>
    </row>
    <row r="142" spans="63:64" ht="15.75" customHeight="1" x14ac:dyDescent="0.45">
      <c r="BK142" s="2"/>
      <c r="BL142" s="2"/>
    </row>
    <row r="143" spans="63:64" ht="15.75" customHeight="1" x14ac:dyDescent="0.45">
      <c r="BK143" s="2"/>
      <c r="BL143" s="2"/>
    </row>
    <row r="144" spans="63:64" ht="15.75" customHeight="1" x14ac:dyDescent="0.45">
      <c r="BK144" s="2"/>
      <c r="BL144" s="2"/>
    </row>
    <row r="145" spans="63:64" ht="15.75" customHeight="1" x14ac:dyDescent="0.45">
      <c r="BK145" s="2"/>
      <c r="BL145" s="2"/>
    </row>
    <row r="146" spans="63:64" ht="15.75" customHeight="1" x14ac:dyDescent="0.45">
      <c r="BK146" s="2"/>
      <c r="BL146" s="2"/>
    </row>
    <row r="147" spans="63:64" ht="15.75" customHeight="1" x14ac:dyDescent="0.45">
      <c r="BK147" s="2"/>
      <c r="BL147" s="2"/>
    </row>
    <row r="148" spans="63:64" ht="15.75" customHeight="1" x14ac:dyDescent="0.45">
      <c r="BK148" s="2"/>
      <c r="BL148" s="2"/>
    </row>
    <row r="149" spans="63:64" ht="15.75" customHeight="1" x14ac:dyDescent="0.45">
      <c r="BK149" s="2"/>
      <c r="BL149" s="2"/>
    </row>
    <row r="150" spans="63:64" ht="15.75" customHeight="1" x14ac:dyDescent="0.45">
      <c r="BK150" s="2"/>
      <c r="BL150" s="2"/>
    </row>
    <row r="151" spans="63:64" ht="15.75" customHeight="1" x14ac:dyDescent="0.45">
      <c r="BK151" s="2"/>
      <c r="BL151" s="2"/>
    </row>
    <row r="152" spans="63:64" ht="15.75" customHeight="1" x14ac:dyDescent="0.45">
      <c r="BK152" s="2"/>
      <c r="BL152" s="2"/>
    </row>
    <row r="153" spans="63:64" ht="15.75" customHeight="1" x14ac:dyDescent="0.45">
      <c r="BK153" s="2"/>
      <c r="BL153" s="2"/>
    </row>
    <row r="154" spans="63:64" ht="15.75" customHeight="1" x14ac:dyDescent="0.45">
      <c r="BK154" s="2"/>
      <c r="BL154" s="2"/>
    </row>
    <row r="155" spans="63:64" ht="15.75" customHeight="1" x14ac:dyDescent="0.45">
      <c r="BK155" s="2"/>
      <c r="BL155" s="2"/>
    </row>
    <row r="156" spans="63:64" ht="15.75" customHeight="1" x14ac:dyDescent="0.45">
      <c r="BK156" s="2"/>
      <c r="BL156" s="2"/>
    </row>
    <row r="157" spans="63:64" ht="15.75" customHeight="1" x14ac:dyDescent="0.45">
      <c r="BK157" s="2"/>
      <c r="BL157" s="2"/>
    </row>
    <row r="158" spans="63:64" ht="15.75" customHeight="1" x14ac:dyDescent="0.45">
      <c r="BK158" s="2"/>
      <c r="BL158" s="2"/>
    </row>
    <row r="159" spans="63:64" ht="15.75" customHeight="1" x14ac:dyDescent="0.45">
      <c r="BK159" s="2"/>
      <c r="BL159" s="2"/>
    </row>
    <row r="160" spans="63:64" ht="15.75" customHeight="1" x14ac:dyDescent="0.45">
      <c r="BK160" s="2"/>
      <c r="BL160" s="2"/>
    </row>
    <row r="161" spans="63:64" ht="15.75" customHeight="1" x14ac:dyDescent="0.45">
      <c r="BK161" s="2"/>
      <c r="BL161" s="2"/>
    </row>
    <row r="162" spans="63:64" ht="15.75" customHeight="1" x14ac:dyDescent="0.45">
      <c r="BK162" s="2"/>
      <c r="BL162" s="2"/>
    </row>
    <row r="163" spans="63:64" ht="15.75" customHeight="1" x14ac:dyDescent="0.45">
      <c r="BK163" s="2"/>
      <c r="BL163" s="2"/>
    </row>
    <row r="164" spans="63:64" ht="15.75" customHeight="1" x14ac:dyDescent="0.45">
      <c r="BK164" s="2"/>
      <c r="BL164" s="2"/>
    </row>
    <row r="165" spans="63:64" ht="15.75" customHeight="1" x14ac:dyDescent="0.45">
      <c r="BK165" s="2"/>
      <c r="BL165" s="2"/>
    </row>
    <row r="166" spans="63:64" ht="15.75" customHeight="1" x14ac:dyDescent="0.45">
      <c r="BK166" s="2"/>
      <c r="BL166" s="2"/>
    </row>
    <row r="167" spans="63:64" ht="15.75" customHeight="1" x14ac:dyDescent="0.45">
      <c r="BK167" s="2"/>
      <c r="BL167" s="2"/>
    </row>
    <row r="168" spans="63:64" ht="15.75" customHeight="1" x14ac:dyDescent="0.45">
      <c r="BK168" s="2"/>
      <c r="BL168" s="2"/>
    </row>
    <row r="169" spans="63:64" ht="15.75" customHeight="1" x14ac:dyDescent="0.45">
      <c r="BK169" s="2"/>
      <c r="BL169" s="2"/>
    </row>
    <row r="170" spans="63:64" ht="15.75" customHeight="1" x14ac:dyDescent="0.45">
      <c r="BK170" s="2"/>
      <c r="BL170" s="2"/>
    </row>
    <row r="171" spans="63:64" ht="15.75" customHeight="1" x14ac:dyDescent="0.45">
      <c r="BK171" s="2"/>
      <c r="BL171" s="2"/>
    </row>
    <row r="172" spans="63:64" ht="15.75" customHeight="1" x14ac:dyDescent="0.45">
      <c r="BK172" s="2"/>
      <c r="BL172" s="2"/>
    </row>
    <row r="173" spans="63:64" ht="15.75" customHeight="1" x14ac:dyDescent="0.45">
      <c r="BK173" s="2"/>
      <c r="BL173" s="2"/>
    </row>
    <row r="174" spans="63:64" ht="15.75" customHeight="1" x14ac:dyDescent="0.45">
      <c r="BK174" s="2"/>
      <c r="BL174" s="2"/>
    </row>
    <row r="175" spans="63:64" ht="15.75" customHeight="1" x14ac:dyDescent="0.45">
      <c r="BK175" s="2"/>
      <c r="BL175" s="2"/>
    </row>
    <row r="176" spans="63:64" ht="15.75" customHeight="1" x14ac:dyDescent="0.45">
      <c r="BK176" s="2"/>
      <c r="BL176" s="2"/>
    </row>
    <row r="177" spans="63:64" ht="15.75" customHeight="1" x14ac:dyDescent="0.45">
      <c r="BK177" s="2"/>
      <c r="BL177" s="2"/>
    </row>
    <row r="178" spans="63:64" ht="15.75" customHeight="1" x14ac:dyDescent="0.45">
      <c r="BK178" s="2"/>
      <c r="BL178" s="2"/>
    </row>
    <row r="179" spans="63:64" ht="15.75" customHeight="1" x14ac:dyDescent="0.45">
      <c r="BK179" s="2"/>
      <c r="BL179" s="2"/>
    </row>
    <row r="180" spans="63:64" ht="15.75" customHeight="1" x14ac:dyDescent="0.45">
      <c r="BK180" s="2"/>
      <c r="BL180" s="2"/>
    </row>
    <row r="181" spans="63:64" ht="15.75" customHeight="1" x14ac:dyDescent="0.45">
      <c r="BK181" s="2"/>
      <c r="BL181" s="2"/>
    </row>
    <row r="182" spans="63:64" ht="15.75" customHeight="1" x14ac:dyDescent="0.45">
      <c r="BK182" s="2"/>
      <c r="BL182" s="2"/>
    </row>
    <row r="183" spans="63:64" ht="15.75" customHeight="1" x14ac:dyDescent="0.45">
      <c r="BK183" s="2"/>
      <c r="BL183" s="2"/>
    </row>
    <row r="184" spans="63:64" ht="15.75" customHeight="1" x14ac:dyDescent="0.45">
      <c r="BK184" s="2"/>
      <c r="BL184" s="2"/>
    </row>
    <row r="185" spans="63:64" ht="15.75" customHeight="1" x14ac:dyDescent="0.45">
      <c r="BK185" s="2"/>
      <c r="BL185" s="2"/>
    </row>
    <row r="186" spans="63:64" ht="15.75" customHeight="1" x14ac:dyDescent="0.45">
      <c r="BK186" s="2"/>
      <c r="BL186" s="2"/>
    </row>
    <row r="187" spans="63:64" ht="15.75" customHeight="1" x14ac:dyDescent="0.45">
      <c r="BK187" s="2"/>
      <c r="BL187" s="2"/>
    </row>
    <row r="188" spans="63:64" ht="15.75" customHeight="1" x14ac:dyDescent="0.45">
      <c r="BK188" s="2"/>
      <c r="BL188" s="2"/>
    </row>
    <row r="189" spans="63:64" ht="15.75" customHeight="1" x14ac:dyDescent="0.45">
      <c r="BK189" s="2"/>
      <c r="BL189" s="2"/>
    </row>
    <row r="190" spans="63:64" ht="15.75" customHeight="1" x14ac:dyDescent="0.45">
      <c r="BK190" s="2"/>
      <c r="BL190" s="2"/>
    </row>
    <row r="191" spans="63:64" ht="15.75" customHeight="1" x14ac:dyDescent="0.45">
      <c r="BK191" s="2"/>
      <c r="BL191" s="2"/>
    </row>
    <row r="192" spans="63:64" ht="15.75" customHeight="1" x14ac:dyDescent="0.45">
      <c r="BK192" s="2"/>
      <c r="BL192" s="2"/>
    </row>
    <row r="193" spans="63:64" ht="15.75" customHeight="1" x14ac:dyDescent="0.45">
      <c r="BK193" s="2"/>
      <c r="BL193" s="2"/>
    </row>
    <row r="194" spans="63:64" ht="15.75" customHeight="1" x14ac:dyDescent="0.45">
      <c r="BK194" s="2"/>
      <c r="BL194" s="2"/>
    </row>
    <row r="195" spans="63:64" ht="15.75" customHeight="1" x14ac:dyDescent="0.45">
      <c r="BK195" s="2"/>
      <c r="BL195" s="2"/>
    </row>
    <row r="196" spans="63:64" ht="15.75" customHeight="1" x14ac:dyDescent="0.45">
      <c r="BK196" s="2"/>
      <c r="BL196" s="2"/>
    </row>
    <row r="197" spans="63:64" ht="15.75" customHeight="1" x14ac:dyDescent="0.45">
      <c r="BK197" s="2"/>
      <c r="BL197" s="2"/>
    </row>
    <row r="198" spans="63:64" ht="15.75" customHeight="1" x14ac:dyDescent="0.45">
      <c r="BK198" s="2"/>
      <c r="BL198" s="2"/>
    </row>
    <row r="199" spans="63:64" ht="15.75" customHeight="1" x14ac:dyDescent="0.45">
      <c r="BK199" s="2"/>
      <c r="BL199" s="2"/>
    </row>
    <row r="200" spans="63:64" ht="15.75" customHeight="1" x14ac:dyDescent="0.45">
      <c r="BK200" s="2"/>
      <c r="BL200" s="2"/>
    </row>
    <row r="201" spans="63:64" ht="15.75" customHeight="1" x14ac:dyDescent="0.45">
      <c r="BK201" s="2"/>
      <c r="BL201" s="2"/>
    </row>
    <row r="202" spans="63:64" ht="15.75" customHeight="1" x14ac:dyDescent="0.45">
      <c r="BK202" s="2"/>
      <c r="BL202" s="2"/>
    </row>
    <row r="203" spans="63:64" ht="15.75" customHeight="1" x14ac:dyDescent="0.45">
      <c r="BK203" s="2"/>
      <c r="BL203" s="2"/>
    </row>
    <row r="204" spans="63:64" ht="15.75" customHeight="1" x14ac:dyDescent="0.45">
      <c r="BK204" s="2"/>
      <c r="BL204" s="2"/>
    </row>
    <row r="205" spans="63:64" ht="15.75" customHeight="1" x14ac:dyDescent="0.45">
      <c r="BK205" s="2"/>
      <c r="BL205" s="2"/>
    </row>
    <row r="206" spans="63:64" ht="15.75" customHeight="1" x14ac:dyDescent="0.45">
      <c r="BK206" s="2"/>
      <c r="BL206" s="2"/>
    </row>
    <row r="207" spans="63:64" ht="15.75" customHeight="1" x14ac:dyDescent="0.45">
      <c r="BK207" s="2"/>
      <c r="BL207" s="2"/>
    </row>
    <row r="208" spans="63:64" ht="15.75" customHeight="1" x14ac:dyDescent="0.45">
      <c r="BK208" s="2"/>
      <c r="BL208" s="2"/>
    </row>
    <row r="209" spans="63:64" ht="15.75" customHeight="1" x14ac:dyDescent="0.45">
      <c r="BK209" s="2"/>
      <c r="BL209" s="2"/>
    </row>
    <row r="210" spans="63:64" ht="15.75" customHeight="1" x14ac:dyDescent="0.45">
      <c r="BK210" s="2"/>
      <c r="BL210" s="2"/>
    </row>
    <row r="211" spans="63:64" ht="15.75" customHeight="1" x14ac:dyDescent="0.45">
      <c r="BK211" s="2"/>
      <c r="BL211" s="2"/>
    </row>
    <row r="212" spans="63:64" ht="15.75" customHeight="1" x14ac:dyDescent="0.45">
      <c r="BK212" s="2"/>
      <c r="BL212" s="2"/>
    </row>
    <row r="213" spans="63:64" ht="15.75" customHeight="1" x14ac:dyDescent="0.45">
      <c r="BK213" s="2"/>
      <c r="BL213" s="2"/>
    </row>
    <row r="214" spans="63:64" ht="15.75" customHeight="1" x14ac:dyDescent="0.45">
      <c r="BK214" s="2"/>
      <c r="BL214" s="2"/>
    </row>
    <row r="215" spans="63:64" ht="15.75" customHeight="1" x14ac:dyDescent="0.45">
      <c r="BK215" s="2"/>
      <c r="BL215" s="2"/>
    </row>
    <row r="216" spans="63:64" ht="15.75" customHeight="1" x14ac:dyDescent="0.45">
      <c r="BK216" s="2"/>
      <c r="BL216" s="2"/>
    </row>
    <row r="217" spans="63:64" ht="15.75" customHeight="1" x14ac:dyDescent="0.45">
      <c r="BK217" s="2"/>
      <c r="BL217" s="2"/>
    </row>
    <row r="218" spans="63:64" ht="15.75" customHeight="1" x14ac:dyDescent="0.45">
      <c r="BK218" s="2"/>
      <c r="BL218" s="2"/>
    </row>
    <row r="219" spans="63:64" ht="15.75" customHeight="1" x14ac:dyDescent="0.45">
      <c r="BK219" s="2"/>
      <c r="BL219" s="2"/>
    </row>
    <row r="220" spans="63:64" ht="15.75" customHeight="1" x14ac:dyDescent="0.45">
      <c r="BK220" s="2"/>
      <c r="BL220" s="2"/>
    </row>
    <row r="221" spans="63:64" ht="15.75" customHeight="1" x14ac:dyDescent="0.45">
      <c r="BK221" s="2"/>
      <c r="BL221" s="2"/>
    </row>
    <row r="222" spans="63:64" ht="15.75" customHeight="1" x14ac:dyDescent="0.45">
      <c r="BK222" s="2"/>
      <c r="BL222" s="2"/>
    </row>
    <row r="223" spans="63:64" ht="15.75" customHeight="1" x14ac:dyDescent="0.45">
      <c r="BK223" s="2"/>
      <c r="BL223" s="2"/>
    </row>
    <row r="224" spans="63:64" ht="15.75" customHeight="1" x14ac:dyDescent="0.45">
      <c r="BK224" s="2"/>
      <c r="BL224" s="2"/>
    </row>
    <row r="225" spans="63:64" ht="15.75" customHeight="1" x14ac:dyDescent="0.45">
      <c r="BK225" s="2"/>
      <c r="BL225" s="2"/>
    </row>
    <row r="226" spans="63:64" ht="15.75" customHeight="1" x14ac:dyDescent="0.45">
      <c r="BK226" s="2"/>
      <c r="BL226" s="2"/>
    </row>
    <row r="227" spans="63:64" ht="15.75" customHeight="1" x14ac:dyDescent="0.45">
      <c r="BK227" s="2"/>
      <c r="BL227" s="2"/>
    </row>
    <row r="228" spans="63:64" ht="15.75" customHeight="1" x14ac:dyDescent="0.45">
      <c r="BK228" s="2"/>
      <c r="BL228" s="2"/>
    </row>
    <row r="229" spans="63:64" ht="15.75" customHeight="1" x14ac:dyDescent="0.45">
      <c r="BK229" s="2"/>
      <c r="BL229" s="2"/>
    </row>
    <row r="230" spans="63:64" ht="15.75" customHeight="1" x14ac:dyDescent="0.45">
      <c r="BK230" s="2"/>
      <c r="BL230" s="2"/>
    </row>
    <row r="231" spans="63:64" ht="15.75" customHeight="1" x14ac:dyDescent="0.45">
      <c r="BK231" s="2"/>
      <c r="BL231" s="2"/>
    </row>
    <row r="232" spans="63:64" ht="15.75" customHeight="1" x14ac:dyDescent="0.45">
      <c r="BK232" s="2"/>
      <c r="BL232" s="2"/>
    </row>
    <row r="233" spans="63:64" ht="15.75" customHeight="1" x14ac:dyDescent="0.45">
      <c r="BK233" s="2"/>
      <c r="BL233" s="2"/>
    </row>
    <row r="234" spans="63:64" ht="15.75" customHeight="1" x14ac:dyDescent="0.45">
      <c r="BK234" s="2"/>
      <c r="BL234" s="2"/>
    </row>
    <row r="235" spans="63:64" ht="15.75" customHeight="1" x14ac:dyDescent="0.45">
      <c r="BK235" s="2"/>
      <c r="BL235" s="2"/>
    </row>
    <row r="236" spans="63:64" ht="15.75" customHeight="1" x14ac:dyDescent="0.45">
      <c r="BK236" s="2"/>
      <c r="BL236" s="2"/>
    </row>
    <row r="237" spans="63:64" ht="15.75" customHeight="1" x14ac:dyDescent="0.45">
      <c r="BK237" s="2"/>
      <c r="BL237" s="2"/>
    </row>
    <row r="238" spans="63:64" ht="15.75" customHeight="1" x14ac:dyDescent="0.45">
      <c r="BK238" s="2"/>
      <c r="BL238" s="2"/>
    </row>
    <row r="239" spans="63:64" ht="15.75" customHeight="1" x14ac:dyDescent="0.45">
      <c r="BK239" s="2"/>
      <c r="BL239" s="2"/>
    </row>
    <row r="240" spans="63:64" ht="15.75" customHeight="1" x14ac:dyDescent="0.45">
      <c r="BK240" s="2"/>
      <c r="BL240" s="2"/>
    </row>
    <row r="241" spans="63:64" ht="15.75" customHeight="1" x14ac:dyDescent="0.45">
      <c r="BK241" s="2"/>
      <c r="BL241" s="2"/>
    </row>
    <row r="242" spans="63:64" ht="15.75" customHeight="1" x14ac:dyDescent="0.45">
      <c r="BK242" s="2"/>
      <c r="BL242" s="2"/>
    </row>
    <row r="243" spans="63:64" ht="15.75" customHeight="1" x14ac:dyDescent="0.45">
      <c r="BK243" s="2"/>
      <c r="BL243" s="2"/>
    </row>
    <row r="244" spans="63:64" ht="15.75" customHeight="1" x14ac:dyDescent="0.45">
      <c r="BK244" s="2"/>
      <c r="BL244" s="2"/>
    </row>
    <row r="245" spans="63:64" ht="15.75" customHeight="1" x14ac:dyDescent="0.45">
      <c r="BK245" s="2"/>
      <c r="BL245" s="2"/>
    </row>
    <row r="246" spans="63:64" ht="15.75" customHeight="1" x14ac:dyDescent="0.45">
      <c r="BK246" s="2"/>
      <c r="BL246" s="2"/>
    </row>
    <row r="247" spans="63:64" ht="15.75" customHeight="1" x14ac:dyDescent="0.45">
      <c r="BK247" s="2"/>
      <c r="BL247" s="2"/>
    </row>
    <row r="248" spans="63:64" ht="15.75" customHeight="1" x14ac:dyDescent="0.45">
      <c r="BK248" s="2"/>
      <c r="BL248" s="2"/>
    </row>
    <row r="249" spans="63:64" ht="15.75" customHeight="1" x14ac:dyDescent="0.45">
      <c r="BK249" s="2"/>
      <c r="BL249" s="2"/>
    </row>
    <row r="250" spans="63:64" x14ac:dyDescent="0.45">
      <c r="BK250" s="2"/>
      <c r="BL250" s="2"/>
    </row>
    <row r="251" spans="63:64" ht="15.75" customHeight="1" x14ac:dyDescent="0.45">
      <c r="BK251" s="2"/>
      <c r="BL251" s="2"/>
    </row>
    <row r="252" spans="63:64" ht="15.75" customHeight="1" x14ac:dyDescent="0.45">
      <c r="BK252" s="2"/>
      <c r="BL252" s="2"/>
    </row>
    <row r="253" spans="63:64" ht="15.75" customHeight="1" x14ac:dyDescent="0.45"/>
    <row r="254" spans="63:64" ht="15.75" customHeight="1" x14ac:dyDescent="0.45"/>
    <row r="255" spans="63:64" ht="15.75" customHeight="1" x14ac:dyDescent="0.45"/>
    <row r="256" spans="63:64" ht="15.75" customHeight="1" x14ac:dyDescent="0.45"/>
    <row r="257" ht="15.75" customHeight="1" x14ac:dyDescent="0.45"/>
    <row r="258" ht="15.75" customHeight="1" x14ac:dyDescent="0.45"/>
    <row r="259" ht="15.75" customHeight="1" x14ac:dyDescent="0.45"/>
    <row r="260" ht="15.75" customHeight="1" x14ac:dyDescent="0.45"/>
    <row r="261" ht="15.75" customHeight="1" x14ac:dyDescent="0.45"/>
    <row r="262" ht="15.75" customHeight="1" x14ac:dyDescent="0.45"/>
    <row r="263" ht="15.75" customHeight="1" x14ac:dyDescent="0.45"/>
    <row r="264" ht="15.75" customHeight="1" x14ac:dyDescent="0.45"/>
    <row r="265" ht="15.75" customHeight="1" x14ac:dyDescent="0.45"/>
    <row r="266" ht="15.75" customHeight="1" x14ac:dyDescent="0.45"/>
    <row r="267" ht="15.75" customHeight="1" x14ac:dyDescent="0.45"/>
    <row r="268" ht="15.75" customHeight="1" x14ac:dyDescent="0.45"/>
    <row r="269" ht="23.25" customHeight="1" x14ac:dyDescent="0.45"/>
    <row r="270" ht="15" customHeight="1" x14ac:dyDescent="0.45"/>
    <row r="271" ht="15.75" customHeight="1" x14ac:dyDescent="0.45"/>
    <row r="272" ht="15" customHeight="1" x14ac:dyDescent="0.45"/>
    <row r="273" ht="15.75" customHeight="1" x14ac:dyDescent="0.45"/>
    <row r="274" ht="15" customHeight="1" x14ac:dyDescent="0.45"/>
    <row r="275" ht="15.75" customHeight="1" x14ac:dyDescent="0.45"/>
    <row r="276" ht="15" customHeight="1" x14ac:dyDescent="0.45"/>
    <row r="277" ht="15.75" customHeight="1" x14ac:dyDescent="0.45"/>
    <row r="278" ht="15" customHeight="1" x14ac:dyDescent="0.45"/>
    <row r="279" ht="15.75" customHeight="1" x14ac:dyDescent="0.45"/>
    <row r="280" ht="15" customHeight="1" x14ac:dyDescent="0.45"/>
    <row r="281" ht="15.75" customHeight="1" x14ac:dyDescent="0.45"/>
    <row r="282" ht="15" customHeight="1" x14ac:dyDescent="0.45"/>
    <row r="283" ht="15.75" customHeight="1" x14ac:dyDescent="0.45"/>
    <row r="284" ht="15" customHeight="1" x14ac:dyDescent="0.45"/>
    <row r="285" ht="15.75" customHeight="1" x14ac:dyDescent="0.45"/>
    <row r="286" ht="15" customHeight="1" x14ac:dyDescent="0.45"/>
    <row r="287" ht="15.75" customHeight="1" x14ac:dyDescent="0.45"/>
    <row r="288" ht="15" customHeight="1" x14ac:dyDescent="0.45"/>
    <row r="289" ht="15.75" customHeight="1" x14ac:dyDescent="0.45"/>
    <row r="290" ht="15" customHeight="1" x14ac:dyDescent="0.45"/>
    <row r="291" ht="15.75" customHeight="1" x14ac:dyDescent="0.45"/>
    <row r="292" ht="15" customHeight="1" x14ac:dyDescent="0.45"/>
    <row r="293" ht="15.75" customHeight="1" x14ac:dyDescent="0.45"/>
    <row r="294" ht="15" customHeight="1" x14ac:dyDescent="0.45"/>
    <row r="295" ht="15.75" customHeight="1" x14ac:dyDescent="0.45"/>
    <row r="296" ht="15" customHeight="1" x14ac:dyDescent="0.45"/>
    <row r="297" ht="15.75" customHeight="1" x14ac:dyDescent="0.45"/>
    <row r="298" ht="15" customHeight="1" x14ac:dyDescent="0.45"/>
    <row r="299" ht="15.75" customHeight="1" x14ac:dyDescent="0.45"/>
    <row r="300" ht="15" customHeight="1" x14ac:dyDescent="0.45"/>
    <row r="301" ht="15.75" customHeight="1" x14ac:dyDescent="0.45"/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CR6:CR9"/>
  </mergeCells>
  <conditionalFormatting sqref="CR6 BI7:BI8">
    <cfRule type="cellIs" dxfId="71" priority="92" operator="equal">
      <formula>"சரி"</formula>
    </cfRule>
    <cfRule type="containsText" dxfId="70" priority="91" operator="containsText" text="பிழை">
      <formula>NOT(ISERROR(SEARCH("பிழை",BI6)))</formula>
    </cfRule>
  </conditionalFormatting>
  <conditionalFormatting sqref="CR10">
    <cfRule type="cellIs" dxfId="69" priority="74" operator="equal">
      <formula>"சரியானது"</formula>
    </cfRule>
    <cfRule type="containsText" dxfId="68" priority="73" operator="containsText" text="பிழை">
      <formula>NOT(ISERROR(SEARCH("பிழை",CR10)))</formula>
    </cfRule>
  </conditionalFormatting>
  <conditionalFormatting sqref="CU16">
    <cfRule type="notContainsText" dxfId="67" priority="65" operator="notContains" text="சரி">
      <formula>ISERROR(SEARCH("சரி",CU16))</formula>
    </cfRule>
    <cfRule type="containsText" dxfId="66" priority="66" operator="containsText" text="சரி">
      <formula>NOT(ISERROR(SEARCH("சரி",CU16)))</formula>
    </cfRule>
  </conditionalFormatting>
  <conditionalFormatting sqref="CU16:CU17">
    <cfRule type="notContainsText" dxfId="65" priority="61" operator="notContains" text="சரி">
      <formula>ISERROR(SEARCH("சரி",CU16))</formula>
    </cfRule>
    <cfRule type="containsText" dxfId="64" priority="62" operator="containsText" text="சரி">
      <formula>NOT(ISERROR(SEARCH("சரி",CU16)))</formula>
    </cfRule>
  </conditionalFormatting>
  <conditionalFormatting sqref="CU16:CU25">
    <cfRule type="notContainsText" dxfId="63" priority="69" operator="notContains" text="சரி">
      <formula>ISERROR(SEARCH("சரி",CU16))</formula>
    </cfRule>
    <cfRule type="containsText" dxfId="62" priority="70" operator="containsText" text="சரி">
      <formula>NOT(ISERROR(SEARCH("சரி",CU16)))</formula>
    </cfRule>
    <cfRule type="containsText" dxfId="61" priority="68" operator="containsText" text="சரி">
      <formula>NOT(ISERROR(SEARCH("சரி",CU16)))</formula>
    </cfRule>
    <cfRule type="notContainsText" dxfId="60" priority="67" operator="notContains" text="சரி">
      <formula>ISERROR(SEARCH("சரி",CU16))</formula>
    </cfRule>
  </conditionalFormatting>
  <conditionalFormatting sqref="CU16:CU30">
    <cfRule type="containsText" dxfId="59" priority="72" operator="containsText" text="சரி">
      <formula>NOT(ISERROR(SEARCH("சரி",CU16)))</formula>
    </cfRule>
    <cfRule type="notContainsText" dxfId="58" priority="71" operator="notContains" text="சரி">
      <formula>ISERROR(SEARCH("சரி",CU16))</formula>
    </cfRule>
  </conditionalFormatting>
  <conditionalFormatting sqref="CU16:CU35 CS34 CS38">
    <cfRule type="containsText" dxfId="57" priority="90" operator="containsText" text="சரி">
      <formula>NOT(ISERROR(SEARCH("சரி",CS16)))</formula>
    </cfRule>
    <cfRule type="notContainsText" dxfId="56" priority="89" operator="notContains" text="சரி">
      <formula>ISERROR(SEARCH("சரி",CS16))</formula>
    </cfRule>
  </conditionalFormatting>
  <conditionalFormatting sqref="CU17">
    <cfRule type="containsText" dxfId="55" priority="60" operator="containsText" text="சரி">
      <formula>NOT(ISERROR(SEARCH("சரி",CU17)))</formula>
    </cfRule>
    <cfRule type="notContainsText" dxfId="54" priority="59" operator="notContains" text="சரி">
      <formula>ISERROR(SEARCH("சரி",CU17))</formula>
    </cfRule>
  </conditionalFormatting>
  <conditionalFormatting sqref="CU17:CU18">
    <cfRule type="containsText" dxfId="53" priority="58" operator="containsText" text="சரி">
      <formula>NOT(ISERROR(SEARCH("சரி",CU17)))</formula>
    </cfRule>
    <cfRule type="notContainsText" dxfId="52" priority="57" operator="notContains" text="சரி">
      <formula>ISERROR(SEARCH("சரி",CU17))</formula>
    </cfRule>
    <cfRule type="containsText" dxfId="51" priority="56" operator="containsText" text="சரி">
      <formula>NOT(ISERROR(SEARCH("சரி",CU17)))</formula>
    </cfRule>
    <cfRule type="notContainsText" dxfId="50" priority="55" operator="notContains" text="சரி">
      <formula>ISERROR(SEARCH("சரி",CU17))</formula>
    </cfRule>
  </conditionalFormatting>
  <conditionalFormatting sqref="CU17:CU19">
    <cfRule type="containsText" dxfId="49" priority="54" operator="containsText" text="சரி">
      <formula>NOT(ISERROR(SEARCH("சரி",CU17)))</formula>
    </cfRule>
    <cfRule type="notContainsText" dxfId="48" priority="53" operator="notContains" text="சரி">
      <formula>ISERROR(SEARCH("சரி",CU17))</formula>
    </cfRule>
    <cfRule type="containsText" dxfId="47" priority="52" operator="containsText" text="சரி">
      <formula>NOT(ISERROR(SEARCH("சரி",CU17)))</formula>
    </cfRule>
    <cfRule type="notContainsText" dxfId="46" priority="51" operator="notContains" text="சரி">
      <formula>ISERROR(SEARCH("சரி",CU17))</formula>
    </cfRule>
  </conditionalFormatting>
  <conditionalFormatting sqref="CU17:CU20">
    <cfRule type="notContainsText" dxfId="45" priority="47" operator="notContains" text="சரி">
      <formula>ISERROR(SEARCH("சரி",CU17))</formula>
    </cfRule>
    <cfRule type="notContainsText" dxfId="44" priority="49" operator="notContains" text="சரி">
      <formula>ISERROR(SEARCH("சரி",CU17))</formula>
    </cfRule>
    <cfRule type="containsText" dxfId="43" priority="50" operator="containsText" text="சரி">
      <formula>NOT(ISERROR(SEARCH("சரி",CU17)))</formula>
    </cfRule>
    <cfRule type="containsText" dxfId="42" priority="48" operator="containsText" text="சரி">
      <formula>NOT(ISERROR(SEARCH("சரி",CU17)))</formula>
    </cfRule>
  </conditionalFormatting>
  <conditionalFormatting sqref="CU17:CU21">
    <cfRule type="notContainsText" dxfId="41" priority="43" operator="notContains" text="சரி">
      <formula>ISERROR(SEARCH("சரி",CU17))</formula>
    </cfRule>
    <cfRule type="containsText" dxfId="40" priority="44" operator="containsText" text="சரி">
      <formula>NOT(ISERROR(SEARCH("சரி",CU17)))</formula>
    </cfRule>
    <cfRule type="notContainsText" dxfId="39" priority="45" operator="notContains" text="சரி">
      <formula>ISERROR(SEARCH("சரி",CU17))</formula>
    </cfRule>
    <cfRule type="containsText" dxfId="38" priority="46" operator="containsText" text="சரி">
      <formula>NOT(ISERROR(SEARCH("சரி",CU17)))</formula>
    </cfRule>
  </conditionalFormatting>
  <conditionalFormatting sqref="CU17:CU22">
    <cfRule type="notContainsText" dxfId="37" priority="39" operator="notContains" text="சரி">
      <formula>ISERROR(SEARCH("சரி",CU17))</formula>
    </cfRule>
    <cfRule type="containsText" dxfId="36" priority="40" operator="containsText" text="சரி">
      <formula>NOT(ISERROR(SEARCH("சரி",CU17)))</formula>
    </cfRule>
    <cfRule type="notContainsText" dxfId="35" priority="41" operator="notContains" text="சரி">
      <formula>ISERROR(SEARCH("சரி",CU17))</formula>
    </cfRule>
    <cfRule type="containsText" dxfId="34" priority="42" operator="containsText" text="சரி">
      <formula>NOT(ISERROR(SEARCH("சரி",CU17)))</formula>
    </cfRule>
  </conditionalFormatting>
  <conditionalFormatting sqref="CU17:CU23">
    <cfRule type="containsText" dxfId="33" priority="38" operator="containsText" text="சரி">
      <formula>NOT(ISERROR(SEARCH("சரி",CU17)))</formula>
    </cfRule>
    <cfRule type="notContainsText" dxfId="32" priority="37" operator="notContains" text="சரி">
      <formula>ISERROR(SEARCH("சரி",CU17))</formula>
    </cfRule>
    <cfRule type="containsText" dxfId="31" priority="36" operator="containsText" text="சரி">
      <formula>NOT(ISERROR(SEARCH("சரி",CU17)))</formula>
    </cfRule>
    <cfRule type="notContainsText" dxfId="30" priority="35" operator="notContains" text="சரி">
      <formula>ISERROR(SEARCH("சரி",CU17))</formula>
    </cfRule>
  </conditionalFormatting>
  <conditionalFormatting sqref="CU17:CU24">
    <cfRule type="containsText" dxfId="29" priority="34" operator="containsText" text="சரி">
      <formula>NOT(ISERROR(SEARCH("சரி",CU17)))</formula>
    </cfRule>
    <cfRule type="notContainsText" dxfId="28" priority="33" operator="notContains" text="சரி">
      <formula>ISERROR(SEARCH("சரி",CU17))</formula>
    </cfRule>
    <cfRule type="notContainsText" dxfId="27" priority="31" operator="notContains" text="சரி">
      <formula>ISERROR(SEARCH("சரி",CU17))</formula>
    </cfRule>
    <cfRule type="containsText" dxfId="26" priority="32" operator="containsText" text="சரி">
      <formula>NOT(ISERROR(SEARCH("சரி",CU17)))</formula>
    </cfRule>
  </conditionalFormatting>
  <conditionalFormatting sqref="CU17:CU25">
    <cfRule type="containsText" dxfId="25" priority="30" operator="containsText" text="சரி">
      <formula>NOT(ISERROR(SEARCH("சரி",CU17)))</formula>
    </cfRule>
    <cfRule type="notContainsText" dxfId="24" priority="29" operator="notContains" text="சரி">
      <formula>ISERROR(SEARCH("சரி",CU17))</formula>
    </cfRule>
  </conditionalFormatting>
  <conditionalFormatting sqref="CU17:CU29">
    <cfRule type="containsText" dxfId="23" priority="26" operator="containsText" text="சரி">
      <formula>NOT(ISERROR(SEARCH("சரி",CU17)))</formula>
    </cfRule>
    <cfRule type="notContainsText" dxfId="22" priority="25" operator="notContains" text="சரி">
      <formula>ISERROR(SEARCH("சரி",CU17))</formula>
    </cfRule>
  </conditionalFormatting>
  <conditionalFormatting sqref="CU26">
    <cfRule type="notContainsText" dxfId="21" priority="19" operator="notContains" text="சரி">
      <formula>ISERROR(SEARCH("சரி",CU26))</formula>
    </cfRule>
    <cfRule type="containsText" dxfId="20" priority="20" operator="containsText" text="சரி">
      <formula>NOT(ISERROR(SEARCH("சரி",CU26)))</formula>
    </cfRule>
    <cfRule type="containsText" dxfId="19" priority="22" operator="containsText" text="சரி">
      <formula>NOT(ISERROR(SEARCH("சரி",CU26)))</formula>
    </cfRule>
    <cfRule type="notContainsText" dxfId="18" priority="21" operator="notContains" text="சரி">
      <formula>ISERROR(SEARCH("சரி",CU26))</formula>
    </cfRule>
  </conditionalFormatting>
  <conditionalFormatting sqref="CU26:CU27">
    <cfRule type="containsText" dxfId="17" priority="18" operator="containsText" text="சரி">
      <formula>NOT(ISERROR(SEARCH("சரி",CU26)))</formula>
    </cfRule>
    <cfRule type="notContainsText" dxfId="16" priority="17" operator="notContains" text="சரி">
      <formula>ISERROR(SEARCH("சரி",CU26))</formula>
    </cfRule>
    <cfRule type="containsText" dxfId="15" priority="16" operator="containsText" text="சரி">
      <formula>NOT(ISERROR(SEARCH("சரி",CU26)))</formula>
    </cfRule>
    <cfRule type="notContainsText" dxfId="14" priority="15" operator="notContains" text="சரி">
      <formula>ISERROR(SEARCH("சரி",CU26))</formula>
    </cfRule>
  </conditionalFormatting>
  <conditionalFormatting sqref="CU26:CU28">
    <cfRule type="containsText" dxfId="13" priority="14" operator="containsText" text="சரி">
      <formula>NOT(ISERROR(SEARCH("சரி",CU26)))</formula>
    </cfRule>
    <cfRule type="notContainsText" dxfId="12" priority="13" operator="notContains" text="சரி">
      <formula>ISERROR(SEARCH("சரி",CU26))</formula>
    </cfRule>
    <cfRule type="containsText" dxfId="11" priority="12" operator="containsText" text="சரி">
      <formula>NOT(ISERROR(SEARCH("சரி",CU26)))</formula>
    </cfRule>
    <cfRule type="notContainsText" dxfId="10" priority="11" operator="notContains" text="சரி">
      <formula>ISERROR(SEARCH("சரி",CU26))</formula>
    </cfRule>
  </conditionalFormatting>
  <conditionalFormatting sqref="CU26:CU29">
    <cfRule type="containsText" dxfId="9" priority="24" operator="containsText" text="சரி">
      <formula>NOT(ISERROR(SEARCH("சரி",CU26)))</formula>
    </cfRule>
    <cfRule type="notContainsText" dxfId="8" priority="23" operator="notContains" text="சரி">
      <formula>ISERROR(SEARCH("சரி",CU26))</formula>
    </cfRule>
    <cfRule type="containsText" dxfId="7" priority="10" operator="containsText" text="சரி">
      <formula>NOT(ISERROR(SEARCH("சரி",CU26)))</formula>
    </cfRule>
    <cfRule type="notContainsText" dxfId="6" priority="9" operator="notContains" text="சரி">
      <formula>ISERROR(SEARCH("சரி",CU26))</formula>
    </cfRule>
  </conditionalFormatting>
  <conditionalFormatting sqref="CU26:CU30">
    <cfRule type="containsText" dxfId="5" priority="6" operator="containsText" text="சரி">
      <formula>NOT(ISERROR(SEARCH("சரி",CU26)))</formula>
    </cfRule>
    <cfRule type="notContainsText" dxfId="4" priority="5" operator="notContains" text="சரி">
      <formula>ISERROR(SEARCH("சரி",CU26))</formula>
    </cfRule>
  </conditionalFormatting>
  <conditionalFormatting sqref="CU30">
    <cfRule type="containsText" dxfId="3" priority="2" operator="containsText" text="சரி">
      <formula>NOT(ISERROR(SEARCH("சரி",CU30)))</formula>
    </cfRule>
    <cfRule type="notContainsText" dxfId="2" priority="3" operator="notContains" text="சரி">
      <formula>ISERROR(SEARCH("சரி",CU30))</formula>
    </cfRule>
    <cfRule type="containsText" dxfId="1" priority="4" operator="containsText" text="சரி">
      <formula>NOT(ISERROR(SEARCH("சரி",CU30)))</formula>
    </cfRule>
    <cfRule type="notContainsText" dxfId="0" priority="1" operator="notContains" text="சரி">
      <formula>ISERROR(SEARCH("சரி",CU30))</formula>
    </cfRule>
  </conditionalFormatting>
  <printOptions horizontalCentered="1" verticalCentered="1"/>
  <pageMargins left="0.5" right="0.2" top="0.25" bottom="0.5" header="0" footer="0.3"/>
  <pageSetup paperSize="9" scale="69" orientation="landscape" r:id="rId1"/>
  <rowBreaks count="1" manualBreakCount="1">
    <brk id="39" max="98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விரிவாக</vt:lpstr>
      <vt:lpstr>BASE</vt:lpstr>
      <vt:lpstr>குறள்</vt:lpstr>
      <vt:lpstr>இன்னிசைச் சிந்தியல்</vt:lpstr>
      <vt:lpstr>நேரிசைச் சிந்தியல்</vt:lpstr>
      <vt:lpstr>இன்னிசை அளவியல்</vt:lpstr>
      <vt:lpstr>நேரிசை அளவியல்</vt:lpstr>
      <vt:lpstr>'இன்னிசைச் சிந்தியல்'!Print_Area</vt:lpstr>
      <vt:lpstr>'நேரிசை அளவியல்'!Print_Area</vt:lpstr>
      <vt:lpstr>'நேரிசைச் சிந்தியல்'!Print_Area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boobathi</dc:creator>
  <cp:lastModifiedBy>MS Boobathi</cp:lastModifiedBy>
  <cp:lastPrinted>2011-06-15T21:18:11Z</cp:lastPrinted>
  <dcterms:created xsi:type="dcterms:W3CDTF">2011-03-17T08:50:01Z</dcterms:created>
  <dcterms:modified xsi:type="dcterms:W3CDTF">2023-11-23T08:18:54Z</dcterms:modified>
</cp:coreProperties>
</file>